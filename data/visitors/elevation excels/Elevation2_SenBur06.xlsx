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B793BD75-0428-4FD4-A3CD-4177B7B7849B}" xr6:coauthVersionLast="47" xr6:coauthVersionMax="47" xr10:uidLastSave="{00000000-0000-0000-0000-000000000000}"/>
  <bookViews>
    <workbookView xWindow="-110" yWindow="-110" windowWidth="19420" windowHeight="10300" xr2:uid="{00000000-000D-0000-FFFF-FFFF00000000}"/>
  </bookViews>
  <sheets>
    <sheet name="SenBur06" sheetId="3" r:id="rId1"/>
    <sheet name="Morphospecies" sheetId="1" r:id="rId2"/>
  </sheets>
  <externalReferences>
    <externalReference r:id="rId3"/>
  </externalReferences>
  <definedNames>
    <definedName name="_xlnm._FilterDatabase" localSheetId="0" hidden="1">SenBur06!$A$2:$BB$1666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666" i="3" l="1"/>
  <c r="AA1665" i="3"/>
  <c r="AA1664" i="3"/>
  <c r="AA1663" i="3"/>
  <c r="AA1662" i="3"/>
  <c r="AA1661" i="3"/>
  <c r="AA1660" i="3"/>
  <c r="AA1659" i="3"/>
  <c r="AA1658" i="3"/>
  <c r="AA1657" i="3"/>
  <c r="AA1656" i="3"/>
  <c r="AA1655" i="3"/>
  <c r="AA1654" i="3"/>
  <c r="AA1653" i="3"/>
  <c r="AA1652" i="3"/>
  <c r="AA1651" i="3"/>
  <c r="AA1650" i="3"/>
  <c r="AA1649" i="3"/>
  <c r="AA1648" i="3"/>
  <c r="AA1647" i="3"/>
  <c r="AA1646" i="3"/>
  <c r="AA1645" i="3"/>
  <c r="AA1644" i="3"/>
  <c r="AA1643" i="3"/>
  <c r="AA1642" i="3"/>
  <c r="AA1641" i="3"/>
  <c r="AA1640" i="3"/>
  <c r="AA1639" i="3"/>
  <c r="AA1638" i="3"/>
  <c r="AA1637" i="3"/>
  <c r="AA1635" i="3"/>
  <c r="AA1633" i="3"/>
  <c r="AA1632" i="3"/>
  <c r="AA1628" i="3"/>
  <c r="AA1626" i="3"/>
  <c r="AA1625" i="3"/>
  <c r="AA1624" i="3"/>
  <c r="AA1623" i="3"/>
  <c r="AA1622" i="3"/>
  <c r="AA1621" i="3"/>
  <c r="AA1620" i="3"/>
  <c r="AA1619" i="3"/>
  <c r="AA1618" i="3"/>
  <c r="AA1617" i="3"/>
  <c r="AA1616" i="3"/>
  <c r="AA1614" i="3"/>
  <c r="AA1613" i="3"/>
  <c r="AA1611" i="3"/>
  <c r="AA1610" i="3"/>
  <c r="AA1608" i="3"/>
  <c r="AA1607" i="3"/>
  <c r="AA1604" i="3"/>
  <c r="AA1603" i="3"/>
  <c r="AA1602" i="3"/>
  <c r="AA1600" i="3"/>
  <c r="AA1599" i="3"/>
  <c r="AA1598" i="3"/>
  <c r="AA1595" i="3"/>
  <c r="AA1587" i="3"/>
  <c r="AA1580" i="3"/>
  <c r="AA1579" i="3"/>
  <c r="AA1570" i="3"/>
  <c r="AA1569" i="3"/>
  <c r="AA1564" i="3"/>
  <c r="AA1561" i="3"/>
  <c r="AA1516" i="3"/>
  <c r="AA1456" i="3"/>
  <c r="AA1452" i="3"/>
  <c r="AA1450" i="3"/>
  <c r="AA1443" i="3"/>
  <c r="AA1439" i="3"/>
  <c r="AA1423" i="3"/>
  <c r="AA1421" i="3"/>
  <c r="AA1415" i="3"/>
  <c r="AA1407" i="3"/>
  <c r="AA1405" i="3"/>
  <c r="AA1404" i="3"/>
  <c r="AA1403" i="3"/>
  <c r="AA1400" i="3"/>
  <c r="AA1399" i="3"/>
  <c r="AA1395" i="3"/>
  <c r="AA1393" i="3"/>
  <c r="AA1392" i="3"/>
  <c r="AA1391" i="3"/>
  <c r="AA1390" i="3"/>
  <c r="AA1384" i="3"/>
  <c r="AA1373" i="3"/>
  <c r="AA1352" i="3"/>
  <c r="AA1342" i="3"/>
  <c r="AA1341" i="3"/>
  <c r="AA1340" i="3"/>
  <c r="AA1339" i="3"/>
  <c r="AA1338" i="3"/>
  <c r="AA1336" i="3"/>
  <c r="AA1335" i="3"/>
  <c r="AA1334" i="3"/>
  <c r="AA1332" i="3"/>
  <c r="AA1331" i="3"/>
  <c r="AA1330" i="3"/>
  <c r="AA1325" i="3"/>
  <c r="AA1320" i="3"/>
  <c r="AA1318" i="3"/>
  <c r="AA1311" i="3"/>
  <c r="AA1308" i="3"/>
  <c r="AA1297" i="3"/>
  <c r="AA1296" i="3"/>
  <c r="AA1293" i="3"/>
  <c r="AA1292" i="3"/>
  <c r="AA1289" i="3"/>
  <c r="AA1288" i="3"/>
  <c r="AA1287" i="3"/>
  <c r="AA1284" i="3"/>
  <c r="AA1283" i="3"/>
  <c r="AA1282" i="3"/>
  <c r="AA1281" i="3"/>
  <c r="AA1280" i="3"/>
  <c r="AA1279" i="3"/>
  <c r="AA1278" i="3"/>
  <c r="AA1277" i="3"/>
  <c r="AA1274" i="3"/>
  <c r="AA1273" i="3"/>
  <c r="AA1266" i="3"/>
  <c r="AA1265" i="3"/>
  <c r="AA1264" i="3"/>
  <c r="AA1263" i="3"/>
  <c r="AA1262" i="3"/>
  <c r="AA1261" i="3"/>
  <c r="AA1260" i="3"/>
  <c r="AA1259" i="3"/>
  <c r="AA1258" i="3"/>
  <c r="AA1257" i="3"/>
  <c r="AA1256" i="3"/>
  <c r="AA1255" i="3"/>
  <c r="AA1252" i="3"/>
  <c r="AA1251" i="3"/>
  <c r="AA1249" i="3"/>
  <c r="AA1248" i="3"/>
  <c r="AA1245" i="3"/>
  <c r="AA1242" i="3"/>
  <c r="AA1241" i="3"/>
  <c r="AA1240" i="3"/>
  <c r="AA1239" i="3"/>
  <c r="AA1238" i="3"/>
  <c r="AA1237" i="3"/>
  <c r="AA1234" i="3"/>
  <c r="AA1231" i="3"/>
  <c r="AA1229" i="3"/>
  <c r="AA1226" i="3"/>
  <c r="AA1225" i="3"/>
  <c r="AA1224" i="3"/>
  <c r="AA1223" i="3"/>
  <c r="AA1220" i="3"/>
  <c r="AA1219" i="3"/>
  <c r="AA1218" i="3"/>
  <c r="AA1217" i="3"/>
  <c r="AA1216" i="3"/>
  <c r="AA1215" i="3"/>
  <c r="AA1214" i="3"/>
  <c r="AA1213" i="3"/>
  <c r="AA1212" i="3"/>
  <c r="AA1211" i="3"/>
  <c r="AA1210" i="3"/>
  <c r="AA1209" i="3"/>
  <c r="AA1208" i="3"/>
  <c r="AA1207" i="3"/>
  <c r="AA1206" i="3"/>
  <c r="AA1205" i="3"/>
  <c r="AA1204" i="3"/>
  <c r="AA1203" i="3"/>
  <c r="AA1202" i="3"/>
  <c r="AA1201" i="3"/>
  <c r="AA1199" i="3"/>
  <c r="AA1198" i="3"/>
  <c r="AA1197" i="3"/>
  <c r="AA1196" i="3"/>
  <c r="AA1192" i="3"/>
  <c r="AA1191" i="3"/>
  <c r="AA1189" i="3"/>
  <c r="AA1187" i="3"/>
  <c r="AA1186" i="3"/>
  <c r="AA1185" i="3"/>
  <c r="AA1183" i="3"/>
  <c r="AA1181" i="3"/>
  <c r="AA1179" i="3"/>
  <c r="AA1178" i="3"/>
  <c r="AA1177" i="3"/>
  <c r="AA1176" i="3"/>
  <c r="AA1174" i="3"/>
  <c r="AA1173" i="3"/>
  <c r="AA1172" i="3"/>
  <c r="AA1170" i="3"/>
  <c r="AA1169" i="3"/>
  <c r="AA1168" i="3"/>
  <c r="AA1167" i="3"/>
  <c r="AA1165" i="3"/>
  <c r="AA1164" i="3"/>
  <c r="AA1163" i="3"/>
  <c r="AA1162" i="3"/>
  <c r="AA1161" i="3"/>
  <c r="AA1159" i="3"/>
  <c r="AA1152" i="3"/>
  <c r="AA1150" i="3"/>
  <c r="AA1147" i="3"/>
  <c r="AA1146" i="3"/>
  <c r="AA1145" i="3"/>
  <c r="AA1144" i="3"/>
  <c r="AA1143" i="3"/>
  <c r="AA1142" i="3"/>
  <c r="AA1141" i="3"/>
  <c r="AA1140" i="3"/>
  <c r="AA1139" i="3"/>
  <c r="AA1138" i="3"/>
  <c r="AA1137" i="3"/>
  <c r="AA1136" i="3"/>
  <c r="AA1135" i="3"/>
  <c r="AA1134" i="3"/>
  <c r="AA1133" i="3"/>
  <c r="AA1132" i="3"/>
  <c r="AA1131" i="3"/>
  <c r="AA1130" i="3"/>
  <c r="AA1127" i="3"/>
  <c r="AA1126" i="3"/>
  <c r="AA1125" i="3"/>
  <c r="AA1124" i="3"/>
  <c r="AA1123" i="3"/>
  <c r="AA1122" i="3"/>
  <c r="AA1121" i="3"/>
  <c r="AA1120" i="3"/>
  <c r="AA1119" i="3"/>
  <c r="AA1118" i="3"/>
  <c r="AA1117" i="3"/>
  <c r="AA1115" i="3"/>
  <c r="AA1114" i="3"/>
  <c r="AA1112" i="3"/>
  <c r="AA1110" i="3"/>
  <c r="AA1106" i="3"/>
  <c r="AA1105" i="3"/>
  <c r="AA1104" i="3"/>
  <c r="AA1103" i="3"/>
  <c r="AA1102" i="3"/>
  <c r="AA1101" i="3"/>
  <c r="AA1100" i="3"/>
  <c r="AA1098" i="3"/>
  <c r="AA1097" i="3"/>
  <c r="AA1096" i="3"/>
  <c r="AA1094" i="3"/>
  <c r="AA1093" i="3"/>
  <c r="AA1092" i="3"/>
  <c r="AA1091" i="3"/>
  <c r="AA1090" i="3"/>
  <c r="AA1089" i="3"/>
  <c r="AA1088" i="3"/>
  <c r="AA1087" i="3"/>
  <c r="AA1086" i="3"/>
  <c r="AA1085" i="3"/>
  <c r="AA1084" i="3"/>
  <c r="AA1083" i="3"/>
  <c r="AA1081" i="3"/>
  <c r="AA1080" i="3"/>
  <c r="AA1079" i="3"/>
  <c r="AA1078" i="3"/>
  <c r="AA1077" i="3"/>
  <c r="AA1076" i="3"/>
  <c r="AA1074" i="3"/>
  <c r="AA1073" i="3"/>
  <c r="AA1072" i="3"/>
  <c r="AA1070" i="3"/>
  <c r="AA1069" i="3"/>
  <c r="AA1068" i="3"/>
  <c r="AA1067" i="3"/>
  <c r="AA1066" i="3"/>
  <c r="AA1065" i="3"/>
  <c r="AA1064" i="3"/>
  <c r="AA1063" i="3"/>
  <c r="AA1062" i="3"/>
  <c r="AA1061" i="3"/>
  <c r="AA1060" i="3"/>
  <c r="AA1059" i="3"/>
  <c r="AA1050" i="3"/>
  <c r="AA1049" i="3"/>
  <c r="AA1048" i="3"/>
  <c r="AA1045" i="3"/>
  <c r="AA1044" i="3"/>
  <c r="AA1032" i="3"/>
  <c r="AA1015" i="3"/>
  <c r="AA1011" i="3"/>
  <c r="AA1006" i="3"/>
  <c r="AA1005" i="3"/>
  <c r="AA1004" i="3"/>
  <c r="AA1002" i="3"/>
  <c r="AA1001" i="3"/>
  <c r="AA999" i="3"/>
  <c r="AA998" i="3"/>
  <c r="AA991" i="3"/>
  <c r="AA990" i="3"/>
  <c r="AA988" i="3"/>
  <c r="AA986" i="3"/>
  <c r="AA985" i="3"/>
  <c r="AA984" i="3"/>
  <c r="AA983" i="3"/>
  <c r="AA982" i="3"/>
  <c r="AA981" i="3"/>
  <c r="AA980"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0" i="3"/>
  <c r="AA939" i="3"/>
  <c r="AA938" i="3"/>
  <c r="AA937" i="3"/>
  <c r="AA936" i="3"/>
  <c r="AA935" i="3"/>
  <c r="AA932"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5" i="3"/>
  <c r="AA204" i="3"/>
  <c r="AA203" i="3"/>
  <c r="AA202" i="3"/>
  <c r="AA201" i="3"/>
  <c r="AA200" i="3"/>
  <c r="AA199" i="3"/>
  <c r="AA198" i="3"/>
  <c r="AA197" i="3"/>
  <c r="AA196" i="3"/>
  <c r="AA195" i="3"/>
  <c r="AA194" i="3"/>
  <c r="AA193" i="3"/>
  <c r="AA192" i="3"/>
  <c r="AA191" i="3"/>
  <c r="AA189" i="3"/>
  <c r="AA188" i="3"/>
  <c r="AA187" i="3"/>
  <c r="AA186" i="3"/>
  <c r="AA185" i="3"/>
  <c r="AA184" i="3"/>
  <c r="AA183" i="3"/>
  <c r="AA182" i="3"/>
  <c r="AA181" i="3"/>
  <c r="AA180" i="3"/>
  <c r="AA179" i="3"/>
  <c r="AA178" i="3"/>
  <c r="AA176" i="3"/>
  <c r="AA175" i="3"/>
  <c r="AA174" i="3"/>
  <c r="AA173" i="3"/>
  <c r="AA172" i="3"/>
  <c r="AA169" i="3"/>
  <c r="AA168" i="3"/>
  <c r="AA167" i="3"/>
  <c r="AA166" i="3"/>
  <c r="AA165" i="3"/>
  <c r="AA164" i="3"/>
  <c r="AA162" i="3"/>
  <c r="AA161" i="3"/>
  <c r="AA159" i="3"/>
  <c r="AA158" i="3"/>
  <c r="AA157" i="3"/>
  <c r="AA156" i="3"/>
  <c r="AA155" i="3"/>
  <c r="AA154"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99" i="3"/>
  <c r="AA97" i="3"/>
  <c r="AA96" i="3"/>
  <c r="AA95" i="3"/>
  <c r="AA94" i="3"/>
  <c r="AA93" i="3"/>
  <c r="AA91" i="3"/>
  <c r="AA90" i="3"/>
  <c r="AA89" i="3"/>
  <c r="AA88" i="3"/>
  <c r="AA87" i="3"/>
  <c r="AA86" i="3"/>
  <c r="AA85" i="3"/>
  <c r="AA84" i="3"/>
  <c r="AA83" i="3"/>
  <c r="AA82" i="3"/>
  <c r="AA81" i="3"/>
  <c r="AA80" i="3"/>
  <c r="AA79" i="3"/>
  <c r="AA78" i="3"/>
  <c r="AA76" i="3"/>
  <c r="AA75" i="3"/>
  <c r="AA74" i="3"/>
  <c r="AA73" i="3"/>
  <c r="AA72" i="3"/>
  <c r="AA71" i="3"/>
  <c r="AA70" i="3"/>
  <c r="AA69" i="3"/>
  <c r="AA67" i="3"/>
  <c r="AA66" i="3"/>
  <c r="AA65" i="3"/>
  <c r="AA64" i="3"/>
  <c r="AA63" i="3"/>
  <c r="AA62" i="3"/>
  <c r="AA61" i="3"/>
  <c r="AA60" i="3"/>
  <c r="AA59" i="3"/>
  <c r="AA58" i="3"/>
  <c r="AA57" i="3"/>
  <c r="AA55" i="3"/>
  <c r="AA54" i="3"/>
  <c r="AA53" i="3"/>
  <c r="AA52" i="3"/>
  <c r="AA50" i="3"/>
  <c r="AA49" i="3"/>
  <c r="AA48" i="3"/>
  <c r="AA47" i="3"/>
  <c r="AA46" i="3"/>
  <c r="AA45" i="3"/>
  <c r="AA44" i="3"/>
  <c r="AA43" i="3"/>
  <c r="AA42" i="3"/>
  <c r="AA41" i="3"/>
  <c r="AA40" i="3"/>
  <c r="AA38" i="3"/>
  <c r="AA34" i="3"/>
  <c r="AA29" i="3"/>
  <c r="AA28" i="3"/>
  <c r="AA26" i="3"/>
  <c r="AA25" i="3"/>
  <c r="AA24" i="3"/>
  <c r="AA19" i="3"/>
  <c r="AA18" i="3"/>
  <c r="AA16" i="3"/>
  <c r="AA15" i="3"/>
  <c r="AA14" i="3"/>
  <c r="AA13" i="3"/>
  <c r="AA12" i="3"/>
  <c r="AA11" i="3"/>
  <c r="AA9" i="3"/>
  <c r="AA8" i="3"/>
  <c r="AA7" i="3"/>
  <c r="AA6" i="3"/>
  <c r="AA5" i="3"/>
  <c r="AA4" i="3"/>
  <c r="AA3" i="3"/>
  <c r="AL1581" i="3" l="1"/>
  <c r="P1582" i="3" l="1"/>
  <c r="BA1582" i="3" s="1"/>
  <c r="BB1582" i="3" s="1"/>
  <c r="AB1582" i="3"/>
  <c r="AN1582" i="3"/>
  <c r="AP1582" i="3"/>
  <c r="AR1582" i="3"/>
  <c r="AT1582" i="3"/>
  <c r="P1583" i="3"/>
  <c r="AB1583" i="3"/>
  <c r="AN1583" i="3"/>
  <c r="AP1583" i="3"/>
  <c r="AR1583" i="3"/>
  <c r="AT1583" i="3"/>
  <c r="P1584" i="3"/>
  <c r="AZ1584" i="3" s="1"/>
  <c r="AB1584" i="3"/>
  <c r="AN1584" i="3"/>
  <c r="AP1584" i="3"/>
  <c r="AR1584" i="3"/>
  <c r="AT1584" i="3"/>
  <c r="P1585" i="3"/>
  <c r="AB1585" i="3"/>
  <c r="AJ1585" i="3"/>
  <c r="AN1585" i="3"/>
  <c r="AP1585" i="3"/>
  <c r="AR1585" i="3"/>
  <c r="AT1585" i="3"/>
  <c r="P1586" i="3"/>
  <c r="AB1586" i="3"/>
  <c r="AN1586" i="3"/>
  <c r="AP1586" i="3"/>
  <c r="AR1586" i="3"/>
  <c r="AT1586" i="3"/>
  <c r="P1587" i="3"/>
  <c r="T1587" i="3" s="1"/>
  <c r="AB1587" i="3"/>
  <c r="AG1587" i="3"/>
  <c r="AH1587" i="3" s="1"/>
  <c r="AJ1587" i="3"/>
  <c r="AL1587" i="3"/>
  <c r="AN1587" i="3"/>
  <c r="AP1587" i="3"/>
  <c r="AR1587" i="3"/>
  <c r="AT1587" i="3"/>
  <c r="P1588" i="3"/>
  <c r="AB1588" i="3"/>
  <c r="AG1588" i="3"/>
  <c r="AH1588" i="3" s="1"/>
  <c r="AN1588" i="3"/>
  <c r="AP1588" i="3"/>
  <c r="AR1588" i="3"/>
  <c r="AT1588" i="3"/>
  <c r="AZ1588" i="3"/>
  <c r="P1589" i="3"/>
  <c r="AB1589" i="3"/>
  <c r="AN1589" i="3"/>
  <c r="AP1589" i="3"/>
  <c r="AR1589" i="3"/>
  <c r="AT1589" i="3"/>
  <c r="P1590" i="3"/>
  <c r="BA1590" i="3" s="1"/>
  <c r="BB1590" i="3" s="1"/>
  <c r="AB1590" i="3"/>
  <c r="AG1590" i="3"/>
  <c r="AH1590" i="3" s="1"/>
  <c r="AJ1590" i="3"/>
  <c r="AN1590" i="3"/>
  <c r="AP1590" i="3"/>
  <c r="AR1590" i="3"/>
  <c r="AT1590" i="3"/>
  <c r="P1591" i="3"/>
  <c r="AB1591" i="3"/>
  <c r="AJ1591" i="3"/>
  <c r="AN1591" i="3"/>
  <c r="AP1591" i="3"/>
  <c r="AR1591" i="3"/>
  <c r="AT1591" i="3"/>
  <c r="P1592" i="3"/>
  <c r="AD1592" i="3" s="1"/>
  <c r="AB1592" i="3"/>
  <c r="AJ1592" i="3"/>
  <c r="AL1592" i="3"/>
  <c r="AN1592" i="3"/>
  <c r="AP1592" i="3"/>
  <c r="AR1592" i="3"/>
  <c r="AT1592" i="3"/>
  <c r="P1593" i="3"/>
  <c r="BA1593" i="3" s="1"/>
  <c r="BB1593" i="3" s="1"/>
  <c r="AB1593" i="3"/>
  <c r="AN1593" i="3"/>
  <c r="AP1593" i="3"/>
  <c r="AR1593" i="3"/>
  <c r="AT1593" i="3"/>
  <c r="AZ1593" i="3"/>
  <c r="P1594" i="3"/>
  <c r="AZ1594" i="3" s="1"/>
  <c r="AB1594" i="3"/>
  <c r="AG1594" i="3"/>
  <c r="AH1594" i="3" s="1"/>
  <c r="AN1594" i="3"/>
  <c r="AP1594" i="3"/>
  <c r="AR1594" i="3"/>
  <c r="AT1594" i="3"/>
  <c r="P1595" i="3"/>
  <c r="BA1595" i="3" s="1"/>
  <c r="BB1595" i="3" s="1"/>
  <c r="AB1595" i="3"/>
  <c r="AG1595" i="3"/>
  <c r="AH1595" i="3" s="1"/>
  <c r="AJ1595" i="3"/>
  <c r="AL1595" i="3"/>
  <c r="AN1595" i="3"/>
  <c r="AP1595" i="3"/>
  <c r="AR1595" i="3"/>
  <c r="AT1595" i="3"/>
  <c r="P1596" i="3"/>
  <c r="AB1596" i="3"/>
  <c r="AN1596" i="3"/>
  <c r="AP1596" i="3"/>
  <c r="AR1596" i="3"/>
  <c r="AT1596" i="3"/>
  <c r="P1597" i="3"/>
  <c r="AB1597" i="3"/>
  <c r="AG1597" i="3"/>
  <c r="AH1597" i="3" s="1"/>
  <c r="AJ1597" i="3"/>
  <c r="AN1597" i="3"/>
  <c r="AP1597" i="3"/>
  <c r="AR1597" i="3"/>
  <c r="AT1597" i="3"/>
  <c r="P1598" i="3"/>
  <c r="BA1598" i="3" s="1"/>
  <c r="BB1598" i="3" s="1"/>
  <c r="AB1598" i="3"/>
  <c r="AG1598" i="3"/>
  <c r="AH1598" i="3" s="1"/>
  <c r="AJ1598" i="3"/>
  <c r="AL1598" i="3"/>
  <c r="AN1598" i="3"/>
  <c r="AP1598" i="3"/>
  <c r="AR1598" i="3"/>
  <c r="AT1598" i="3"/>
  <c r="P1599" i="3"/>
  <c r="T1599" i="3" s="1"/>
  <c r="AB1599" i="3"/>
  <c r="AG1599" i="3"/>
  <c r="AH1599" i="3" s="1"/>
  <c r="AJ1599" i="3"/>
  <c r="AL1599" i="3"/>
  <c r="AN1599" i="3"/>
  <c r="AP1599" i="3"/>
  <c r="AR1599" i="3"/>
  <c r="AT1599" i="3"/>
  <c r="P1600" i="3"/>
  <c r="AD1600" i="3" s="1"/>
  <c r="AB1600" i="3"/>
  <c r="AG1600" i="3"/>
  <c r="AH1600" i="3" s="1"/>
  <c r="AJ1600" i="3"/>
  <c r="AL1600" i="3"/>
  <c r="AN1600" i="3"/>
  <c r="AP1600" i="3"/>
  <c r="AR1600" i="3"/>
  <c r="AT1600" i="3"/>
  <c r="P1601" i="3"/>
  <c r="AB1601" i="3"/>
  <c r="AN1601" i="3"/>
  <c r="AP1601" i="3"/>
  <c r="AR1601" i="3"/>
  <c r="AT1601" i="3"/>
  <c r="P1602" i="3"/>
  <c r="AY1602" i="3" s="1"/>
  <c r="AZ1602" i="3" s="1"/>
  <c r="AB1602" i="3"/>
  <c r="AG1602" i="3"/>
  <c r="AH1602" i="3" s="1"/>
  <c r="AJ1602" i="3"/>
  <c r="AL1602" i="3"/>
  <c r="AN1602" i="3"/>
  <c r="AP1602" i="3"/>
  <c r="AR1602" i="3"/>
  <c r="AT1602" i="3"/>
  <c r="P1603" i="3"/>
  <c r="T1603" i="3" s="1"/>
  <c r="AB1603" i="3"/>
  <c r="AG1603" i="3"/>
  <c r="AH1603" i="3" s="1"/>
  <c r="AJ1603" i="3"/>
  <c r="AL1603" i="3"/>
  <c r="AN1603" i="3"/>
  <c r="AP1603" i="3"/>
  <c r="AR1603" i="3"/>
  <c r="AT1603" i="3"/>
  <c r="P1604" i="3"/>
  <c r="Q1604" i="3" s="1"/>
  <c r="AB1604" i="3"/>
  <c r="AG1604" i="3"/>
  <c r="AH1604" i="3" s="1"/>
  <c r="AJ1604" i="3"/>
  <c r="AL1604" i="3"/>
  <c r="AN1604" i="3"/>
  <c r="AP1604" i="3"/>
  <c r="AR1604" i="3"/>
  <c r="AT1604" i="3"/>
  <c r="P1605" i="3"/>
  <c r="AD1605" i="3" s="1"/>
  <c r="AZ1605" i="3" s="1"/>
  <c r="AB1605" i="3"/>
  <c r="AG1605" i="3"/>
  <c r="AH1605" i="3" s="1"/>
  <c r="AJ1605" i="3"/>
  <c r="AN1605" i="3"/>
  <c r="AP1605" i="3"/>
  <c r="AR1605" i="3"/>
  <c r="AT1605" i="3"/>
  <c r="P1606" i="3"/>
  <c r="BA1606" i="3" s="1"/>
  <c r="BB1606" i="3" s="1"/>
  <c r="AB1606" i="3"/>
  <c r="AN1606" i="3"/>
  <c r="AP1606" i="3"/>
  <c r="AR1606" i="3"/>
  <c r="AT1606" i="3"/>
  <c r="P1607" i="3"/>
  <c r="T1607" i="3" s="1"/>
  <c r="AB1607" i="3"/>
  <c r="AG1607" i="3"/>
  <c r="AH1607" i="3" s="1"/>
  <c r="AJ1607" i="3"/>
  <c r="AL1607" i="3"/>
  <c r="AN1607" i="3"/>
  <c r="AP1607" i="3"/>
  <c r="AR1607" i="3"/>
  <c r="AT1607" i="3"/>
  <c r="P1608" i="3"/>
  <c r="BA1608" i="3" s="1"/>
  <c r="BB1608" i="3" s="1"/>
  <c r="AB1608" i="3"/>
  <c r="AG1608" i="3"/>
  <c r="AH1608" i="3" s="1"/>
  <c r="AJ1608" i="3"/>
  <c r="AL1608" i="3"/>
  <c r="AN1608" i="3"/>
  <c r="AP1608" i="3"/>
  <c r="AR1608" i="3"/>
  <c r="AT1608" i="3"/>
  <c r="P1609" i="3"/>
  <c r="AB1609" i="3"/>
  <c r="AG1609" i="3"/>
  <c r="AH1609" i="3" s="1"/>
  <c r="AN1609" i="3"/>
  <c r="AP1609" i="3"/>
  <c r="AR1609" i="3"/>
  <c r="AT1609" i="3"/>
  <c r="AZ1609" i="3"/>
  <c r="P1610" i="3"/>
  <c r="AB1610" i="3"/>
  <c r="AG1610" i="3"/>
  <c r="AH1610" i="3" s="1"/>
  <c r="AJ1610" i="3"/>
  <c r="AL1610" i="3"/>
  <c r="AN1610" i="3"/>
  <c r="AP1610" i="3"/>
  <c r="AR1610" i="3"/>
  <c r="AT1610" i="3"/>
  <c r="P1611" i="3"/>
  <c r="BA1611" i="3" s="1"/>
  <c r="BB1611" i="3" s="1"/>
  <c r="AB1611" i="3"/>
  <c r="AG1611" i="3"/>
  <c r="AH1611" i="3" s="1"/>
  <c r="AJ1611" i="3"/>
  <c r="AL1611" i="3"/>
  <c r="AN1611" i="3"/>
  <c r="AP1611" i="3"/>
  <c r="AR1611" i="3"/>
  <c r="AT1611" i="3"/>
  <c r="P1612" i="3"/>
  <c r="AB1612" i="3"/>
  <c r="AN1612" i="3"/>
  <c r="AP1612" i="3"/>
  <c r="AR1612" i="3"/>
  <c r="AT1612" i="3"/>
  <c r="AZ1612" i="3"/>
  <c r="P1613" i="3"/>
  <c r="T1613" i="3" s="1"/>
  <c r="AB1613" i="3"/>
  <c r="AG1613" i="3"/>
  <c r="AH1613" i="3" s="1"/>
  <c r="AJ1613" i="3"/>
  <c r="AL1613" i="3"/>
  <c r="AN1613" i="3"/>
  <c r="AP1613" i="3"/>
  <c r="AR1613" i="3"/>
  <c r="AT1613" i="3"/>
  <c r="P1614" i="3"/>
  <c r="AY1614" i="3" s="1"/>
  <c r="AZ1614" i="3" s="1"/>
  <c r="AB1614" i="3"/>
  <c r="AG1614" i="3"/>
  <c r="AH1614" i="3" s="1"/>
  <c r="AJ1614" i="3"/>
  <c r="AL1614" i="3"/>
  <c r="AN1614" i="3"/>
  <c r="AP1614" i="3"/>
  <c r="AR1614" i="3"/>
  <c r="AT1614" i="3"/>
  <c r="P1615" i="3"/>
  <c r="AZ1615" i="3" s="1"/>
  <c r="AB1615" i="3"/>
  <c r="AG1615" i="3"/>
  <c r="AH1615" i="3" s="1"/>
  <c r="AN1615" i="3"/>
  <c r="AP1615" i="3"/>
  <c r="AR1615" i="3"/>
  <c r="AT1615" i="3"/>
  <c r="P1616" i="3"/>
  <c r="Q1616" i="3" s="1"/>
  <c r="AB1616" i="3"/>
  <c r="AG1616" i="3"/>
  <c r="AH1616" i="3" s="1"/>
  <c r="AJ1616" i="3"/>
  <c r="AL1616" i="3"/>
  <c r="AN1616" i="3"/>
  <c r="AP1616" i="3"/>
  <c r="AR1616" i="3"/>
  <c r="AT1616" i="3"/>
  <c r="P1617" i="3"/>
  <c r="T1617" i="3" s="1"/>
  <c r="AB1617" i="3"/>
  <c r="AG1617" i="3"/>
  <c r="AH1617" i="3" s="1"/>
  <c r="AJ1617" i="3"/>
  <c r="AL1617" i="3"/>
  <c r="AN1617" i="3"/>
  <c r="AP1617" i="3"/>
  <c r="AR1617" i="3"/>
  <c r="AT1617" i="3"/>
  <c r="P1618" i="3"/>
  <c r="AY1618" i="3" s="1"/>
  <c r="AZ1618" i="3" s="1"/>
  <c r="AB1618" i="3"/>
  <c r="AG1618" i="3"/>
  <c r="AH1618" i="3" s="1"/>
  <c r="AJ1618" i="3"/>
  <c r="AL1618" i="3"/>
  <c r="AN1618" i="3"/>
  <c r="AP1618" i="3"/>
  <c r="AR1618" i="3"/>
  <c r="AT1618" i="3"/>
  <c r="P1619" i="3"/>
  <c r="AD1619" i="3" s="1"/>
  <c r="AB1619" i="3"/>
  <c r="AG1619" i="3"/>
  <c r="AH1619" i="3" s="1"/>
  <c r="AJ1619" i="3"/>
  <c r="AL1619" i="3"/>
  <c r="AN1619" i="3"/>
  <c r="AP1619" i="3"/>
  <c r="AR1619" i="3"/>
  <c r="AT1619" i="3"/>
  <c r="P1620" i="3"/>
  <c r="T1620" i="3" s="1"/>
  <c r="AB1620" i="3"/>
  <c r="AG1620" i="3"/>
  <c r="AH1620" i="3" s="1"/>
  <c r="AJ1620" i="3"/>
  <c r="AL1620" i="3"/>
  <c r="AN1620" i="3"/>
  <c r="AP1620" i="3"/>
  <c r="AR1620" i="3"/>
  <c r="AT1620" i="3"/>
  <c r="P1621" i="3"/>
  <c r="T1621" i="3" s="1"/>
  <c r="AB1621" i="3"/>
  <c r="AG1621" i="3"/>
  <c r="AH1621" i="3" s="1"/>
  <c r="AJ1621" i="3"/>
  <c r="AL1621" i="3"/>
  <c r="AN1621" i="3"/>
  <c r="AP1621" i="3"/>
  <c r="AR1621" i="3"/>
  <c r="AT1621" i="3"/>
  <c r="P1622" i="3"/>
  <c r="AD1622" i="3" s="1"/>
  <c r="AB1622" i="3"/>
  <c r="AG1622" i="3"/>
  <c r="AH1622" i="3" s="1"/>
  <c r="AJ1622" i="3"/>
  <c r="AL1622" i="3"/>
  <c r="AN1622" i="3"/>
  <c r="AP1622" i="3"/>
  <c r="AR1622" i="3"/>
  <c r="AT1622" i="3"/>
  <c r="P1623" i="3"/>
  <c r="Q1623" i="3" s="1"/>
  <c r="AB1623" i="3"/>
  <c r="AG1623" i="3"/>
  <c r="AH1623" i="3" s="1"/>
  <c r="AJ1623" i="3"/>
  <c r="AL1623" i="3"/>
  <c r="AN1623" i="3"/>
  <c r="AP1623" i="3"/>
  <c r="AR1623" i="3"/>
  <c r="AT1623" i="3"/>
  <c r="P1624" i="3"/>
  <c r="AB1624" i="3"/>
  <c r="AG1624" i="3"/>
  <c r="AH1624" i="3" s="1"/>
  <c r="AJ1624" i="3"/>
  <c r="AL1624" i="3"/>
  <c r="AN1624" i="3"/>
  <c r="AP1624" i="3"/>
  <c r="AR1624" i="3"/>
  <c r="AT1624" i="3"/>
  <c r="P1625" i="3"/>
  <c r="T1625" i="3" s="1"/>
  <c r="AB1625" i="3"/>
  <c r="AG1625" i="3"/>
  <c r="AH1625" i="3" s="1"/>
  <c r="AJ1625" i="3"/>
  <c r="AL1625" i="3"/>
  <c r="AN1625" i="3"/>
  <c r="AP1625" i="3"/>
  <c r="AR1625" i="3"/>
  <c r="AT1625" i="3"/>
  <c r="P1626" i="3"/>
  <c r="Q1626" i="3" s="1"/>
  <c r="AB1626" i="3"/>
  <c r="AG1626" i="3"/>
  <c r="AH1626" i="3" s="1"/>
  <c r="AJ1626" i="3"/>
  <c r="AL1626" i="3"/>
  <c r="AN1626" i="3"/>
  <c r="AP1626" i="3"/>
  <c r="AR1626" i="3"/>
  <c r="AT1626" i="3"/>
  <c r="P1627" i="3"/>
  <c r="AD1627" i="3" s="1"/>
  <c r="AB1627" i="3"/>
  <c r="AG1627" i="3"/>
  <c r="AH1627" i="3" s="1"/>
  <c r="AJ1627" i="3"/>
  <c r="AN1627" i="3"/>
  <c r="AP1627" i="3"/>
  <c r="AR1627" i="3"/>
  <c r="AT1627" i="3"/>
  <c r="P1628" i="3"/>
  <c r="AY1628" i="3" s="1"/>
  <c r="AZ1628" i="3" s="1"/>
  <c r="AB1628" i="3"/>
  <c r="AG1628" i="3"/>
  <c r="AH1628" i="3" s="1"/>
  <c r="AJ1628" i="3"/>
  <c r="AL1628" i="3"/>
  <c r="AN1628" i="3"/>
  <c r="AP1628" i="3"/>
  <c r="AR1628" i="3"/>
  <c r="AT1628" i="3"/>
  <c r="P1629" i="3"/>
  <c r="BA1629" i="3" s="1"/>
  <c r="BB1629" i="3" s="1"/>
  <c r="AB1629" i="3"/>
  <c r="AN1629" i="3"/>
  <c r="AP1629" i="3"/>
  <c r="AR1629" i="3"/>
  <c r="AT1629" i="3"/>
  <c r="P1630" i="3"/>
  <c r="Q1630" i="3" s="1"/>
  <c r="AB1630" i="3"/>
  <c r="AG1630" i="3"/>
  <c r="AH1630" i="3" s="1"/>
  <c r="AJ1630" i="3"/>
  <c r="AN1630" i="3"/>
  <c r="AP1630" i="3"/>
  <c r="AR1630" i="3"/>
  <c r="AT1630" i="3"/>
  <c r="P1631" i="3"/>
  <c r="Q1631" i="3" s="1"/>
  <c r="AB1631" i="3"/>
  <c r="AN1631" i="3"/>
  <c r="AP1631" i="3"/>
  <c r="AR1631" i="3"/>
  <c r="AT1631" i="3"/>
  <c r="P1632" i="3"/>
  <c r="AY1632" i="3" s="1"/>
  <c r="AZ1632" i="3" s="1"/>
  <c r="AB1632" i="3"/>
  <c r="AG1632" i="3"/>
  <c r="AH1632" i="3" s="1"/>
  <c r="AJ1632" i="3"/>
  <c r="AL1632" i="3"/>
  <c r="AN1632" i="3"/>
  <c r="AP1632" i="3"/>
  <c r="AR1632" i="3"/>
  <c r="AT1632" i="3"/>
  <c r="P1633" i="3"/>
  <c r="AD1633" i="3" s="1"/>
  <c r="AB1633" i="3"/>
  <c r="AG1633" i="3"/>
  <c r="AH1633" i="3" s="1"/>
  <c r="AJ1633" i="3"/>
  <c r="AL1633" i="3"/>
  <c r="AN1633" i="3"/>
  <c r="AP1633" i="3"/>
  <c r="AR1633" i="3"/>
  <c r="AT1633" i="3"/>
  <c r="P1634" i="3"/>
  <c r="AB1634" i="3"/>
  <c r="AJ1634" i="3"/>
  <c r="AL1634" i="3"/>
  <c r="AN1634" i="3"/>
  <c r="AP1634" i="3"/>
  <c r="AR1634" i="3"/>
  <c r="AT1634" i="3"/>
  <c r="P1635" i="3"/>
  <c r="Q1635" i="3" s="1"/>
  <c r="AB1635" i="3"/>
  <c r="AG1635" i="3"/>
  <c r="AH1635" i="3" s="1"/>
  <c r="AJ1635" i="3"/>
  <c r="AL1635" i="3"/>
  <c r="AN1635" i="3"/>
  <c r="AP1635" i="3"/>
  <c r="AR1635" i="3"/>
  <c r="AT1635" i="3"/>
  <c r="P1636" i="3"/>
  <c r="AB1636" i="3"/>
  <c r="AL1636" i="3"/>
  <c r="AN1636" i="3"/>
  <c r="AP1636" i="3"/>
  <c r="AR1636" i="3"/>
  <c r="AT1636" i="3"/>
  <c r="P1637" i="3"/>
  <c r="AD1637" i="3" s="1"/>
  <c r="AB1637" i="3"/>
  <c r="AG1637" i="3"/>
  <c r="AH1637" i="3" s="1"/>
  <c r="AJ1637" i="3"/>
  <c r="AL1637" i="3"/>
  <c r="AN1637" i="3"/>
  <c r="AP1637" i="3"/>
  <c r="AR1637" i="3"/>
  <c r="AT1637" i="3"/>
  <c r="P1638" i="3"/>
  <c r="T1638" i="3" s="1"/>
  <c r="AB1638" i="3"/>
  <c r="AG1638" i="3"/>
  <c r="AH1638" i="3" s="1"/>
  <c r="AJ1638" i="3"/>
  <c r="AL1638" i="3"/>
  <c r="AN1638" i="3"/>
  <c r="AP1638" i="3"/>
  <c r="AR1638" i="3"/>
  <c r="AT1638" i="3"/>
  <c r="P1639" i="3"/>
  <c r="AD1639" i="3" s="1"/>
  <c r="AB1639" i="3"/>
  <c r="AG1639" i="3"/>
  <c r="AH1639" i="3" s="1"/>
  <c r="AJ1639" i="3"/>
  <c r="AL1639" i="3"/>
  <c r="AN1639" i="3"/>
  <c r="AP1639" i="3"/>
  <c r="AR1639" i="3"/>
  <c r="AT1639" i="3"/>
  <c r="P1640" i="3"/>
  <c r="BA1640" i="3" s="1"/>
  <c r="BB1640" i="3" s="1"/>
  <c r="AB1640" i="3"/>
  <c r="AG1640" i="3"/>
  <c r="AH1640" i="3" s="1"/>
  <c r="AJ1640" i="3"/>
  <c r="AL1640" i="3"/>
  <c r="AN1640" i="3"/>
  <c r="AP1640" i="3"/>
  <c r="AR1640" i="3"/>
  <c r="AT1640" i="3"/>
  <c r="P1641" i="3"/>
  <c r="AD1641" i="3" s="1"/>
  <c r="AB1641" i="3"/>
  <c r="AG1641" i="3"/>
  <c r="AH1641" i="3" s="1"/>
  <c r="AJ1641" i="3"/>
  <c r="AL1641" i="3"/>
  <c r="AN1641" i="3"/>
  <c r="AP1641" i="3"/>
  <c r="AR1641" i="3"/>
  <c r="AT1641" i="3"/>
  <c r="P1642" i="3"/>
  <c r="BA1642" i="3" s="1"/>
  <c r="BB1642" i="3" s="1"/>
  <c r="AB1642" i="3"/>
  <c r="AG1642" i="3"/>
  <c r="AH1642" i="3" s="1"/>
  <c r="AJ1642" i="3"/>
  <c r="AL1642" i="3"/>
  <c r="AN1642" i="3"/>
  <c r="AP1642" i="3"/>
  <c r="AR1642" i="3"/>
  <c r="AT1642" i="3"/>
  <c r="P1643" i="3"/>
  <c r="AD1643" i="3" s="1"/>
  <c r="AB1643" i="3"/>
  <c r="AG1643" i="3"/>
  <c r="AH1643" i="3" s="1"/>
  <c r="AJ1643" i="3"/>
  <c r="AL1643" i="3"/>
  <c r="AN1643" i="3"/>
  <c r="AP1643" i="3"/>
  <c r="AR1643" i="3"/>
  <c r="AT1643" i="3"/>
  <c r="P1644" i="3"/>
  <c r="AB1644" i="3"/>
  <c r="AG1644" i="3"/>
  <c r="AH1644" i="3" s="1"/>
  <c r="AJ1644" i="3"/>
  <c r="AL1644" i="3"/>
  <c r="AN1644" i="3"/>
  <c r="AP1644" i="3"/>
  <c r="AR1644" i="3"/>
  <c r="AT1644" i="3"/>
  <c r="P1645" i="3"/>
  <c r="T1645" i="3" s="1"/>
  <c r="AB1645" i="3"/>
  <c r="AG1645" i="3"/>
  <c r="AH1645" i="3" s="1"/>
  <c r="AJ1645" i="3"/>
  <c r="AL1645" i="3"/>
  <c r="AN1645" i="3"/>
  <c r="AP1645" i="3"/>
  <c r="AR1645" i="3"/>
  <c r="AT1645" i="3"/>
  <c r="P1646" i="3"/>
  <c r="AD1646" i="3" s="1"/>
  <c r="AB1646" i="3"/>
  <c r="AG1646" i="3"/>
  <c r="AH1646" i="3" s="1"/>
  <c r="AJ1646" i="3"/>
  <c r="AL1646" i="3"/>
  <c r="AN1646" i="3"/>
  <c r="AP1646" i="3"/>
  <c r="AR1646" i="3"/>
  <c r="AT1646" i="3"/>
  <c r="P1647" i="3"/>
  <c r="Q1647" i="3" s="1"/>
  <c r="AB1647" i="3"/>
  <c r="AG1647" i="3"/>
  <c r="AH1647" i="3" s="1"/>
  <c r="AJ1647" i="3"/>
  <c r="AL1647" i="3"/>
  <c r="AN1647" i="3"/>
  <c r="AP1647" i="3"/>
  <c r="AR1647" i="3"/>
  <c r="AT1647" i="3"/>
  <c r="P1648" i="3"/>
  <c r="T1648" i="3" s="1"/>
  <c r="AB1648" i="3"/>
  <c r="AG1648" i="3"/>
  <c r="AH1648" i="3" s="1"/>
  <c r="AJ1648" i="3"/>
  <c r="AL1648" i="3"/>
  <c r="AN1648" i="3"/>
  <c r="AP1648" i="3"/>
  <c r="AR1648" i="3"/>
  <c r="AT1648" i="3"/>
  <c r="P1649" i="3"/>
  <c r="AD1649" i="3" s="1"/>
  <c r="AB1649" i="3"/>
  <c r="AG1649" i="3"/>
  <c r="AH1649" i="3" s="1"/>
  <c r="AJ1649" i="3"/>
  <c r="AL1649" i="3"/>
  <c r="AN1649" i="3"/>
  <c r="AP1649" i="3"/>
  <c r="AR1649" i="3"/>
  <c r="AT1649" i="3"/>
  <c r="P1650" i="3"/>
  <c r="Q1650" i="3" s="1"/>
  <c r="AB1650" i="3"/>
  <c r="AG1650" i="3"/>
  <c r="AH1650" i="3" s="1"/>
  <c r="AJ1650" i="3"/>
  <c r="AL1650" i="3"/>
  <c r="AN1650" i="3"/>
  <c r="AP1650" i="3"/>
  <c r="AR1650" i="3"/>
  <c r="AT1650" i="3"/>
  <c r="P1651" i="3"/>
  <c r="AD1651" i="3" s="1"/>
  <c r="AB1651" i="3"/>
  <c r="AG1651" i="3"/>
  <c r="AH1651" i="3" s="1"/>
  <c r="AJ1651" i="3"/>
  <c r="AL1651" i="3"/>
  <c r="AN1651" i="3"/>
  <c r="AP1651" i="3"/>
  <c r="AR1651" i="3"/>
  <c r="AT1651" i="3"/>
  <c r="P1652" i="3"/>
  <c r="AB1652" i="3"/>
  <c r="AG1652" i="3"/>
  <c r="AH1652" i="3" s="1"/>
  <c r="AJ1652" i="3"/>
  <c r="AL1652" i="3"/>
  <c r="AN1652" i="3"/>
  <c r="AP1652" i="3"/>
  <c r="AR1652" i="3"/>
  <c r="AT1652" i="3"/>
  <c r="P1653" i="3"/>
  <c r="AY1653" i="3" s="1"/>
  <c r="AZ1653" i="3" s="1"/>
  <c r="AB1653" i="3"/>
  <c r="AG1653" i="3"/>
  <c r="AH1653" i="3" s="1"/>
  <c r="AJ1653" i="3"/>
  <c r="AL1653" i="3"/>
  <c r="AN1653" i="3"/>
  <c r="AP1653" i="3"/>
  <c r="AR1653" i="3"/>
  <c r="AT1653" i="3"/>
  <c r="P1654" i="3"/>
  <c r="AD1654" i="3" s="1"/>
  <c r="AB1654" i="3"/>
  <c r="AG1654" i="3"/>
  <c r="AH1654" i="3" s="1"/>
  <c r="AJ1654" i="3"/>
  <c r="AL1654" i="3"/>
  <c r="AN1654" i="3"/>
  <c r="AP1654" i="3"/>
  <c r="AR1654" i="3"/>
  <c r="AT1654" i="3"/>
  <c r="P1655" i="3"/>
  <c r="Q1655" i="3" s="1"/>
  <c r="AB1655" i="3"/>
  <c r="AG1655" i="3"/>
  <c r="AH1655" i="3" s="1"/>
  <c r="AJ1655" i="3"/>
  <c r="AL1655" i="3"/>
  <c r="AN1655" i="3"/>
  <c r="AP1655" i="3"/>
  <c r="AR1655" i="3"/>
  <c r="AT1655" i="3"/>
  <c r="P1656" i="3"/>
  <c r="Q1656" i="3" s="1"/>
  <c r="AB1656" i="3"/>
  <c r="AG1656" i="3"/>
  <c r="AH1656" i="3" s="1"/>
  <c r="AJ1656" i="3"/>
  <c r="AL1656" i="3"/>
  <c r="AN1656" i="3"/>
  <c r="AP1656" i="3"/>
  <c r="AR1656" i="3"/>
  <c r="AT1656" i="3"/>
  <c r="P1657" i="3"/>
  <c r="Q1657" i="3" s="1"/>
  <c r="AB1657" i="3"/>
  <c r="AG1657" i="3"/>
  <c r="AH1657" i="3" s="1"/>
  <c r="AJ1657" i="3"/>
  <c r="AL1657" i="3"/>
  <c r="AN1657" i="3"/>
  <c r="AP1657" i="3"/>
  <c r="AR1657" i="3"/>
  <c r="AT1657" i="3"/>
  <c r="P1658" i="3"/>
  <c r="AY1658" i="3" s="1"/>
  <c r="AZ1658" i="3" s="1"/>
  <c r="AB1658" i="3"/>
  <c r="AG1658" i="3"/>
  <c r="AH1658" i="3" s="1"/>
  <c r="AJ1658" i="3"/>
  <c r="AL1658" i="3"/>
  <c r="AN1658" i="3"/>
  <c r="AP1658" i="3"/>
  <c r="AR1658" i="3"/>
  <c r="AT1658" i="3"/>
  <c r="P1659" i="3"/>
  <c r="AY1659" i="3" s="1"/>
  <c r="AZ1659" i="3" s="1"/>
  <c r="AB1659" i="3"/>
  <c r="AG1659" i="3"/>
  <c r="AH1659" i="3" s="1"/>
  <c r="AJ1659" i="3"/>
  <c r="AL1659" i="3"/>
  <c r="AN1659" i="3"/>
  <c r="AP1659" i="3"/>
  <c r="AR1659" i="3"/>
  <c r="AT1659" i="3"/>
  <c r="P1660" i="3"/>
  <c r="BA1660" i="3" s="1"/>
  <c r="BB1660" i="3" s="1"/>
  <c r="AB1660" i="3"/>
  <c r="AG1660" i="3"/>
  <c r="AH1660" i="3" s="1"/>
  <c r="AJ1660" i="3"/>
  <c r="AL1660" i="3"/>
  <c r="AN1660" i="3"/>
  <c r="AP1660" i="3"/>
  <c r="AR1660" i="3"/>
  <c r="AT1660" i="3"/>
  <c r="P1661" i="3"/>
  <c r="AD1661" i="3" s="1"/>
  <c r="AB1661" i="3"/>
  <c r="AG1661" i="3"/>
  <c r="AH1661" i="3" s="1"/>
  <c r="AJ1661" i="3"/>
  <c r="AL1661" i="3"/>
  <c r="AN1661" i="3"/>
  <c r="AP1661" i="3"/>
  <c r="AR1661" i="3"/>
  <c r="AT1661" i="3"/>
  <c r="P1662" i="3"/>
  <c r="AY1662" i="3" s="1"/>
  <c r="AZ1662" i="3" s="1"/>
  <c r="AB1662" i="3"/>
  <c r="AG1662" i="3"/>
  <c r="AH1662" i="3" s="1"/>
  <c r="AJ1662" i="3"/>
  <c r="AL1662" i="3"/>
  <c r="AN1662" i="3"/>
  <c r="AP1662" i="3"/>
  <c r="AR1662" i="3"/>
  <c r="AT1662" i="3"/>
  <c r="P1663" i="3"/>
  <c r="Q1663" i="3" s="1"/>
  <c r="AB1663" i="3"/>
  <c r="AG1663" i="3"/>
  <c r="AH1663" i="3" s="1"/>
  <c r="AJ1663" i="3"/>
  <c r="AL1663" i="3"/>
  <c r="AN1663" i="3"/>
  <c r="AP1663" i="3"/>
  <c r="AR1663" i="3"/>
  <c r="AT1663" i="3"/>
  <c r="P1664" i="3"/>
  <c r="AY1664" i="3" s="1"/>
  <c r="AZ1664" i="3" s="1"/>
  <c r="AB1664" i="3"/>
  <c r="AG1664" i="3"/>
  <c r="AH1664" i="3" s="1"/>
  <c r="AJ1664" i="3"/>
  <c r="AL1664" i="3"/>
  <c r="AN1664" i="3"/>
  <c r="AP1664" i="3"/>
  <c r="AR1664" i="3"/>
  <c r="AT1664" i="3"/>
  <c r="P1665" i="3"/>
  <c r="T1665" i="3" s="1"/>
  <c r="AB1665" i="3"/>
  <c r="AG1665" i="3"/>
  <c r="AH1665" i="3" s="1"/>
  <c r="AJ1665" i="3"/>
  <c r="AL1665" i="3"/>
  <c r="AN1665" i="3"/>
  <c r="AP1665" i="3"/>
  <c r="AR1665" i="3"/>
  <c r="AT1665" i="3"/>
  <c r="P1666" i="3"/>
  <c r="T1666" i="3" s="1"/>
  <c r="AB1666" i="3"/>
  <c r="AG1666" i="3"/>
  <c r="AH1666" i="3" s="1"/>
  <c r="AJ1666" i="3"/>
  <c r="AL1666" i="3"/>
  <c r="AN1666" i="3"/>
  <c r="AP1666" i="3"/>
  <c r="AR1666" i="3"/>
  <c r="AT1666" i="3"/>
  <c r="P1546" i="3"/>
  <c r="AB1546" i="3"/>
  <c r="AN1546" i="3"/>
  <c r="AP1546" i="3"/>
  <c r="AR1546" i="3"/>
  <c r="AT1546" i="3"/>
  <c r="AZ1546" i="3"/>
  <c r="P1542" i="3"/>
  <c r="AB1542" i="3"/>
  <c r="AN1542" i="3"/>
  <c r="AP1542" i="3"/>
  <c r="AR1542" i="3"/>
  <c r="AT1542" i="3"/>
  <c r="AZ1542" i="3"/>
  <c r="AB1537" i="3"/>
  <c r="P1525" i="3"/>
  <c r="BA1525" i="3" s="1"/>
  <c r="BB1525" i="3" s="1"/>
  <c r="AB1525" i="3"/>
  <c r="AG1525" i="3"/>
  <c r="AH1525" i="3" s="1"/>
  <c r="AN1525" i="3"/>
  <c r="AP1525" i="3"/>
  <c r="AR1525" i="3"/>
  <c r="AT1525" i="3"/>
  <c r="AZ1525" i="3"/>
  <c r="T1662" i="3" l="1"/>
  <c r="BA1587" i="3"/>
  <c r="BB1587" i="3" s="1"/>
  <c r="T1640" i="3"/>
  <c r="AD1608" i="3"/>
  <c r="T1619" i="3"/>
  <c r="BA1654" i="3"/>
  <c r="BB1654" i="3" s="1"/>
  <c r="AD1663" i="3"/>
  <c r="Q1620" i="3"/>
  <c r="T1642" i="3"/>
  <c r="Q1642" i="3"/>
  <c r="AD1617" i="3"/>
  <c r="T1654" i="3"/>
  <c r="AY1663" i="3"/>
  <c r="AZ1663" i="3" s="1"/>
  <c r="T1635" i="3"/>
  <c r="T1643" i="3"/>
  <c r="T1598" i="3"/>
  <c r="AY1608" i="3"/>
  <c r="AZ1608" i="3" s="1"/>
  <c r="BA1657" i="3"/>
  <c r="BB1657" i="3" s="1"/>
  <c r="AY1617" i="3"/>
  <c r="AZ1617" i="3" s="1"/>
  <c r="T1661" i="3"/>
  <c r="T1657" i="3"/>
  <c r="Q1654" i="3"/>
  <c r="BA1645" i="3"/>
  <c r="BB1645" i="3" s="1"/>
  <c r="AY1639" i="3"/>
  <c r="AZ1639" i="3" s="1"/>
  <c r="Q1617" i="3"/>
  <c r="Q1661" i="3"/>
  <c r="T1649" i="3"/>
  <c r="AY1645" i="3"/>
  <c r="AZ1645" i="3" s="1"/>
  <c r="AD1645" i="3"/>
  <c r="T1633" i="3"/>
  <c r="AY1621" i="3"/>
  <c r="AZ1621" i="3" s="1"/>
  <c r="AD1621" i="3"/>
  <c r="Q1645" i="3"/>
  <c r="BA1664" i="3"/>
  <c r="BB1664" i="3" s="1"/>
  <c r="BA1662" i="3"/>
  <c r="BB1662" i="3" s="1"/>
  <c r="AD1625" i="3"/>
  <c r="AY1640" i="3"/>
  <c r="AZ1640" i="3" s="1"/>
  <c r="BA1617" i="3"/>
  <c r="BB1617" i="3" s="1"/>
  <c r="BA1603" i="3"/>
  <c r="BB1603" i="3" s="1"/>
  <c r="AD1664" i="3"/>
  <c r="AY1657" i="3"/>
  <c r="AZ1657" i="3" s="1"/>
  <c r="AD1657" i="3"/>
  <c r="Q1638" i="3"/>
  <c r="BA1604" i="3"/>
  <c r="BB1604" i="3" s="1"/>
  <c r="AY1603" i="3"/>
  <c r="AZ1603" i="3" s="1"/>
  <c r="BA1635" i="3"/>
  <c r="BB1635" i="3" s="1"/>
  <c r="AY1604" i="3"/>
  <c r="AZ1604" i="3" s="1"/>
  <c r="AY1665" i="3"/>
  <c r="AZ1665" i="3" s="1"/>
  <c r="AD1665" i="3"/>
  <c r="Q1664" i="3"/>
  <c r="Q1659" i="3"/>
  <c r="AY1635" i="3"/>
  <c r="AZ1635" i="3" s="1"/>
  <c r="AD1635" i="3"/>
  <c r="BA1626" i="3"/>
  <c r="BB1626" i="3" s="1"/>
  <c r="BA1620" i="3"/>
  <c r="BB1620" i="3" s="1"/>
  <c r="BA1616" i="3"/>
  <c r="BB1616" i="3" s="1"/>
  <c r="AD1604" i="3"/>
  <c r="BA1665" i="3"/>
  <c r="BB1665" i="3" s="1"/>
  <c r="AY1643" i="3"/>
  <c r="AZ1643" i="3" s="1"/>
  <c r="BA1638" i="3"/>
  <c r="BB1638" i="3" s="1"/>
  <c r="AY1620" i="3"/>
  <c r="AZ1620" i="3" s="1"/>
  <c r="AD1620" i="3"/>
  <c r="BA1607" i="3"/>
  <c r="BB1607" i="3" s="1"/>
  <c r="Q1665" i="3"/>
  <c r="BA1656" i="3"/>
  <c r="BB1656" i="3" s="1"/>
  <c r="AY1638" i="3"/>
  <c r="AZ1638" i="3" s="1"/>
  <c r="AD1638" i="3"/>
  <c r="T1604" i="3"/>
  <c r="BA1661" i="3"/>
  <c r="BB1661" i="3" s="1"/>
  <c r="AD1656" i="3"/>
  <c r="AY1642" i="3"/>
  <c r="AZ1642" i="3" s="1"/>
  <c r="T1632" i="3"/>
  <c r="AY1616" i="3"/>
  <c r="AZ1616" i="3" s="1"/>
  <c r="AD1616" i="3"/>
  <c r="AY1661" i="3"/>
  <c r="AZ1661" i="3" s="1"/>
  <c r="AY1654" i="3"/>
  <c r="AZ1654" i="3" s="1"/>
  <c r="T1651" i="3"/>
  <c r="BA1649" i="3"/>
  <c r="BB1649" i="3" s="1"/>
  <c r="AD1642" i="3"/>
  <c r="BA1630" i="3"/>
  <c r="BB1630" i="3" s="1"/>
  <c r="AY1626" i="3"/>
  <c r="AZ1626" i="3" s="1"/>
  <c r="BA1613" i="3"/>
  <c r="BB1613" i="3" s="1"/>
  <c r="Q1611" i="3"/>
  <c r="T1608" i="3"/>
  <c r="Q1651" i="3"/>
  <c r="AD1630" i="3"/>
  <c r="AZ1630" i="3" s="1"/>
  <c r="AD1626" i="3"/>
  <c r="AY1613" i="3"/>
  <c r="AZ1613" i="3" s="1"/>
  <c r="AD1613" i="3"/>
  <c r="Q1608" i="3"/>
  <c r="T1595" i="3"/>
  <c r="AY1595" i="3"/>
  <c r="AZ1595" i="3" s="1"/>
  <c r="T1616" i="3"/>
  <c r="BA1650" i="3"/>
  <c r="BB1650" i="3" s="1"/>
  <c r="BA1646" i="3"/>
  <c r="BB1646" i="3" s="1"/>
  <c r="AY1587" i="3"/>
  <c r="AZ1587" i="3" s="1"/>
  <c r="BA1651" i="3"/>
  <c r="BB1651" i="3" s="1"/>
  <c r="T1626" i="3"/>
  <c r="T1664" i="3"/>
  <c r="AY1651" i="3"/>
  <c r="AZ1651" i="3" s="1"/>
  <c r="T1641" i="3"/>
  <c r="BA1612" i="3"/>
  <c r="BB1612" i="3" s="1"/>
  <c r="AY1600" i="3"/>
  <c r="AZ1600" i="3" s="1"/>
  <c r="BA1634" i="3"/>
  <c r="BB1634" i="3" s="1"/>
  <c r="BA1631" i="3"/>
  <c r="BB1631" i="3" s="1"/>
  <c r="AZ1631" i="3"/>
  <c r="T1630" i="3"/>
  <c r="AZ1627" i="3"/>
  <c r="BA1615" i="3"/>
  <c r="BB1615" i="3" s="1"/>
  <c r="BA1609" i="3"/>
  <c r="BB1609" i="3" s="1"/>
  <c r="BA1601" i="3"/>
  <c r="BB1601" i="3" s="1"/>
  <c r="AZ1601" i="3"/>
  <c r="BA1597" i="3"/>
  <c r="BB1597" i="3" s="1"/>
  <c r="AD1597" i="3"/>
  <c r="AZ1597" i="3" s="1"/>
  <c r="BA1596" i="3"/>
  <c r="BB1596" i="3" s="1"/>
  <c r="AZ1596" i="3"/>
  <c r="BA1589" i="3"/>
  <c r="BB1589" i="3" s="1"/>
  <c r="BA1588" i="3"/>
  <c r="BB1588" i="3" s="1"/>
  <c r="BA1585" i="3"/>
  <c r="BB1585" i="3" s="1"/>
  <c r="AD1585" i="3"/>
  <c r="AZ1585" i="3" s="1"/>
  <c r="BA1584" i="3"/>
  <c r="BB1584" i="3" s="1"/>
  <c r="AZ1582" i="3"/>
  <c r="Q1652" i="3"/>
  <c r="AD1652" i="3"/>
  <c r="BA1652" i="3"/>
  <c r="BB1652" i="3" s="1"/>
  <c r="AY1652" i="3"/>
  <c r="AZ1652" i="3" s="1"/>
  <c r="T1652" i="3"/>
  <c r="T1655" i="3"/>
  <c r="BA1655" i="3"/>
  <c r="BB1655" i="3" s="1"/>
  <c r="AD1655" i="3"/>
  <c r="T1650" i="3"/>
  <c r="AD1650" i="3"/>
  <c r="AY1650" i="3"/>
  <c r="AZ1650" i="3" s="1"/>
  <c r="Q1648" i="3"/>
  <c r="AD1648" i="3"/>
  <c r="AY1648" i="3"/>
  <c r="AZ1648" i="3" s="1"/>
  <c r="Q1666" i="3"/>
  <c r="AD1666" i="3"/>
  <c r="BA1666" i="3"/>
  <c r="BB1666" i="3" s="1"/>
  <c r="Q1658" i="3"/>
  <c r="AD1658" i="3"/>
  <c r="T1658" i="3"/>
  <c r="AY1660" i="3"/>
  <c r="AZ1660" i="3" s="1"/>
  <c r="T1660" i="3"/>
  <c r="AD1660" i="3"/>
  <c r="AD1647" i="3"/>
  <c r="AY1647" i="3"/>
  <c r="AZ1647" i="3" s="1"/>
  <c r="T1647" i="3"/>
  <c r="AY1666" i="3"/>
  <c r="AZ1666" i="3" s="1"/>
  <c r="BA1658" i="3"/>
  <c r="BB1658" i="3" s="1"/>
  <c r="AY1656" i="3"/>
  <c r="AZ1656" i="3" s="1"/>
  <c r="T1656" i="3"/>
  <c r="AY1655" i="3"/>
  <c r="AZ1655" i="3" s="1"/>
  <c r="BA1648" i="3"/>
  <c r="BB1648" i="3" s="1"/>
  <c r="Q1644" i="3"/>
  <c r="AD1644" i="3"/>
  <c r="T1644" i="3"/>
  <c r="AY1644" i="3"/>
  <c r="AZ1644" i="3" s="1"/>
  <c r="BA1644" i="3"/>
  <c r="BB1644" i="3" s="1"/>
  <c r="Q1637" i="3"/>
  <c r="AY1637" i="3"/>
  <c r="AZ1637" i="3" s="1"/>
  <c r="T1637" i="3"/>
  <c r="BA1637" i="3"/>
  <c r="BB1637" i="3" s="1"/>
  <c r="T1653" i="3"/>
  <c r="AD1653" i="3"/>
  <c r="Q1653" i="3"/>
  <c r="BA1653" i="3"/>
  <c r="BB1653" i="3" s="1"/>
  <c r="Q1660" i="3"/>
  <c r="BA1647" i="3"/>
  <c r="BB1647" i="3" s="1"/>
  <c r="Q1662" i="3"/>
  <c r="AD1662" i="3"/>
  <c r="Q1649" i="3"/>
  <c r="AY1649" i="3"/>
  <c r="AZ1649" i="3" s="1"/>
  <c r="Q1641" i="3"/>
  <c r="T1639" i="3"/>
  <c r="Q1639" i="3"/>
  <c r="BA1639" i="3"/>
  <c r="BB1639" i="3" s="1"/>
  <c r="AZ1636" i="3"/>
  <c r="AD1634" i="3"/>
  <c r="AZ1634" i="3" s="1"/>
  <c r="AY1625" i="3"/>
  <c r="AZ1625" i="3" s="1"/>
  <c r="Q1625" i="3"/>
  <c r="BA1625" i="3"/>
  <c r="BB1625" i="3" s="1"/>
  <c r="Q1621" i="3"/>
  <c r="BA1621" i="3"/>
  <c r="BB1621" i="3" s="1"/>
  <c r="Q1632" i="3"/>
  <c r="AD1632" i="3"/>
  <c r="AD1623" i="3"/>
  <c r="AY1623" i="3"/>
  <c r="AZ1623" i="3" s="1"/>
  <c r="T1623" i="3"/>
  <c r="T1659" i="3"/>
  <c r="BA1659" i="3"/>
  <c r="BB1659" i="3" s="1"/>
  <c r="Q1646" i="3"/>
  <c r="AY1646" i="3"/>
  <c r="AZ1646" i="3" s="1"/>
  <c r="T1646" i="3"/>
  <c r="Q1643" i="3"/>
  <c r="BA1643" i="3"/>
  <c r="BB1643" i="3" s="1"/>
  <c r="BA1641" i="3"/>
  <c r="BB1641" i="3" s="1"/>
  <c r="BA1627" i="3"/>
  <c r="BB1627" i="3" s="1"/>
  <c r="AZ1629" i="3"/>
  <c r="T1663" i="3"/>
  <c r="BA1663" i="3"/>
  <c r="BB1663" i="3" s="1"/>
  <c r="AD1659" i="3"/>
  <c r="AY1641" i="3"/>
  <c r="AZ1641" i="3" s="1"/>
  <c r="BA1633" i="3"/>
  <c r="BB1633" i="3" s="1"/>
  <c r="Q1633" i="3"/>
  <c r="AY1633" i="3"/>
  <c r="AZ1633" i="3" s="1"/>
  <c r="BA1632" i="3"/>
  <c r="BB1632" i="3" s="1"/>
  <c r="BA1623" i="3"/>
  <c r="BB1623" i="3" s="1"/>
  <c r="AY1619" i="3"/>
  <c r="AZ1619" i="3" s="1"/>
  <c r="Q1619" i="3"/>
  <c r="BA1619" i="3"/>
  <c r="BB1619" i="3" s="1"/>
  <c r="Q1624" i="3"/>
  <c r="AD1624" i="3"/>
  <c r="T1624" i="3"/>
  <c r="BA1624" i="3"/>
  <c r="BB1624" i="3" s="1"/>
  <c r="AY1624" i="3"/>
  <c r="AZ1624" i="3" s="1"/>
  <c r="BA1636" i="3"/>
  <c r="BB1636" i="3" s="1"/>
  <c r="Q1628" i="3"/>
  <c r="AD1628" i="3"/>
  <c r="T1628" i="3"/>
  <c r="BA1628" i="3"/>
  <c r="BB1628" i="3" s="1"/>
  <c r="BA1605" i="3"/>
  <c r="BB1605" i="3" s="1"/>
  <c r="Q1613" i="3"/>
  <c r="Q1610" i="3"/>
  <c r="AD1610" i="3"/>
  <c r="T1610" i="3"/>
  <c r="BA1610" i="3"/>
  <c r="BB1610" i="3" s="1"/>
  <c r="AY1610" i="3"/>
  <c r="AZ1610" i="3" s="1"/>
  <c r="Q1640" i="3"/>
  <c r="AD1640" i="3"/>
  <c r="T1622" i="3"/>
  <c r="BA1622" i="3"/>
  <c r="BB1622" i="3" s="1"/>
  <c r="Q1622" i="3"/>
  <c r="AY1622" i="3"/>
  <c r="AZ1622" i="3" s="1"/>
  <c r="Q1618" i="3"/>
  <c r="AD1618" i="3"/>
  <c r="T1618" i="3"/>
  <c r="BA1618" i="3"/>
  <c r="BB1618" i="3" s="1"/>
  <c r="Q1602" i="3"/>
  <c r="AD1602" i="3"/>
  <c r="T1602" i="3"/>
  <c r="BA1602" i="3"/>
  <c r="BB1602" i="3" s="1"/>
  <c r="AY1611" i="3"/>
  <c r="AZ1611" i="3" s="1"/>
  <c r="T1611" i="3"/>
  <c r="AD1611" i="3"/>
  <c r="AZ1606" i="3"/>
  <c r="Q1600" i="3"/>
  <c r="T1600" i="3"/>
  <c r="BA1592" i="3"/>
  <c r="BB1592" i="3" s="1"/>
  <c r="AY1592" i="3"/>
  <c r="AZ1592" i="3" s="1"/>
  <c r="AD1591" i="3"/>
  <c r="AZ1591" i="3" s="1"/>
  <c r="BA1591" i="3"/>
  <c r="BB1591" i="3" s="1"/>
  <c r="BA1586" i="3"/>
  <c r="BB1586" i="3" s="1"/>
  <c r="Q1614" i="3"/>
  <c r="AD1614" i="3"/>
  <c r="T1614" i="3"/>
  <c r="BA1614" i="3"/>
  <c r="BB1614" i="3" s="1"/>
  <c r="BA1600" i="3"/>
  <c r="BB1600" i="3" s="1"/>
  <c r="AD1590" i="3"/>
  <c r="AZ1590" i="3" s="1"/>
  <c r="Q1607" i="3"/>
  <c r="AD1607" i="3"/>
  <c r="AY1607" i="3"/>
  <c r="AZ1607" i="3" s="1"/>
  <c r="Q1599" i="3"/>
  <c r="AD1599" i="3"/>
  <c r="BA1599" i="3"/>
  <c r="BB1599" i="3" s="1"/>
  <c r="AY1599" i="3"/>
  <c r="AZ1599" i="3" s="1"/>
  <c r="BA1594" i="3"/>
  <c r="BB1594" i="3" s="1"/>
  <c r="BA1583" i="3"/>
  <c r="BB1583" i="3" s="1"/>
  <c r="AZ1583" i="3"/>
  <c r="AZ1586" i="3"/>
  <c r="Q1598" i="3"/>
  <c r="AD1598" i="3"/>
  <c r="AY1598" i="3"/>
  <c r="AZ1598" i="3" s="1"/>
  <c r="Q1603" i="3"/>
  <c r="AD1603" i="3"/>
  <c r="Q1595" i="3"/>
  <c r="AD1595" i="3"/>
  <c r="Q1587" i="3"/>
  <c r="AD1587" i="3"/>
  <c r="BA1546" i="3"/>
  <c r="BB1546" i="3" s="1"/>
  <c r="BA1542" i="3"/>
  <c r="BB1542" i="3" s="1"/>
  <c r="AJ1509" i="3"/>
  <c r="AJ1494" i="3"/>
  <c r="AB1494" i="3"/>
  <c r="AZ1481" i="3"/>
  <c r="P1468" i="3"/>
  <c r="AD1468" i="3" s="1"/>
  <c r="AZ1468" i="3" s="1"/>
  <c r="AB1468" i="3"/>
  <c r="AG1468" i="3"/>
  <c r="AH1468" i="3" s="1"/>
  <c r="AJ1468" i="3"/>
  <c r="AN1468" i="3"/>
  <c r="AP1468" i="3"/>
  <c r="AR1468" i="3"/>
  <c r="AT1468" i="3"/>
  <c r="P1471" i="3"/>
  <c r="BA1471" i="3" s="1"/>
  <c r="BB1471" i="3" s="1"/>
  <c r="AB1471" i="3"/>
  <c r="AG1471" i="3"/>
  <c r="AH1471" i="3" s="1"/>
  <c r="AJ1471" i="3"/>
  <c r="AN1471" i="3"/>
  <c r="AP1471" i="3"/>
  <c r="AR1471" i="3"/>
  <c r="AT1471" i="3"/>
  <c r="AZ1469" i="3"/>
  <c r="P1445" i="3"/>
  <c r="BA1445" i="3" s="1"/>
  <c r="BB1445" i="3" s="1"/>
  <c r="AB1445" i="3"/>
  <c r="AN1445" i="3"/>
  <c r="AP1445" i="3"/>
  <c r="AR1445" i="3"/>
  <c r="AT1445" i="3"/>
  <c r="AZ1445" i="3"/>
  <c r="P1447" i="3"/>
  <c r="AD1447" i="3" s="1"/>
  <c r="AB1447" i="3"/>
  <c r="AJ1447" i="3"/>
  <c r="AL1447" i="3"/>
  <c r="AN1447" i="3"/>
  <c r="AP1447" i="3"/>
  <c r="AR1447" i="3"/>
  <c r="AT1447" i="3"/>
  <c r="P1448" i="3"/>
  <c r="AB1448" i="3"/>
  <c r="AJ1448" i="3"/>
  <c r="AN1448" i="3"/>
  <c r="AP1448" i="3"/>
  <c r="AR1448" i="3"/>
  <c r="AT1448" i="3"/>
  <c r="P1449" i="3"/>
  <c r="AB1449" i="3"/>
  <c r="AG1449" i="3"/>
  <c r="AH1449" i="3" s="1"/>
  <c r="AJ1449" i="3"/>
  <c r="AN1449" i="3"/>
  <c r="AP1449" i="3"/>
  <c r="AR1449" i="3"/>
  <c r="AT1449" i="3"/>
  <c r="P1450" i="3"/>
  <c r="AY1450" i="3" s="1"/>
  <c r="AZ1450" i="3" s="1"/>
  <c r="AB1450" i="3"/>
  <c r="AG1450" i="3"/>
  <c r="AH1450" i="3" s="1"/>
  <c r="AJ1450" i="3"/>
  <c r="AL1450" i="3"/>
  <c r="AN1450" i="3"/>
  <c r="AP1450" i="3"/>
  <c r="AR1450" i="3"/>
  <c r="AT1450" i="3"/>
  <c r="P1451" i="3"/>
  <c r="AZ1451" i="3" s="1"/>
  <c r="AB1451" i="3"/>
  <c r="AG1451" i="3"/>
  <c r="AH1451" i="3" s="1"/>
  <c r="AN1451" i="3"/>
  <c r="AP1451" i="3"/>
  <c r="AR1451" i="3"/>
  <c r="AT1451" i="3"/>
  <c r="P1452" i="3"/>
  <c r="AB1452" i="3"/>
  <c r="AG1452" i="3"/>
  <c r="AH1452" i="3" s="1"/>
  <c r="AJ1452" i="3"/>
  <c r="AL1452" i="3"/>
  <c r="AN1452" i="3"/>
  <c r="AP1452" i="3"/>
  <c r="AR1452" i="3"/>
  <c r="AT1452" i="3"/>
  <c r="P1453" i="3"/>
  <c r="AD1453" i="3" s="1"/>
  <c r="AB1453" i="3"/>
  <c r="AG1453" i="3"/>
  <c r="AH1453" i="3" s="1"/>
  <c r="AJ1453" i="3"/>
  <c r="AN1453" i="3"/>
  <c r="AP1453" i="3"/>
  <c r="AR1453" i="3"/>
  <c r="AT1453" i="3"/>
  <c r="P1454" i="3"/>
  <c r="AB1454" i="3"/>
  <c r="AN1454" i="3"/>
  <c r="AP1454" i="3"/>
  <c r="AR1454" i="3"/>
  <c r="AT1454" i="3"/>
  <c r="AZ1454" i="3"/>
  <c r="P1455" i="3"/>
  <c r="AB1455" i="3"/>
  <c r="AG1455" i="3"/>
  <c r="AH1455" i="3" s="1"/>
  <c r="AN1455" i="3"/>
  <c r="AP1455" i="3"/>
  <c r="AR1455" i="3"/>
  <c r="AT1455" i="3"/>
  <c r="AZ1455" i="3"/>
  <c r="P1456" i="3"/>
  <c r="AD1456" i="3" s="1"/>
  <c r="AB1456" i="3"/>
  <c r="AG1456" i="3"/>
  <c r="AH1456" i="3" s="1"/>
  <c r="AJ1456" i="3"/>
  <c r="AL1456" i="3"/>
  <c r="AN1456" i="3"/>
  <c r="AP1456" i="3"/>
  <c r="AR1456" i="3"/>
  <c r="AT1456" i="3"/>
  <c r="P1457" i="3"/>
  <c r="AB1457" i="3"/>
  <c r="AJ1457" i="3"/>
  <c r="AN1457" i="3"/>
  <c r="AP1457" i="3"/>
  <c r="AR1457" i="3"/>
  <c r="AT1457" i="3"/>
  <c r="P1458" i="3"/>
  <c r="AD1458" i="3" s="1"/>
  <c r="AB1458" i="3"/>
  <c r="AJ1458" i="3"/>
  <c r="AN1458" i="3"/>
  <c r="AP1458" i="3"/>
  <c r="AR1458" i="3"/>
  <c r="AT1458" i="3"/>
  <c r="P1459" i="3"/>
  <c r="BA1459" i="3" s="1"/>
  <c r="BB1459" i="3" s="1"/>
  <c r="AB1459" i="3"/>
  <c r="AG1459" i="3"/>
  <c r="AH1459" i="3" s="1"/>
  <c r="AJ1459" i="3"/>
  <c r="AN1459" i="3"/>
  <c r="AP1459" i="3"/>
  <c r="AR1459" i="3"/>
  <c r="AT1459" i="3"/>
  <c r="P1460" i="3"/>
  <c r="AB1460" i="3"/>
  <c r="AN1460" i="3"/>
  <c r="AP1460" i="3"/>
  <c r="AR1460" i="3"/>
  <c r="AT1460" i="3"/>
  <c r="P1461" i="3"/>
  <c r="AB1461" i="3"/>
  <c r="AJ1461" i="3"/>
  <c r="AN1461" i="3"/>
  <c r="AP1461" i="3"/>
  <c r="AR1461" i="3"/>
  <c r="AT1461" i="3"/>
  <c r="P1462" i="3"/>
  <c r="AB1462" i="3"/>
  <c r="AG1462" i="3"/>
  <c r="AH1462" i="3" s="1"/>
  <c r="AJ1462" i="3"/>
  <c r="AN1462" i="3"/>
  <c r="AP1462" i="3"/>
  <c r="AR1462" i="3"/>
  <c r="AT1462" i="3"/>
  <c r="P1463" i="3"/>
  <c r="BA1463" i="3" s="1"/>
  <c r="BB1463" i="3" s="1"/>
  <c r="AB1463" i="3"/>
  <c r="AN1463" i="3"/>
  <c r="AP1463" i="3"/>
  <c r="AR1463" i="3"/>
  <c r="AT1463" i="3"/>
  <c r="P1464" i="3"/>
  <c r="AB1464" i="3"/>
  <c r="AN1464" i="3"/>
  <c r="AP1464" i="3"/>
  <c r="AR1464" i="3"/>
  <c r="AT1464" i="3"/>
  <c r="AZ1464" i="3"/>
  <c r="P1465" i="3"/>
  <c r="AB1465" i="3"/>
  <c r="AJ1465" i="3"/>
  <c r="AN1465" i="3"/>
  <c r="AP1465" i="3"/>
  <c r="AR1465" i="3"/>
  <c r="AT1465" i="3"/>
  <c r="P1466" i="3"/>
  <c r="AB1466" i="3"/>
  <c r="AJ1466" i="3"/>
  <c r="AN1466" i="3"/>
  <c r="AP1466" i="3"/>
  <c r="AR1466" i="3"/>
  <c r="AT1466" i="3"/>
  <c r="P1467" i="3"/>
  <c r="BA1467" i="3" s="1"/>
  <c r="BB1467" i="3" s="1"/>
  <c r="AB1467" i="3"/>
  <c r="AG1467" i="3"/>
  <c r="AH1467" i="3" s="1"/>
  <c r="AJ1467" i="3"/>
  <c r="AN1467" i="3"/>
  <c r="AP1467" i="3"/>
  <c r="AR1467" i="3"/>
  <c r="AT1467" i="3"/>
  <c r="P1469" i="3"/>
  <c r="AB1469" i="3"/>
  <c r="AN1469" i="3"/>
  <c r="AP1469" i="3"/>
  <c r="AR1469" i="3"/>
  <c r="AT1469" i="3"/>
  <c r="P1470" i="3"/>
  <c r="AD1470" i="3" s="1"/>
  <c r="AB1470" i="3"/>
  <c r="AG1470" i="3"/>
  <c r="AH1470" i="3" s="1"/>
  <c r="AJ1470" i="3"/>
  <c r="AN1470" i="3"/>
  <c r="AP1470" i="3"/>
  <c r="AR1470" i="3"/>
  <c r="AT1470" i="3"/>
  <c r="P1472" i="3"/>
  <c r="BA1472" i="3" s="1"/>
  <c r="BB1472" i="3" s="1"/>
  <c r="AB1472" i="3"/>
  <c r="AJ1472" i="3"/>
  <c r="AN1472" i="3"/>
  <c r="AP1472" i="3"/>
  <c r="AR1472" i="3"/>
  <c r="AT1472" i="3"/>
  <c r="P1473" i="3"/>
  <c r="AB1473" i="3"/>
  <c r="AN1473" i="3"/>
  <c r="AP1473" i="3"/>
  <c r="AR1473" i="3"/>
  <c r="AT1473" i="3"/>
  <c r="P1474" i="3"/>
  <c r="AD1474" i="3" s="1"/>
  <c r="AB1474" i="3"/>
  <c r="AN1474" i="3"/>
  <c r="AP1474" i="3"/>
  <c r="AR1474" i="3"/>
  <c r="AT1474" i="3"/>
  <c r="P1475" i="3"/>
  <c r="AD1475" i="3" s="1"/>
  <c r="AB1475" i="3"/>
  <c r="AG1475" i="3"/>
  <c r="AH1475" i="3" s="1"/>
  <c r="AJ1475" i="3"/>
  <c r="AL1475" i="3"/>
  <c r="AN1475" i="3"/>
  <c r="AP1475" i="3"/>
  <c r="AR1475" i="3"/>
  <c r="AT1475" i="3"/>
  <c r="P1476" i="3"/>
  <c r="AB1476" i="3"/>
  <c r="AH1476" i="3"/>
  <c r="AJ1476" i="3"/>
  <c r="AN1476" i="3"/>
  <c r="AP1476" i="3"/>
  <c r="AR1476" i="3"/>
  <c r="AT1476" i="3"/>
  <c r="P1477" i="3"/>
  <c r="AB1477" i="3"/>
  <c r="AN1477" i="3"/>
  <c r="AP1477" i="3"/>
  <c r="AR1477" i="3"/>
  <c r="AT1477" i="3"/>
  <c r="P1478" i="3"/>
  <c r="AD1478" i="3" s="1"/>
  <c r="AB1478" i="3"/>
  <c r="AJ1478" i="3"/>
  <c r="AL1478" i="3"/>
  <c r="AN1478" i="3"/>
  <c r="AP1478" i="3"/>
  <c r="AR1478" i="3"/>
  <c r="AT1478" i="3"/>
  <c r="P1479" i="3"/>
  <c r="AB1479" i="3"/>
  <c r="AG1479" i="3"/>
  <c r="AH1479" i="3" s="1"/>
  <c r="AJ1479" i="3"/>
  <c r="AN1479" i="3"/>
  <c r="AP1479" i="3"/>
  <c r="AR1479" i="3"/>
  <c r="AT1479" i="3"/>
  <c r="P1480" i="3"/>
  <c r="BA1480" i="3" s="1"/>
  <c r="BB1480" i="3" s="1"/>
  <c r="AB1480" i="3"/>
  <c r="AG1480" i="3"/>
  <c r="AH1480" i="3" s="1"/>
  <c r="AJ1480" i="3"/>
  <c r="AN1480" i="3"/>
  <c r="AP1480" i="3"/>
  <c r="AR1480" i="3"/>
  <c r="AT1480" i="3"/>
  <c r="P1481" i="3"/>
  <c r="BA1481" i="3" s="1"/>
  <c r="BB1481" i="3" s="1"/>
  <c r="AB1481" i="3"/>
  <c r="AG1481" i="3"/>
  <c r="AH1481" i="3" s="1"/>
  <c r="AN1481" i="3"/>
  <c r="AP1481" i="3"/>
  <c r="AR1481" i="3"/>
  <c r="AT1481" i="3"/>
  <c r="P1482" i="3"/>
  <c r="AB1482" i="3"/>
  <c r="AJ1482" i="3"/>
  <c r="AL1482" i="3"/>
  <c r="AN1482" i="3"/>
  <c r="AP1482" i="3"/>
  <c r="AR1482" i="3"/>
  <c r="AT1482" i="3"/>
  <c r="P1483" i="3"/>
  <c r="AB1483" i="3"/>
  <c r="AG1483" i="3"/>
  <c r="AH1483" i="3" s="1"/>
  <c r="AJ1483" i="3"/>
  <c r="AN1483" i="3"/>
  <c r="AP1483" i="3"/>
  <c r="AR1483" i="3"/>
  <c r="AT1483" i="3"/>
  <c r="P1484" i="3"/>
  <c r="AB1484" i="3"/>
  <c r="AJ1484" i="3"/>
  <c r="AL1484" i="3"/>
  <c r="AN1484" i="3"/>
  <c r="AP1484" i="3"/>
  <c r="AR1484" i="3"/>
  <c r="AT1484" i="3"/>
  <c r="P1485" i="3"/>
  <c r="AB1485" i="3"/>
  <c r="AG1485" i="3"/>
  <c r="AH1485" i="3" s="1"/>
  <c r="AN1485" i="3"/>
  <c r="AP1485" i="3"/>
  <c r="AR1485" i="3"/>
  <c r="AT1485" i="3"/>
  <c r="P1486" i="3"/>
  <c r="AB1486" i="3"/>
  <c r="AJ1486" i="3"/>
  <c r="AN1486" i="3"/>
  <c r="AP1486" i="3"/>
  <c r="AR1486" i="3"/>
  <c r="AT1486" i="3"/>
  <c r="P1487" i="3"/>
  <c r="AB1487" i="3"/>
  <c r="AG1487" i="3"/>
  <c r="AH1487" i="3" s="1"/>
  <c r="AJ1487" i="3"/>
  <c r="AN1487" i="3"/>
  <c r="AP1487" i="3"/>
  <c r="AR1487" i="3"/>
  <c r="AT1487" i="3"/>
  <c r="P1488" i="3"/>
  <c r="BA1488" i="3" s="1"/>
  <c r="BB1488" i="3" s="1"/>
  <c r="AB1488" i="3"/>
  <c r="AL1488" i="3"/>
  <c r="AN1488" i="3"/>
  <c r="AP1488" i="3"/>
  <c r="AR1488" i="3"/>
  <c r="AT1488" i="3"/>
  <c r="P1489" i="3"/>
  <c r="AB1489" i="3"/>
  <c r="AJ1489" i="3"/>
  <c r="AN1489" i="3"/>
  <c r="AP1489" i="3"/>
  <c r="AR1489" i="3"/>
  <c r="AT1489" i="3"/>
  <c r="P1490" i="3"/>
  <c r="AB1490" i="3"/>
  <c r="AN1490" i="3"/>
  <c r="AP1490" i="3"/>
  <c r="AR1490" i="3"/>
  <c r="AT1490" i="3"/>
  <c r="P1491" i="3"/>
  <c r="AB1491" i="3"/>
  <c r="AJ1491" i="3"/>
  <c r="AN1491" i="3"/>
  <c r="AP1491" i="3"/>
  <c r="AR1491" i="3"/>
  <c r="AT1491" i="3"/>
  <c r="P1492" i="3"/>
  <c r="BA1492" i="3" s="1"/>
  <c r="BB1492" i="3" s="1"/>
  <c r="AB1492" i="3"/>
  <c r="AJ1492" i="3"/>
  <c r="AL1492" i="3"/>
  <c r="AN1492" i="3"/>
  <c r="AP1492" i="3"/>
  <c r="AR1492" i="3"/>
  <c r="AT1492" i="3"/>
  <c r="P1493" i="3"/>
  <c r="AB1493" i="3"/>
  <c r="AG1493" i="3"/>
  <c r="AH1493" i="3" s="1"/>
  <c r="AN1493" i="3"/>
  <c r="AP1493" i="3"/>
  <c r="AR1493" i="3"/>
  <c r="AT1493" i="3"/>
  <c r="P1494" i="3"/>
  <c r="AD1494" i="3" s="1"/>
  <c r="AG1494" i="3"/>
  <c r="AH1494" i="3" s="1"/>
  <c r="AN1494" i="3"/>
  <c r="AP1494" i="3"/>
  <c r="AR1494" i="3"/>
  <c r="AT1494" i="3"/>
  <c r="P1495" i="3"/>
  <c r="AB1495" i="3"/>
  <c r="AG1495" i="3"/>
  <c r="AH1495" i="3" s="1"/>
  <c r="AJ1495" i="3"/>
  <c r="AN1495" i="3"/>
  <c r="AP1495" i="3"/>
  <c r="AR1495" i="3"/>
  <c r="AT1495" i="3"/>
  <c r="P1496" i="3"/>
  <c r="AB1496" i="3"/>
  <c r="AG1496" i="3"/>
  <c r="AH1496" i="3" s="1"/>
  <c r="AJ1496" i="3"/>
  <c r="AN1496" i="3"/>
  <c r="AP1496" i="3"/>
  <c r="AR1496" i="3"/>
  <c r="AT1496" i="3"/>
  <c r="P1497" i="3"/>
  <c r="AB1497" i="3"/>
  <c r="AG1497" i="3"/>
  <c r="AH1497" i="3" s="1"/>
  <c r="AN1497" i="3"/>
  <c r="AP1497" i="3"/>
  <c r="AR1497" i="3"/>
  <c r="AT1497" i="3"/>
  <c r="P1498" i="3"/>
  <c r="AB1498" i="3"/>
  <c r="AJ1498" i="3"/>
  <c r="AL1498" i="3"/>
  <c r="AN1498" i="3"/>
  <c r="AP1498" i="3"/>
  <c r="AR1498" i="3"/>
  <c r="AT1498" i="3"/>
  <c r="P1499" i="3"/>
  <c r="AB1499" i="3"/>
  <c r="AG1499" i="3"/>
  <c r="AH1499" i="3" s="1"/>
  <c r="AJ1499" i="3"/>
  <c r="AN1499" i="3"/>
  <c r="AP1499" i="3"/>
  <c r="AR1499" i="3"/>
  <c r="AT1499" i="3"/>
  <c r="P1500" i="3"/>
  <c r="AB1500" i="3"/>
  <c r="AN1500" i="3"/>
  <c r="AP1500" i="3"/>
  <c r="AR1500" i="3"/>
  <c r="AT1500" i="3"/>
  <c r="P1501" i="3"/>
  <c r="AD1501" i="3" s="1"/>
  <c r="AB1501" i="3"/>
  <c r="AG1501" i="3"/>
  <c r="AH1501" i="3" s="1"/>
  <c r="AL1501" i="3"/>
  <c r="AN1501" i="3"/>
  <c r="AP1501" i="3"/>
  <c r="AR1501" i="3"/>
  <c r="AT1501" i="3"/>
  <c r="P1502" i="3"/>
  <c r="AB1502" i="3"/>
  <c r="AG1502" i="3"/>
  <c r="AH1502" i="3" s="1"/>
  <c r="AJ1502" i="3"/>
  <c r="AN1502" i="3"/>
  <c r="AP1502" i="3"/>
  <c r="AR1502" i="3"/>
  <c r="AT1502" i="3"/>
  <c r="P1503" i="3"/>
  <c r="AB1503" i="3"/>
  <c r="AJ1503" i="3"/>
  <c r="AL1503" i="3"/>
  <c r="AN1503" i="3"/>
  <c r="AP1503" i="3"/>
  <c r="AR1503" i="3"/>
  <c r="AT1503" i="3"/>
  <c r="P1504" i="3"/>
  <c r="AB1504" i="3"/>
  <c r="AG1504" i="3"/>
  <c r="AH1504" i="3" s="1"/>
  <c r="AJ1504" i="3"/>
  <c r="AN1504" i="3"/>
  <c r="AP1504" i="3"/>
  <c r="AR1504" i="3"/>
  <c r="AT1504" i="3"/>
  <c r="P1505" i="3"/>
  <c r="AD1505" i="3" s="1"/>
  <c r="AB1505" i="3"/>
  <c r="AG1505" i="3"/>
  <c r="AH1505" i="3" s="1"/>
  <c r="AJ1505" i="3"/>
  <c r="AL1505" i="3"/>
  <c r="AN1505" i="3"/>
  <c r="AP1505" i="3"/>
  <c r="AR1505" i="3"/>
  <c r="AT1505" i="3"/>
  <c r="P1506" i="3"/>
  <c r="AB1506" i="3"/>
  <c r="AJ1506" i="3"/>
  <c r="AL1506" i="3"/>
  <c r="AN1506" i="3"/>
  <c r="AP1506" i="3"/>
  <c r="AR1506" i="3"/>
  <c r="AT1506" i="3"/>
  <c r="P1507" i="3"/>
  <c r="AB1507" i="3"/>
  <c r="AN1507" i="3"/>
  <c r="AP1507" i="3"/>
  <c r="AR1507" i="3"/>
  <c r="AT1507" i="3"/>
  <c r="P1508" i="3"/>
  <c r="AB1508" i="3"/>
  <c r="AG1508" i="3"/>
  <c r="AH1508" i="3" s="1"/>
  <c r="AN1508" i="3"/>
  <c r="AP1508" i="3"/>
  <c r="AR1508" i="3"/>
  <c r="AT1508" i="3"/>
  <c r="P1509" i="3"/>
  <c r="AD1509" i="3" s="1"/>
  <c r="AB1509" i="3"/>
  <c r="AG1509" i="3"/>
  <c r="AH1509" i="3" s="1"/>
  <c r="AN1509" i="3"/>
  <c r="AP1509" i="3"/>
  <c r="AR1509" i="3"/>
  <c r="AT1509" i="3"/>
  <c r="P1510" i="3"/>
  <c r="AB1510" i="3"/>
  <c r="AG1510" i="3"/>
  <c r="AH1510" i="3" s="1"/>
  <c r="AJ1510" i="3"/>
  <c r="AN1510" i="3"/>
  <c r="AP1510" i="3"/>
  <c r="AR1510" i="3"/>
  <c r="AT1510" i="3"/>
  <c r="P1511" i="3"/>
  <c r="AB1511" i="3"/>
  <c r="AL1511" i="3"/>
  <c r="AN1511" i="3"/>
  <c r="AP1511" i="3"/>
  <c r="AR1511" i="3"/>
  <c r="AT1511" i="3"/>
  <c r="P1512" i="3"/>
  <c r="AB1512" i="3"/>
  <c r="AG1512" i="3"/>
  <c r="AH1512" i="3" s="1"/>
  <c r="AJ1512" i="3"/>
  <c r="AN1512" i="3"/>
  <c r="AP1512" i="3"/>
  <c r="AR1512" i="3"/>
  <c r="AT1512" i="3"/>
  <c r="P1513" i="3"/>
  <c r="AB1513" i="3"/>
  <c r="AG1513" i="3"/>
  <c r="AH1513" i="3" s="1"/>
  <c r="AJ1513" i="3"/>
  <c r="AN1513" i="3"/>
  <c r="AP1513" i="3"/>
  <c r="AR1513" i="3"/>
  <c r="AT1513" i="3"/>
  <c r="P1514" i="3"/>
  <c r="AZ1514" i="3" s="1"/>
  <c r="AB1514" i="3"/>
  <c r="AN1514" i="3"/>
  <c r="AP1514" i="3"/>
  <c r="AR1514" i="3"/>
  <c r="AT1514" i="3"/>
  <c r="P1515" i="3"/>
  <c r="AD1515" i="3" s="1"/>
  <c r="AB1515" i="3"/>
  <c r="AJ1515" i="3"/>
  <c r="AL1515" i="3"/>
  <c r="AN1515" i="3"/>
  <c r="AP1515" i="3"/>
  <c r="AR1515" i="3"/>
  <c r="AT1515" i="3"/>
  <c r="P1516" i="3"/>
  <c r="Q1516" i="3" s="1"/>
  <c r="AB1516" i="3"/>
  <c r="AG1516" i="3"/>
  <c r="AH1516" i="3" s="1"/>
  <c r="AJ1516" i="3"/>
  <c r="AL1516" i="3"/>
  <c r="AN1516" i="3"/>
  <c r="AP1516" i="3"/>
  <c r="AR1516" i="3"/>
  <c r="AT1516" i="3"/>
  <c r="P1517" i="3"/>
  <c r="AB1517" i="3"/>
  <c r="AJ1517" i="3"/>
  <c r="AN1517" i="3"/>
  <c r="AP1517" i="3"/>
  <c r="AR1517" i="3"/>
  <c r="AT1517" i="3"/>
  <c r="P1518" i="3"/>
  <c r="AB1518" i="3"/>
  <c r="AG1518" i="3"/>
  <c r="AH1518" i="3" s="1"/>
  <c r="AJ1518" i="3"/>
  <c r="AN1518" i="3"/>
  <c r="AP1518" i="3"/>
  <c r="AR1518" i="3"/>
  <c r="AT1518" i="3"/>
  <c r="P1519" i="3"/>
  <c r="AB1519" i="3"/>
  <c r="AG1519" i="3"/>
  <c r="AH1519" i="3" s="1"/>
  <c r="AJ1519" i="3"/>
  <c r="AN1519" i="3"/>
  <c r="AP1519" i="3"/>
  <c r="AR1519" i="3"/>
  <c r="AT1519" i="3"/>
  <c r="P1520" i="3"/>
  <c r="AB1520" i="3"/>
  <c r="AJ1520" i="3"/>
  <c r="AN1520" i="3"/>
  <c r="AP1520" i="3"/>
  <c r="AR1520" i="3"/>
  <c r="AT1520" i="3"/>
  <c r="P1521" i="3"/>
  <c r="AB1521" i="3"/>
  <c r="AG1521" i="3"/>
  <c r="AH1521" i="3" s="1"/>
  <c r="AN1521" i="3"/>
  <c r="AP1521" i="3"/>
  <c r="AR1521" i="3"/>
  <c r="AT1521" i="3"/>
  <c r="P1522" i="3"/>
  <c r="AD1522" i="3" s="1"/>
  <c r="AB1522" i="3"/>
  <c r="AG1522" i="3"/>
  <c r="AH1522" i="3" s="1"/>
  <c r="AJ1522" i="3"/>
  <c r="AN1522" i="3"/>
  <c r="AP1522" i="3"/>
  <c r="AR1522" i="3"/>
  <c r="AT1522" i="3"/>
  <c r="P1523" i="3"/>
  <c r="BA1523" i="3" s="1"/>
  <c r="BB1523" i="3" s="1"/>
  <c r="AB1523" i="3"/>
  <c r="AG1523" i="3"/>
  <c r="AH1523" i="3" s="1"/>
  <c r="AJ1523" i="3"/>
  <c r="AN1523" i="3"/>
  <c r="AP1523" i="3"/>
  <c r="AR1523" i="3"/>
  <c r="AT1523" i="3"/>
  <c r="P1524" i="3"/>
  <c r="AB1524" i="3"/>
  <c r="AG1524" i="3"/>
  <c r="AH1524" i="3" s="1"/>
  <c r="AN1524" i="3"/>
  <c r="AP1524" i="3"/>
  <c r="AR1524" i="3"/>
  <c r="AT1524" i="3"/>
  <c r="P1526" i="3"/>
  <c r="AB1526" i="3"/>
  <c r="AL1526" i="3"/>
  <c r="AP1526" i="3"/>
  <c r="AR1526" i="3"/>
  <c r="AT1526" i="3"/>
  <c r="P1527" i="3"/>
  <c r="BA1527" i="3" s="1"/>
  <c r="BB1527" i="3" s="1"/>
  <c r="AB1527" i="3"/>
  <c r="AG1527" i="3"/>
  <c r="AH1527" i="3" s="1"/>
  <c r="AN1527" i="3"/>
  <c r="AP1527" i="3"/>
  <c r="AR1527" i="3"/>
  <c r="AT1527" i="3"/>
  <c r="P1528" i="3"/>
  <c r="AB1528" i="3"/>
  <c r="AN1528" i="3"/>
  <c r="AP1528" i="3"/>
  <c r="AR1528" i="3"/>
  <c r="AT1528" i="3"/>
  <c r="P1529" i="3"/>
  <c r="AB1529" i="3"/>
  <c r="AG1529" i="3"/>
  <c r="AH1529" i="3" s="1"/>
  <c r="AJ1529" i="3"/>
  <c r="AN1529" i="3"/>
  <c r="AP1529" i="3"/>
  <c r="AR1529" i="3"/>
  <c r="AT1529" i="3"/>
  <c r="P1530" i="3"/>
  <c r="AB1530" i="3"/>
  <c r="AN1530" i="3"/>
  <c r="AP1530" i="3"/>
  <c r="AR1530" i="3"/>
  <c r="AT1530" i="3"/>
  <c r="P1531" i="3"/>
  <c r="AB1531" i="3"/>
  <c r="AG1531" i="3"/>
  <c r="AH1531" i="3" s="1"/>
  <c r="AJ1531" i="3"/>
  <c r="AN1531" i="3"/>
  <c r="AP1531" i="3"/>
  <c r="AR1531" i="3"/>
  <c r="AT1531" i="3"/>
  <c r="P1532" i="3"/>
  <c r="AB1532" i="3"/>
  <c r="AG1532" i="3"/>
  <c r="AH1532" i="3" s="1"/>
  <c r="AN1532" i="3"/>
  <c r="AP1532" i="3"/>
  <c r="AR1532" i="3"/>
  <c r="AT1532" i="3"/>
  <c r="P1533" i="3"/>
  <c r="AB1533" i="3"/>
  <c r="AJ1533" i="3"/>
  <c r="AN1533" i="3"/>
  <c r="AP1533" i="3"/>
  <c r="AR1533" i="3"/>
  <c r="P1534" i="3"/>
  <c r="AD1534" i="3" s="1"/>
  <c r="AB1534" i="3"/>
  <c r="AG1534" i="3"/>
  <c r="AH1534" i="3" s="1"/>
  <c r="AJ1534" i="3"/>
  <c r="AN1534" i="3"/>
  <c r="AP1534" i="3"/>
  <c r="AR1534" i="3"/>
  <c r="AT1534" i="3"/>
  <c r="P1535" i="3"/>
  <c r="AB1535" i="3"/>
  <c r="AN1535" i="3"/>
  <c r="AP1535" i="3"/>
  <c r="AR1535" i="3"/>
  <c r="AT1535" i="3"/>
  <c r="P1536" i="3"/>
  <c r="AB1536" i="3"/>
  <c r="AG1536" i="3"/>
  <c r="AH1536" i="3" s="1"/>
  <c r="AJ1536" i="3"/>
  <c r="AN1536" i="3"/>
  <c r="AP1536" i="3"/>
  <c r="AR1536" i="3"/>
  <c r="AT1536" i="3"/>
  <c r="P1537" i="3"/>
  <c r="AN1537" i="3"/>
  <c r="AP1537" i="3"/>
  <c r="AR1537" i="3"/>
  <c r="AT1537" i="3"/>
  <c r="P1538" i="3"/>
  <c r="AB1538" i="3"/>
  <c r="AJ1538" i="3"/>
  <c r="AL1538" i="3"/>
  <c r="AN1538" i="3"/>
  <c r="AP1538" i="3"/>
  <c r="AR1538" i="3"/>
  <c r="AT1538" i="3"/>
  <c r="P1539" i="3"/>
  <c r="AB1539" i="3"/>
  <c r="AJ1539" i="3"/>
  <c r="AN1539" i="3"/>
  <c r="AP1539" i="3"/>
  <c r="AR1539" i="3"/>
  <c r="AT1539" i="3"/>
  <c r="P1540" i="3"/>
  <c r="AB1540" i="3"/>
  <c r="AJ1540" i="3"/>
  <c r="AN1540" i="3"/>
  <c r="AP1540" i="3"/>
  <c r="AR1540" i="3"/>
  <c r="AT1540" i="3"/>
  <c r="P1541" i="3"/>
  <c r="AZ1541" i="3" s="1"/>
  <c r="AB1541" i="3"/>
  <c r="AJ1541" i="3"/>
  <c r="AN1541" i="3"/>
  <c r="AP1541" i="3"/>
  <c r="AR1541" i="3"/>
  <c r="AT1541" i="3"/>
  <c r="P1543" i="3"/>
  <c r="BA1543" i="3" s="1"/>
  <c r="BB1543" i="3" s="1"/>
  <c r="AB1543" i="3"/>
  <c r="AG1543" i="3"/>
  <c r="AH1543" i="3" s="1"/>
  <c r="AJ1543" i="3"/>
  <c r="AN1543" i="3"/>
  <c r="AP1543" i="3"/>
  <c r="AR1543" i="3"/>
  <c r="AT1543" i="3"/>
  <c r="P1544" i="3"/>
  <c r="BA1544" i="3" s="1"/>
  <c r="BB1544" i="3" s="1"/>
  <c r="AB1544" i="3"/>
  <c r="AL1544" i="3"/>
  <c r="AN1544" i="3"/>
  <c r="AP1544" i="3"/>
  <c r="AR1544" i="3"/>
  <c r="AT1544" i="3"/>
  <c r="P1545" i="3"/>
  <c r="AB1545" i="3"/>
  <c r="AJ1545" i="3"/>
  <c r="AN1545" i="3"/>
  <c r="AP1545" i="3"/>
  <c r="AR1545" i="3"/>
  <c r="AT1545" i="3"/>
  <c r="P1547" i="3"/>
  <c r="AZ1547" i="3" s="1"/>
  <c r="AB1547" i="3"/>
  <c r="AG1547" i="3"/>
  <c r="AH1547" i="3" s="1"/>
  <c r="AN1547" i="3"/>
  <c r="AP1547" i="3"/>
  <c r="AR1547" i="3"/>
  <c r="AT1547" i="3"/>
  <c r="P1548" i="3"/>
  <c r="AB1548" i="3"/>
  <c r="AJ1548" i="3"/>
  <c r="AL1548" i="3"/>
  <c r="AN1548" i="3"/>
  <c r="AP1548" i="3"/>
  <c r="AR1548" i="3"/>
  <c r="AT1548" i="3"/>
  <c r="P1549" i="3"/>
  <c r="T1549" i="3" s="1"/>
  <c r="AB1549" i="3"/>
  <c r="AJ1549" i="3"/>
  <c r="AN1549" i="3"/>
  <c r="AP1549" i="3"/>
  <c r="AR1549" i="3"/>
  <c r="AT1549" i="3"/>
  <c r="P1550" i="3"/>
  <c r="AB1550" i="3"/>
  <c r="AN1550" i="3"/>
  <c r="AP1550" i="3"/>
  <c r="AR1550" i="3"/>
  <c r="AT1550" i="3"/>
  <c r="P1551" i="3"/>
  <c r="T1551" i="3" s="1"/>
  <c r="AB1551" i="3"/>
  <c r="AJ1551" i="3"/>
  <c r="AL1551" i="3"/>
  <c r="AN1551" i="3"/>
  <c r="AP1551" i="3"/>
  <c r="AR1551" i="3"/>
  <c r="AT1551" i="3"/>
  <c r="P1552" i="3"/>
  <c r="AB1552" i="3"/>
  <c r="AJ1552" i="3"/>
  <c r="AN1552" i="3"/>
  <c r="AP1552" i="3"/>
  <c r="AR1552" i="3"/>
  <c r="AT1552" i="3"/>
  <c r="P1553" i="3"/>
  <c r="AZ1553" i="3" s="1"/>
  <c r="AB1553" i="3"/>
  <c r="AN1553" i="3"/>
  <c r="AP1553" i="3"/>
  <c r="AR1553" i="3"/>
  <c r="AT1553" i="3"/>
  <c r="P1554" i="3"/>
  <c r="AD1554" i="3" s="1"/>
  <c r="AB1554" i="3"/>
  <c r="AJ1554" i="3"/>
  <c r="AL1554" i="3"/>
  <c r="AN1554" i="3"/>
  <c r="AP1554" i="3"/>
  <c r="AR1554" i="3"/>
  <c r="AT1554" i="3"/>
  <c r="P1555" i="3"/>
  <c r="AB1555" i="3"/>
  <c r="AJ1555" i="3"/>
  <c r="AN1555" i="3"/>
  <c r="AP1555" i="3"/>
  <c r="AR1555" i="3"/>
  <c r="AT1555" i="3"/>
  <c r="P1556" i="3"/>
  <c r="BA1556" i="3" s="1"/>
  <c r="BB1556" i="3" s="1"/>
  <c r="AN1556" i="3"/>
  <c r="AP1556" i="3"/>
  <c r="AR1556" i="3"/>
  <c r="AT1556" i="3"/>
  <c r="P1557" i="3"/>
  <c r="AB1557" i="3"/>
  <c r="AJ1557" i="3"/>
  <c r="AN1557" i="3"/>
  <c r="AP1557" i="3"/>
  <c r="AR1557" i="3"/>
  <c r="AT1557" i="3"/>
  <c r="P1558" i="3"/>
  <c r="AB1558" i="3"/>
  <c r="AG1558" i="3"/>
  <c r="AH1558" i="3" s="1"/>
  <c r="AJ1558" i="3"/>
  <c r="AN1558" i="3"/>
  <c r="AP1558" i="3"/>
  <c r="AR1558" i="3"/>
  <c r="AT1558" i="3"/>
  <c r="P1559" i="3"/>
  <c r="AD1559" i="3" s="1"/>
  <c r="AB1559" i="3"/>
  <c r="AJ1559" i="3"/>
  <c r="AN1559" i="3"/>
  <c r="AP1559" i="3"/>
  <c r="AR1559" i="3"/>
  <c r="P1560" i="3"/>
  <c r="BA1560" i="3" s="1"/>
  <c r="BB1560" i="3" s="1"/>
  <c r="AB1560" i="3"/>
  <c r="AJ1560" i="3"/>
  <c r="AL1560" i="3"/>
  <c r="AN1560" i="3"/>
  <c r="AP1560" i="3"/>
  <c r="AR1560" i="3"/>
  <c r="AT1560" i="3"/>
  <c r="P1561" i="3"/>
  <c r="BA1561" i="3" s="1"/>
  <c r="BB1561" i="3" s="1"/>
  <c r="AB1561" i="3"/>
  <c r="AG1561" i="3"/>
  <c r="AH1561" i="3" s="1"/>
  <c r="AJ1561" i="3"/>
  <c r="AL1561" i="3"/>
  <c r="AN1561" i="3"/>
  <c r="AP1561" i="3"/>
  <c r="AR1561" i="3"/>
  <c r="AT1561" i="3"/>
  <c r="P1562" i="3"/>
  <c r="BA1562" i="3" s="1"/>
  <c r="BB1562" i="3" s="1"/>
  <c r="AB1562" i="3"/>
  <c r="AN1562" i="3"/>
  <c r="AP1562" i="3"/>
  <c r="AR1562" i="3"/>
  <c r="AT1562" i="3"/>
  <c r="P1563" i="3"/>
  <c r="AD1563" i="3" s="1"/>
  <c r="AZ1563" i="3" s="1"/>
  <c r="AB1563" i="3"/>
  <c r="AG1563" i="3"/>
  <c r="AH1563" i="3" s="1"/>
  <c r="AJ1563" i="3"/>
  <c r="AN1563" i="3"/>
  <c r="AP1563" i="3"/>
  <c r="AR1563" i="3"/>
  <c r="AT1563" i="3"/>
  <c r="P1564" i="3"/>
  <c r="Q1564" i="3" s="1"/>
  <c r="AB1564" i="3"/>
  <c r="AG1564" i="3"/>
  <c r="AH1564" i="3" s="1"/>
  <c r="AJ1564" i="3"/>
  <c r="AL1564" i="3"/>
  <c r="AN1564" i="3"/>
  <c r="AP1564" i="3"/>
  <c r="AR1564" i="3"/>
  <c r="AT1564" i="3"/>
  <c r="P1565" i="3"/>
  <c r="BA1565" i="3" s="1"/>
  <c r="BB1565" i="3" s="1"/>
  <c r="AB1565" i="3"/>
  <c r="AN1565" i="3"/>
  <c r="AP1565" i="3"/>
  <c r="AR1565" i="3"/>
  <c r="AT1565" i="3"/>
  <c r="P1566" i="3"/>
  <c r="AZ1566" i="3" s="1"/>
  <c r="AB1566" i="3"/>
  <c r="AN1566" i="3"/>
  <c r="AP1566" i="3"/>
  <c r="AR1566" i="3"/>
  <c r="AT1566" i="3"/>
  <c r="P1567" i="3"/>
  <c r="AB1567" i="3"/>
  <c r="AG1567" i="3"/>
  <c r="AH1567" i="3" s="1"/>
  <c r="AJ1567" i="3"/>
  <c r="AN1567" i="3"/>
  <c r="AP1567" i="3"/>
  <c r="AR1567" i="3"/>
  <c r="AT1567" i="3"/>
  <c r="P1568" i="3"/>
  <c r="AB1568" i="3"/>
  <c r="AJ1568" i="3"/>
  <c r="AN1568" i="3"/>
  <c r="AP1568" i="3"/>
  <c r="AR1568" i="3"/>
  <c r="AT1568" i="3"/>
  <c r="P1569" i="3"/>
  <c r="BA1569" i="3" s="1"/>
  <c r="BB1569" i="3" s="1"/>
  <c r="AB1569" i="3"/>
  <c r="AG1569" i="3"/>
  <c r="AH1569" i="3" s="1"/>
  <c r="AJ1569" i="3"/>
  <c r="AL1569" i="3"/>
  <c r="AN1569" i="3"/>
  <c r="AP1569" i="3"/>
  <c r="AR1569" i="3"/>
  <c r="AT1569" i="3"/>
  <c r="P1570" i="3"/>
  <c r="Q1570" i="3" s="1"/>
  <c r="AB1570" i="3"/>
  <c r="AG1570" i="3"/>
  <c r="AH1570" i="3" s="1"/>
  <c r="AJ1570" i="3"/>
  <c r="AL1570" i="3"/>
  <c r="AN1570" i="3"/>
  <c r="AP1570" i="3"/>
  <c r="AR1570" i="3"/>
  <c r="AT1570" i="3"/>
  <c r="P1571" i="3"/>
  <c r="AB1571" i="3"/>
  <c r="AN1571" i="3"/>
  <c r="AP1571" i="3"/>
  <c r="AR1571" i="3"/>
  <c r="AT1571" i="3"/>
  <c r="P1572" i="3"/>
  <c r="AB1572" i="3"/>
  <c r="AN1572" i="3"/>
  <c r="AP1572" i="3"/>
  <c r="AR1572" i="3"/>
  <c r="AT1572" i="3"/>
  <c r="P1573" i="3"/>
  <c r="AB1573" i="3"/>
  <c r="AN1573" i="3"/>
  <c r="AP1573" i="3"/>
  <c r="AR1573" i="3"/>
  <c r="AT1573" i="3"/>
  <c r="P1574" i="3"/>
  <c r="AB1574" i="3"/>
  <c r="AN1574" i="3"/>
  <c r="AP1574" i="3"/>
  <c r="AR1574" i="3"/>
  <c r="AT1574" i="3"/>
  <c r="P1575" i="3"/>
  <c r="AB1575" i="3"/>
  <c r="AN1575" i="3"/>
  <c r="AP1575" i="3"/>
  <c r="AR1575" i="3"/>
  <c r="AT1575" i="3"/>
  <c r="P1576" i="3"/>
  <c r="AB1576" i="3"/>
  <c r="AN1576" i="3"/>
  <c r="AP1576" i="3"/>
  <c r="AR1576" i="3"/>
  <c r="AT1576" i="3"/>
  <c r="P1577" i="3"/>
  <c r="AB1577" i="3"/>
  <c r="AJ1577" i="3"/>
  <c r="AN1577" i="3"/>
  <c r="AP1577" i="3"/>
  <c r="AR1577" i="3"/>
  <c r="AT1577" i="3"/>
  <c r="P1578" i="3"/>
  <c r="AB1578" i="3"/>
  <c r="AN1578" i="3"/>
  <c r="AP1578" i="3"/>
  <c r="AR1578" i="3"/>
  <c r="AT1578" i="3"/>
  <c r="P1579" i="3"/>
  <c r="Q1579" i="3" s="1"/>
  <c r="AB1579" i="3"/>
  <c r="AG1579" i="3"/>
  <c r="AH1579" i="3" s="1"/>
  <c r="AJ1579" i="3"/>
  <c r="AL1579" i="3"/>
  <c r="AN1579" i="3"/>
  <c r="AP1579" i="3"/>
  <c r="AR1579" i="3"/>
  <c r="AT1579" i="3"/>
  <c r="P1580" i="3"/>
  <c r="Q1580" i="3" s="1"/>
  <c r="AB1580" i="3"/>
  <c r="AG1580" i="3"/>
  <c r="AH1580" i="3" s="1"/>
  <c r="AJ1580" i="3"/>
  <c r="AL1580" i="3"/>
  <c r="AN1580" i="3"/>
  <c r="AP1580" i="3"/>
  <c r="AR1580" i="3"/>
  <c r="AT1580" i="3"/>
  <c r="P1581" i="3"/>
  <c r="AB1581" i="3"/>
  <c r="AN1581" i="3"/>
  <c r="AP1581" i="3"/>
  <c r="AR1581" i="3"/>
  <c r="AT1581" i="3"/>
  <c r="BA1468" i="3" l="1"/>
  <c r="BB1468" i="3" s="1"/>
  <c r="AD1536" i="3"/>
  <c r="BA1576" i="3"/>
  <c r="BB1576" i="3" s="1"/>
  <c r="BA1572" i="3"/>
  <c r="BB1572" i="3" s="1"/>
  <c r="BA1524" i="3"/>
  <c r="BB1524" i="3" s="1"/>
  <c r="BA1551" i="3"/>
  <c r="BB1551" i="3" s="1"/>
  <c r="BA1485" i="3"/>
  <c r="BB1485" i="3" s="1"/>
  <c r="BA1519" i="3"/>
  <c r="BB1519" i="3" s="1"/>
  <c r="AZ1485" i="3"/>
  <c r="AD1560" i="3"/>
  <c r="AZ1560" i="3" s="1"/>
  <c r="AY1456" i="3"/>
  <c r="AZ1456" i="3" s="1"/>
  <c r="BA1579" i="3"/>
  <c r="BB1579" i="3" s="1"/>
  <c r="T1579" i="3"/>
  <c r="BA1554" i="3"/>
  <c r="BB1554" i="3" s="1"/>
  <c r="AY1544" i="3"/>
  <c r="AZ1544" i="3" s="1"/>
  <c r="AD1498" i="3"/>
  <c r="AZ1498" i="3" s="1"/>
  <c r="BA1458" i="3"/>
  <c r="BB1458" i="3" s="1"/>
  <c r="Q1456" i="3"/>
  <c r="AZ1526" i="3"/>
  <c r="AY1478" i="3"/>
  <c r="AZ1478" i="3" s="1"/>
  <c r="T1580" i="3"/>
  <c r="AY1561" i="3"/>
  <c r="AZ1561" i="3" s="1"/>
  <c r="BA1547" i="3"/>
  <c r="BB1547" i="3" s="1"/>
  <c r="BA1511" i="3"/>
  <c r="BB1511" i="3" s="1"/>
  <c r="AD1477" i="3"/>
  <c r="AZ1477" i="3" s="1"/>
  <c r="AD1476" i="3"/>
  <c r="AZ1476" i="3" s="1"/>
  <c r="AD1471" i="3"/>
  <c r="AZ1471" i="3" s="1"/>
  <c r="Q1501" i="3"/>
  <c r="BA1495" i="3"/>
  <c r="BB1495" i="3" s="1"/>
  <c r="AY1492" i="3"/>
  <c r="AZ1492" i="3" s="1"/>
  <c r="BA1499" i="3"/>
  <c r="BB1499" i="3" s="1"/>
  <c r="AD1495" i="3"/>
  <c r="AZ1495" i="3" s="1"/>
  <c r="BA1529" i="3"/>
  <c r="BB1529" i="3" s="1"/>
  <c r="AZ1524" i="3"/>
  <c r="AD1519" i="3"/>
  <c r="AZ1519" i="3" s="1"/>
  <c r="BA1502" i="3"/>
  <c r="BB1502" i="3" s="1"/>
  <c r="BA1575" i="3"/>
  <c r="BB1575" i="3" s="1"/>
  <c r="AZ1556" i="3"/>
  <c r="AY1554" i="3"/>
  <c r="AZ1554" i="3" s="1"/>
  <c r="AD1543" i="3"/>
  <c r="AZ1543" i="3" s="1"/>
  <c r="AD1513" i="3"/>
  <c r="AZ1513" i="3" s="1"/>
  <c r="BA1510" i="3"/>
  <c r="BB1510" i="3" s="1"/>
  <c r="BA1507" i="3"/>
  <c r="BB1507" i="3" s="1"/>
  <c r="BA1498" i="3"/>
  <c r="BB1498" i="3" s="1"/>
  <c r="BA1476" i="3"/>
  <c r="BB1476" i="3" s="1"/>
  <c r="AZ1539" i="3"/>
  <c r="BA1531" i="3"/>
  <c r="BB1531" i="3" s="1"/>
  <c r="AZ1507" i="3"/>
  <c r="AD1567" i="3"/>
  <c r="AZ1567" i="3" s="1"/>
  <c r="BA1535" i="3"/>
  <c r="BB1535" i="3" s="1"/>
  <c r="AZ1575" i="3"/>
  <c r="AD1555" i="3"/>
  <c r="AZ1555" i="3" s="1"/>
  <c r="BA1548" i="3"/>
  <c r="BB1548" i="3" s="1"/>
  <c r="BA1538" i="3"/>
  <c r="BB1538" i="3" s="1"/>
  <c r="AZ1535" i="3"/>
  <c r="BA1532" i="3"/>
  <c r="BB1532" i="3" s="1"/>
  <c r="AZ1528" i="3"/>
  <c r="BA1518" i="3"/>
  <c r="BB1518" i="3" s="1"/>
  <c r="AD1518" i="3"/>
  <c r="AZ1518" i="3" s="1"/>
  <c r="AZ1509" i="3"/>
  <c r="BA1503" i="3"/>
  <c r="BB1503" i="3" s="1"/>
  <c r="BA1477" i="3"/>
  <c r="BB1477" i="3" s="1"/>
  <c r="BA1541" i="3"/>
  <c r="BB1541" i="3" s="1"/>
  <c r="AZ1565" i="3"/>
  <c r="AZ1511" i="3"/>
  <c r="BA1549" i="3"/>
  <c r="BB1549" i="3" s="1"/>
  <c r="AD1538" i="3"/>
  <c r="AY1580" i="3"/>
  <c r="AZ1580" i="3" s="1"/>
  <c r="AD1580" i="3"/>
  <c r="AY1579" i="3"/>
  <c r="AZ1579" i="3" s="1"/>
  <c r="AZ1572" i="3"/>
  <c r="T1561" i="3"/>
  <c r="BA1552" i="3"/>
  <c r="BB1552" i="3" s="1"/>
  <c r="AZ1549" i="3"/>
  <c r="AD1523" i="3"/>
  <c r="AZ1523" i="3" s="1"/>
  <c r="AD1516" i="3"/>
  <c r="AY1515" i="3"/>
  <c r="AZ1515" i="3" s="1"/>
  <c r="BA1514" i="3"/>
  <c r="BB1514" i="3" s="1"/>
  <c r="AY1503" i="3"/>
  <c r="AZ1503" i="3" s="1"/>
  <c r="AD1502" i="3"/>
  <c r="AZ1502" i="3" s="1"/>
  <c r="AD1499" i="3"/>
  <c r="AZ1499" i="3" s="1"/>
  <c r="AD1496" i="3"/>
  <c r="AZ1496" i="3" s="1"/>
  <c r="BA1486" i="3"/>
  <c r="BB1486" i="3" s="1"/>
  <c r="AD1479" i="3"/>
  <c r="BA1466" i="3"/>
  <c r="BB1466" i="3" s="1"/>
  <c r="T1450" i="3"/>
  <c r="BA1580" i="3"/>
  <c r="BB1580" i="3" s="1"/>
  <c r="AZ1571" i="3"/>
  <c r="AZ1568" i="3"/>
  <c r="AZ1559" i="3"/>
  <c r="BA1533" i="3"/>
  <c r="BB1533" i="3" s="1"/>
  <c r="BA1528" i="3"/>
  <c r="BB1528" i="3" s="1"/>
  <c r="AD1503" i="3"/>
  <c r="BA1500" i="3"/>
  <c r="BB1500" i="3" s="1"/>
  <c r="BA1491" i="3"/>
  <c r="BB1491" i="3" s="1"/>
  <c r="BA1487" i="3"/>
  <c r="BB1487" i="3" s="1"/>
  <c r="BA1482" i="3"/>
  <c r="BB1482" i="3" s="1"/>
  <c r="AD1466" i="3"/>
  <c r="AZ1466" i="3" s="1"/>
  <c r="Q1450" i="3"/>
  <c r="AD1533" i="3"/>
  <c r="AZ1533" i="3" s="1"/>
  <c r="AZ1508" i="3"/>
  <c r="AD1491" i="3"/>
  <c r="AZ1491" i="3" s="1"/>
  <c r="AD1487" i="3"/>
  <c r="AZ1487" i="3" s="1"/>
  <c r="AD1486" i="3"/>
  <c r="AZ1486" i="3" s="1"/>
  <c r="AY1482" i="3"/>
  <c r="AZ1482" i="3" s="1"/>
  <c r="AD1482" i="3"/>
  <c r="BA1455" i="3"/>
  <c r="BB1455" i="3" s="1"/>
  <c r="BA1515" i="3"/>
  <c r="BB1515" i="3" s="1"/>
  <c r="AZ1581" i="3"/>
  <c r="BA1567" i="3"/>
  <c r="BB1567" i="3" s="1"/>
  <c r="BA1564" i="3"/>
  <c r="BB1564" i="3" s="1"/>
  <c r="BA1555" i="3"/>
  <c r="BB1555" i="3" s="1"/>
  <c r="BA1537" i="3"/>
  <c r="BB1537" i="3" s="1"/>
  <c r="AD1531" i="3"/>
  <c r="AZ1531" i="3" s="1"/>
  <c r="AD1529" i="3"/>
  <c r="BA1451" i="3"/>
  <c r="BB1451" i="3" s="1"/>
  <c r="BA1450" i="3"/>
  <c r="BB1450" i="3" s="1"/>
  <c r="AY1569" i="3"/>
  <c r="AZ1569" i="3" s="1"/>
  <c r="AY1564" i="3"/>
  <c r="AZ1564" i="3" s="1"/>
  <c r="AD1564" i="3"/>
  <c r="BA1553" i="3"/>
  <c r="BB1553" i="3" s="1"/>
  <c r="AZ1534" i="3"/>
  <c r="BA1484" i="3"/>
  <c r="BB1484" i="3" s="1"/>
  <c r="AZ1474" i="3"/>
  <c r="BA1571" i="3"/>
  <c r="BB1571" i="3" s="1"/>
  <c r="BA1558" i="3"/>
  <c r="BB1558" i="3" s="1"/>
  <c r="AZ1537" i="3"/>
  <c r="AY1501" i="3"/>
  <c r="AZ1501" i="3" s="1"/>
  <c r="AZ1458" i="3"/>
  <c r="BA1454" i="3"/>
  <c r="BB1454" i="3" s="1"/>
  <c r="AD1450" i="3"/>
  <c r="BA1473" i="3"/>
  <c r="BB1473" i="3" s="1"/>
  <c r="AZ1473" i="3"/>
  <c r="AD1472" i="3"/>
  <c r="AZ1472" i="3" s="1"/>
  <c r="AD1467" i="3"/>
  <c r="AZ1467" i="3" s="1"/>
  <c r="AZ1463" i="3"/>
  <c r="BA1462" i="3"/>
  <c r="BB1462" i="3" s="1"/>
  <c r="AD1462" i="3"/>
  <c r="AZ1462" i="3" s="1"/>
  <c r="AZ1460" i="3"/>
  <c r="AD1459" i="3"/>
  <c r="AZ1459" i="3" s="1"/>
  <c r="BA1447" i="3"/>
  <c r="BB1447" i="3" s="1"/>
  <c r="AY1447" i="3"/>
  <c r="AZ1447" i="3" s="1"/>
  <c r="AD1577" i="3"/>
  <c r="AZ1577" i="3" s="1"/>
  <c r="BA1577" i="3"/>
  <c r="BB1577" i="3" s="1"/>
  <c r="AZ1562" i="3"/>
  <c r="BA1559" i="3"/>
  <c r="BB1559" i="3" s="1"/>
  <c r="BA1573" i="3"/>
  <c r="BB1573" i="3" s="1"/>
  <c r="BA1566" i="3"/>
  <c r="BB1566" i="3" s="1"/>
  <c r="BA1581" i="3"/>
  <c r="BB1581" i="3" s="1"/>
  <c r="BA1578" i="3"/>
  <c r="BB1578" i="3" s="1"/>
  <c r="AZ1578" i="3"/>
  <c r="BA1563" i="3"/>
  <c r="BB1563" i="3" s="1"/>
  <c r="BA1545" i="3"/>
  <c r="BB1545" i="3" s="1"/>
  <c r="AD1545" i="3"/>
  <c r="AZ1545" i="3" s="1"/>
  <c r="BA1530" i="3"/>
  <c r="BB1530" i="3" s="1"/>
  <c r="AZ1530" i="3"/>
  <c r="BA1570" i="3"/>
  <c r="BB1570" i="3" s="1"/>
  <c r="T1570" i="3"/>
  <c r="AD1557" i="3"/>
  <c r="AZ1557" i="3" s="1"/>
  <c r="BA1557" i="3"/>
  <c r="BB1557" i="3" s="1"/>
  <c r="AD1552" i="3"/>
  <c r="AZ1552" i="3" s="1"/>
  <c r="BA1550" i="3"/>
  <c r="BB1550" i="3" s="1"/>
  <c r="AD1579" i="3"/>
  <c r="T1569" i="3"/>
  <c r="BA1568" i="3"/>
  <c r="BB1568" i="3" s="1"/>
  <c r="T1564" i="3"/>
  <c r="AD1558" i="3"/>
  <c r="AZ1558" i="3" s="1"/>
  <c r="AZ1550" i="3"/>
  <c r="BA1539" i="3"/>
  <c r="BB1539" i="3" s="1"/>
  <c r="BA1574" i="3"/>
  <c r="BB1574" i="3" s="1"/>
  <c r="AZ1574" i="3"/>
  <c r="AY1570" i="3"/>
  <c r="AZ1570" i="3" s="1"/>
  <c r="AD1570" i="3"/>
  <c r="AD1540" i="3"/>
  <c r="AZ1540" i="3" s="1"/>
  <c r="BA1540" i="3"/>
  <c r="BB1540" i="3" s="1"/>
  <c r="Q1569" i="3"/>
  <c r="AD1569" i="3"/>
  <c r="Q1552" i="3"/>
  <c r="Q1549" i="3"/>
  <c r="Q1550" i="3"/>
  <c r="AZ1527" i="3"/>
  <c r="BA1521" i="3"/>
  <c r="BB1521" i="3" s="1"/>
  <c r="AZ1521" i="3"/>
  <c r="AD1520" i="3"/>
  <c r="AZ1520" i="3" s="1"/>
  <c r="BA1520" i="3"/>
  <c r="BB1520" i="3" s="1"/>
  <c r="AD1504" i="3"/>
  <c r="AZ1504" i="3" s="1"/>
  <c r="BA1504" i="3"/>
  <c r="BB1504" i="3" s="1"/>
  <c r="Q1551" i="3"/>
  <c r="AD1551" i="3"/>
  <c r="AZ1551" i="3" s="1"/>
  <c r="BA1534" i="3"/>
  <c r="BB1534" i="3" s="1"/>
  <c r="AY1538" i="3"/>
  <c r="AZ1538" i="3" s="1"/>
  <c r="BA1536" i="3"/>
  <c r="BB1536" i="3" s="1"/>
  <c r="Q1561" i="3"/>
  <c r="AD1561" i="3"/>
  <c r="AY1548" i="3"/>
  <c r="AZ1548" i="3" s="1"/>
  <c r="AZ1536" i="3"/>
  <c r="AY1506" i="3"/>
  <c r="AZ1506" i="3" s="1"/>
  <c r="BA1506" i="3"/>
  <c r="BB1506" i="3" s="1"/>
  <c r="AD1506" i="3"/>
  <c r="BA1497" i="3"/>
  <c r="BB1497" i="3" s="1"/>
  <c r="AZ1497" i="3"/>
  <c r="BA1512" i="3"/>
  <c r="BB1512" i="3" s="1"/>
  <c r="AD1488" i="3"/>
  <c r="AZ1488" i="3" s="1"/>
  <c r="AZ1500" i="3"/>
  <c r="AZ1522" i="3"/>
  <c r="BA1522" i="3"/>
  <c r="BB1522" i="3" s="1"/>
  <c r="AY1516" i="3"/>
  <c r="AZ1516" i="3" s="1"/>
  <c r="BA1516" i="3"/>
  <c r="BB1516" i="3" s="1"/>
  <c r="T1516" i="3"/>
  <c r="AD1512" i="3"/>
  <c r="AZ1512" i="3" s="1"/>
  <c r="BA1513" i="3"/>
  <c r="BB1513" i="3" s="1"/>
  <c r="BA1517" i="3"/>
  <c r="BB1517" i="3" s="1"/>
  <c r="AZ1494" i="3"/>
  <c r="BA1494" i="3"/>
  <c r="BB1494" i="3" s="1"/>
  <c r="AD1510" i="3"/>
  <c r="AZ1510" i="3" s="1"/>
  <c r="BA1489" i="3"/>
  <c r="BB1489" i="3" s="1"/>
  <c r="AD1489" i="3"/>
  <c r="AZ1489" i="3" s="1"/>
  <c r="T1505" i="3"/>
  <c r="BA1505" i="3"/>
  <c r="BB1505" i="3" s="1"/>
  <c r="Q1505" i="3"/>
  <c r="AY1505" i="3"/>
  <c r="AZ1505" i="3" s="1"/>
  <c r="T1501" i="3"/>
  <c r="BA1501" i="3"/>
  <c r="BB1501" i="3" s="1"/>
  <c r="BA1493" i="3"/>
  <c r="BB1493" i="3" s="1"/>
  <c r="AZ1493" i="3"/>
  <c r="AZ1490" i="3"/>
  <c r="BA1490" i="3"/>
  <c r="BB1490" i="3" s="1"/>
  <c r="BA1483" i="3"/>
  <c r="BB1483" i="3" s="1"/>
  <c r="AD1483" i="3"/>
  <c r="AZ1483" i="3" s="1"/>
  <c r="AD1480" i="3"/>
  <c r="AZ1480" i="3" s="1"/>
  <c r="BA1478" i="3"/>
  <c r="BB1478" i="3" s="1"/>
  <c r="BA1509" i="3"/>
  <c r="BB1509" i="3" s="1"/>
  <c r="AD1484" i="3"/>
  <c r="AZ1484" i="3" s="1"/>
  <c r="BA1526" i="3"/>
  <c r="BB1526" i="3" s="1"/>
  <c r="BA1508" i="3"/>
  <c r="BB1508" i="3" s="1"/>
  <c r="BA1496" i="3"/>
  <c r="BB1496" i="3" s="1"/>
  <c r="AD1492" i="3"/>
  <c r="AZ1461" i="3"/>
  <c r="BA1461" i="3"/>
  <c r="BB1461" i="3" s="1"/>
  <c r="BA1479" i="3"/>
  <c r="BB1479" i="3" s="1"/>
  <c r="AY1475" i="3"/>
  <c r="AZ1475" i="3" s="1"/>
  <c r="BA1475" i="3"/>
  <c r="BB1475" i="3" s="1"/>
  <c r="BA1469" i="3"/>
  <c r="BB1469" i="3" s="1"/>
  <c r="BA1474" i="3"/>
  <c r="BB1474" i="3" s="1"/>
  <c r="BA1457" i="3"/>
  <c r="BB1457" i="3" s="1"/>
  <c r="AD1457" i="3"/>
  <c r="AZ1457" i="3" s="1"/>
  <c r="T1452" i="3"/>
  <c r="BA1452" i="3"/>
  <c r="BB1452" i="3" s="1"/>
  <c r="Q1452" i="3"/>
  <c r="AY1452" i="3"/>
  <c r="AZ1452" i="3" s="1"/>
  <c r="AZ1453" i="3"/>
  <c r="BA1453" i="3"/>
  <c r="BB1453" i="3" s="1"/>
  <c r="T1456" i="3"/>
  <c r="BA1456" i="3"/>
  <c r="BB1456" i="3" s="1"/>
  <c r="AD1452" i="3"/>
  <c r="AZ1465" i="3"/>
  <c r="BA1465" i="3"/>
  <c r="BB1465" i="3" s="1"/>
  <c r="BA1460" i="3"/>
  <c r="BB1460" i="3" s="1"/>
  <c r="BA1448" i="3"/>
  <c r="BB1448" i="3" s="1"/>
  <c r="AD1448" i="3"/>
  <c r="AZ1448" i="3" s="1"/>
  <c r="AZ1470" i="3"/>
  <c r="BA1470" i="3"/>
  <c r="BB1470" i="3" s="1"/>
  <c r="BA1464" i="3"/>
  <c r="BB1464" i="3" s="1"/>
  <c r="BA1449" i="3"/>
  <c r="BB1449" i="3" s="1"/>
  <c r="AD1449" i="3"/>
  <c r="AZ1449" i="3" s="1"/>
  <c r="AJ1395" i="3"/>
  <c r="AB1379" i="3"/>
  <c r="P1370" i="3"/>
  <c r="BA1370" i="3" s="1"/>
  <c r="BB1370" i="3" s="1"/>
  <c r="AB1370" i="3"/>
  <c r="AJ1370" i="3"/>
  <c r="AN1370" i="3"/>
  <c r="AP1370" i="3"/>
  <c r="AR1370" i="3"/>
  <c r="AT1370" i="3"/>
  <c r="AZ1370" i="3"/>
  <c r="P1327" i="3"/>
  <c r="AB1327" i="3"/>
  <c r="AN1327" i="3"/>
  <c r="AP1327" i="3"/>
  <c r="AR1327" i="3"/>
  <c r="AT1327" i="3"/>
  <c r="AZ1327" i="3"/>
  <c r="BA1327" i="3" l="1"/>
  <c r="BB1327" i="3" s="1"/>
  <c r="AJ1321" i="3"/>
  <c r="P1306" i="3"/>
  <c r="AB1306" i="3"/>
  <c r="AG1306" i="3"/>
  <c r="AH1306" i="3" s="1"/>
  <c r="AN1306" i="3"/>
  <c r="AP1306" i="3"/>
  <c r="AR1306" i="3"/>
  <c r="AT1306" i="3"/>
  <c r="AZ1306" i="3"/>
  <c r="P1270" i="3"/>
  <c r="BA1270" i="3" s="1"/>
  <c r="BB1270" i="3" s="1"/>
  <c r="AB1270" i="3"/>
  <c r="AN1270" i="3"/>
  <c r="AP1270" i="3"/>
  <c r="AR1270" i="3"/>
  <c r="AT1270" i="3"/>
  <c r="AZ1270" i="3"/>
  <c r="AB1254" i="3"/>
  <c r="BA1306" i="3" l="1"/>
  <c r="BB1306" i="3" s="1"/>
  <c r="AZ1171" i="3"/>
  <c r="AB1160" i="3"/>
  <c r="AJ1155" i="3"/>
  <c r="AG1036" i="3" l="1"/>
  <c r="AZ1030" i="3"/>
  <c r="P1022" i="3"/>
  <c r="BA1022" i="3" s="1"/>
  <c r="BB1022" i="3" s="1"/>
  <c r="AB1022" i="3"/>
  <c r="AG1022" i="3"/>
  <c r="AH1022" i="3" s="1"/>
  <c r="AJ1022" i="3"/>
  <c r="AL1022" i="3"/>
  <c r="AN1022" i="3"/>
  <c r="AP1022" i="3"/>
  <c r="AR1022" i="3"/>
  <c r="AT1022" i="3"/>
  <c r="AY1022" i="3" l="1"/>
  <c r="AZ1022" i="3" s="1"/>
  <c r="AD1022" i="3"/>
  <c r="AL160" i="3"/>
  <c r="AJ160" i="3"/>
  <c r="AG4" i="3" l="1"/>
  <c r="AG5" i="3"/>
  <c r="AH5" i="3" s="1"/>
  <c r="AG6" i="3"/>
  <c r="AG7" i="3"/>
  <c r="AG8" i="3"/>
  <c r="AH8" i="3" s="1"/>
  <c r="AG9" i="3"/>
  <c r="AH9" i="3" s="1"/>
  <c r="AG11" i="3"/>
  <c r="AH11" i="3" s="1"/>
  <c r="AG12" i="3"/>
  <c r="AH12" i="3" s="1"/>
  <c r="AG13" i="3"/>
  <c r="AG14" i="3"/>
  <c r="AH14" i="3" s="1"/>
  <c r="AG15" i="3"/>
  <c r="AH15" i="3" s="1"/>
  <c r="AG16" i="3"/>
  <c r="AG18" i="3"/>
  <c r="AH18" i="3" s="1"/>
  <c r="AG19" i="3"/>
  <c r="AH19" i="3" s="1"/>
  <c r="AG24" i="3"/>
  <c r="AH24" i="3" s="1"/>
  <c r="AG25" i="3"/>
  <c r="AH25" i="3" s="1"/>
  <c r="AG26" i="3"/>
  <c r="AG28" i="3"/>
  <c r="AH28" i="3" s="1"/>
  <c r="AG29" i="3"/>
  <c r="AG34" i="3"/>
  <c r="AG38" i="3"/>
  <c r="AH38" i="3" s="1"/>
  <c r="AG40" i="3"/>
  <c r="AH40" i="3" s="1"/>
  <c r="AG41" i="3"/>
  <c r="AH41" i="3" s="1"/>
  <c r="AG42" i="3"/>
  <c r="AH42" i="3" s="1"/>
  <c r="AG43" i="3"/>
  <c r="AH43" i="3" s="1"/>
  <c r="AG44" i="3"/>
  <c r="AG45" i="3"/>
  <c r="AH45" i="3" s="1"/>
  <c r="AG46" i="3"/>
  <c r="AG47" i="3"/>
  <c r="AH47" i="3" s="1"/>
  <c r="AG48" i="3"/>
  <c r="AH48" i="3" s="1"/>
  <c r="AG49" i="3"/>
  <c r="AH49" i="3" s="1"/>
  <c r="AG50" i="3"/>
  <c r="AH50" i="3" s="1"/>
  <c r="AG52" i="3"/>
  <c r="AG53" i="3"/>
  <c r="AH53" i="3" s="1"/>
  <c r="AG54" i="3"/>
  <c r="AG55" i="3"/>
  <c r="AG57" i="3"/>
  <c r="AH57" i="3" s="1"/>
  <c r="AG58" i="3"/>
  <c r="AH58" i="3" s="1"/>
  <c r="AG59" i="3"/>
  <c r="AH59" i="3" s="1"/>
  <c r="AG60" i="3"/>
  <c r="AH60" i="3" s="1"/>
  <c r="AG61" i="3"/>
  <c r="AG62" i="3"/>
  <c r="AH62" i="3" s="1"/>
  <c r="AG63" i="3"/>
  <c r="AH63" i="3" s="1"/>
  <c r="AG64" i="3"/>
  <c r="AH64" i="3" s="1"/>
  <c r="AG65" i="3"/>
  <c r="AH65" i="3" s="1"/>
  <c r="AG66" i="3"/>
  <c r="AH66" i="3" s="1"/>
  <c r="AG67" i="3"/>
  <c r="AH67" i="3" s="1"/>
  <c r="AG69" i="3"/>
  <c r="AH69" i="3" s="1"/>
  <c r="AG70" i="3"/>
  <c r="AG71" i="3"/>
  <c r="AG72" i="3"/>
  <c r="AG73" i="3"/>
  <c r="AG74" i="3"/>
  <c r="AH74" i="3" s="1"/>
  <c r="AG75" i="3"/>
  <c r="AH75" i="3" s="1"/>
  <c r="AG76" i="3"/>
  <c r="AH76" i="3" s="1"/>
  <c r="AG78" i="3"/>
  <c r="AH78" i="3" s="1"/>
  <c r="AG79" i="3"/>
  <c r="AG80" i="3"/>
  <c r="AG81" i="3"/>
  <c r="AH81" i="3" s="1"/>
  <c r="AG82" i="3"/>
  <c r="AG83" i="3"/>
  <c r="AH83" i="3" s="1"/>
  <c r="AG84" i="3"/>
  <c r="AH84" i="3" s="1"/>
  <c r="AG85" i="3"/>
  <c r="AH85" i="3" s="1"/>
  <c r="AG86" i="3"/>
  <c r="AH86" i="3" s="1"/>
  <c r="AG87" i="3"/>
  <c r="AG88" i="3"/>
  <c r="AG89" i="3"/>
  <c r="AG90" i="3"/>
  <c r="AG91" i="3"/>
  <c r="AH91" i="3" s="1"/>
  <c r="AG93" i="3"/>
  <c r="AH93" i="3" s="1"/>
  <c r="AG94" i="3"/>
  <c r="AH94" i="3" s="1"/>
  <c r="AG95" i="3"/>
  <c r="AH95" i="3" s="1"/>
  <c r="AG96" i="3"/>
  <c r="AG97" i="3"/>
  <c r="AG99" i="3"/>
  <c r="AH99" i="3" s="1"/>
  <c r="AG101" i="3"/>
  <c r="AH101" i="3" s="1"/>
  <c r="AG102" i="3"/>
  <c r="AH102" i="3" s="1"/>
  <c r="AG103" i="3"/>
  <c r="AH103" i="3" s="1"/>
  <c r="AG104" i="3"/>
  <c r="AH104" i="3" s="1"/>
  <c r="AG105" i="3"/>
  <c r="AH105" i="3" s="1"/>
  <c r="AG106" i="3"/>
  <c r="AH106" i="3" s="1"/>
  <c r="AG107" i="3"/>
  <c r="AH107" i="3" s="1"/>
  <c r="AG108" i="3"/>
  <c r="AG109" i="3"/>
  <c r="AH109" i="3" s="1"/>
  <c r="AG110" i="3"/>
  <c r="AH110" i="3" s="1"/>
  <c r="AG111" i="3"/>
  <c r="AH111" i="3" s="1"/>
  <c r="AG112" i="3"/>
  <c r="AH112" i="3" s="1"/>
  <c r="AG113" i="3"/>
  <c r="AG114" i="3"/>
  <c r="AH114" i="3" s="1"/>
  <c r="AG115" i="3"/>
  <c r="AH115" i="3" s="1"/>
  <c r="AG116" i="3"/>
  <c r="AH116" i="3" s="1"/>
  <c r="AG117" i="3"/>
  <c r="AH117" i="3" s="1"/>
  <c r="AG118" i="3"/>
  <c r="AH118" i="3" s="1"/>
  <c r="AG119" i="3"/>
  <c r="AH119" i="3" s="1"/>
  <c r="AG120" i="3"/>
  <c r="AH120" i="3" s="1"/>
  <c r="AG121" i="3"/>
  <c r="AH121" i="3" s="1"/>
  <c r="AG122" i="3"/>
  <c r="AH122" i="3" s="1"/>
  <c r="AG123" i="3"/>
  <c r="AH123" i="3" s="1"/>
  <c r="AG124" i="3"/>
  <c r="AG125" i="3"/>
  <c r="AH125" i="3" s="1"/>
  <c r="AG126" i="3"/>
  <c r="AH126" i="3" s="1"/>
  <c r="AG127" i="3"/>
  <c r="AH127" i="3" s="1"/>
  <c r="AG128" i="3"/>
  <c r="AH128" i="3" s="1"/>
  <c r="AG129" i="3"/>
  <c r="AG130" i="3"/>
  <c r="AH130" i="3" s="1"/>
  <c r="AG131" i="3"/>
  <c r="AH131" i="3" s="1"/>
  <c r="AG132" i="3"/>
  <c r="AG133" i="3"/>
  <c r="AH133" i="3" s="1"/>
  <c r="AG134" i="3"/>
  <c r="AH134" i="3" s="1"/>
  <c r="AG135" i="3"/>
  <c r="AH135" i="3" s="1"/>
  <c r="AG136" i="3"/>
  <c r="AH136" i="3" s="1"/>
  <c r="AG137" i="3"/>
  <c r="AG138" i="3"/>
  <c r="AH138" i="3" s="1"/>
  <c r="AG139" i="3"/>
  <c r="AH139" i="3" s="1"/>
  <c r="AG140" i="3"/>
  <c r="AG141" i="3"/>
  <c r="AH141" i="3" s="1"/>
  <c r="AG142" i="3"/>
  <c r="AH142" i="3" s="1"/>
  <c r="AG143" i="3"/>
  <c r="AH143" i="3" s="1"/>
  <c r="AG144" i="3"/>
  <c r="AH144" i="3" s="1"/>
  <c r="AG145" i="3"/>
  <c r="AG146" i="3"/>
  <c r="AH146" i="3" s="1"/>
  <c r="AG147" i="3"/>
  <c r="AH147" i="3" s="1"/>
  <c r="AG148" i="3"/>
  <c r="AH148" i="3" s="1"/>
  <c r="AG149" i="3"/>
  <c r="AH149" i="3" s="1"/>
  <c r="AG150" i="3"/>
  <c r="AH150" i="3" s="1"/>
  <c r="AG151" i="3"/>
  <c r="AH151" i="3" s="1"/>
  <c r="AG152" i="3"/>
  <c r="AH152" i="3" s="1"/>
  <c r="AG153" i="3"/>
  <c r="AH153" i="3" s="1"/>
  <c r="AG154" i="3"/>
  <c r="AH154" i="3" s="1"/>
  <c r="AG155" i="3"/>
  <c r="AH155" i="3" s="1"/>
  <c r="AG156" i="3"/>
  <c r="AG157" i="3"/>
  <c r="AH157" i="3" s="1"/>
  <c r="AG158" i="3"/>
  <c r="AH158" i="3" s="1"/>
  <c r="AG159" i="3"/>
  <c r="AH159" i="3" s="1"/>
  <c r="AG161" i="3"/>
  <c r="AH161" i="3" s="1"/>
  <c r="AG162" i="3"/>
  <c r="AG164" i="3"/>
  <c r="AH164" i="3" s="1"/>
  <c r="AG165" i="3"/>
  <c r="AH165" i="3" s="1"/>
  <c r="AG166" i="3"/>
  <c r="AH166" i="3" s="1"/>
  <c r="AG167" i="3"/>
  <c r="AH167" i="3" s="1"/>
  <c r="AG168" i="3"/>
  <c r="AH168" i="3" s="1"/>
  <c r="AG169" i="3"/>
  <c r="AH169" i="3" s="1"/>
  <c r="AG171" i="3"/>
  <c r="AH171" i="3" s="1"/>
  <c r="AG172" i="3"/>
  <c r="AH172" i="3" s="1"/>
  <c r="AG173" i="3"/>
  <c r="AH173" i="3" s="1"/>
  <c r="AG174" i="3"/>
  <c r="AG175" i="3"/>
  <c r="AG176" i="3"/>
  <c r="AH176" i="3" s="1"/>
  <c r="AG177" i="3"/>
  <c r="AH177" i="3" s="1"/>
  <c r="AG178" i="3"/>
  <c r="AH178" i="3" s="1"/>
  <c r="AG179" i="3"/>
  <c r="AH179" i="3" s="1"/>
  <c r="AG180" i="3"/>
  <c r="AG181" i="3"/>
  <c r="AH181" i="3" s="1"/>
  <c r="AG182" i="3"/>
  <c r="AH182" i="3" s="1"/>
  <c r="AG183" i="3"/>
  <c r="AH183" i="3" s="1"/>
  <c r="AG184" i="3"/>
  <c r="AH184" i="3" s="1"/>
  <c r="AG185" i="3"/>
  <c r="AH185" i="3" s="1"/>
  <c r="AG186" i="3"/>
  <c r="AH186" i="3" s="1"/>
  <c r="AG187" i="3"/>
  <c r="AH187" i="3" s="1"/>
  <c r="AG188" i="3"/>
  <c r="AH188" i="3" s="1"/>
  <c r="AG189" i="3"/>
  <c r="AH189" i="3" s="1"/>
  <c r="AG191" i="3"/>
  <c r="AG192" i="3"/>
  <c r="AG193" i="3"/>
  <c r="AH193" i="3" s="1"/>
  <c r="AG194" i="3"/>
  <c r="AH194" i="3" s="1"/>
  <c r="AG195" i="3"/>
  <c r="AH195" i="3" s="1"/>
  <c r="AG196" i="3"/>
  <c r="AH196" i="3" s="1"/>
  <c r="AG197" i="3"/>
  <c r="AG198" i="3"/>
  <c r="AH198" i="3" s="1"/>
  <c r="AG199" i="3"/>
  <c r="AG200" i="3"/>
  <c r="AH200" i="3" s="1"/>
  <c r="AG201" i="3"/>
  <c r="AH201" i="3" s="1"/>
  <c r="AG202" i="3"/>
  <c r="AH202" i="3" s="1"/>
  <c r="AG203" i="3"/>
  <c r="AH203" i="3" s="1"/>
  <c r="AG204" i="3"/>
  <c r="AH204" i="3" s="1"/>
  <c r="AG205" i="3"/>
  <c r="AG207" i="3"/>
  <c r="AG208" i="3"/>
  <c r="AG209" i="3"/>
  <c r="AG210" i="3"/>
  <c r="AG211" i="3"/>
  <c r="AH211" i="3" s="1"/>
  <c r="AG212" i="3"/>
  <c r="AH212" i="3" s="1"/>
  <c r="AG213" i="3"/>
  <c r="AH213" i="3" s="1"/>
  <c r="AG214" i="3"/>
  <c r="AG215" i="3"/>
  <c r="AH215" i="3" s="1"/>
  <c r="AG216" i="3"/>
  <c r="AG217" i="3"/>
  <c r="AH217" i="3" s="1"/>
  <c r="AG218" i="3"/>
  <c r="AH218" i="3" s="1"/>
  <c r="AG219" i="3"/>
  <c r="AH219" i="3" s="1"/>
  <c r="AG220" i="3"/>
  <c r="AH220" i="3" s="1"/>
  <c r="AG221" i="3"/>
  <c r="AH221" i="3" s="1"/>
  <c r="AG222" i="3"/>
  <c r="AH222" i="3" s="1"/>
  <c r="AG223" i="3"/>
  <c r="AH223" i="3" s="1"/>
  <c r="AG224" i="3"/>
  <c r="AG225" i="3"/>
  <c r="AG226" i="3"/>
  <c r="AG227" i="3"/>
  <c r="AH227" i="3" s="1"/>
  <c r="AG228" i="3"/>
  <c r="AH228" i="3" s="1"/>
  <c r="AG229" i="3"/>
  <c r="AH229" i="3" s="1"/>
  <c r="AG230" i="3"/>
  <c r="AG231" i="3"/>
  <c r="AG232" i="3"/>
  <c r="AH232" i="3" s="1"/>
  <c r="AG233" i="3"/>
  <c r="AH233" i="3" s="1"/>
  <c r="AG234" i="3"/>
  <c r="AH234" i="3" s="1"/>
  <c r="AG235" i="3"/>
  <c r="AH235" i="3" s="1"/>
  <c r="AG236" i="3"/>
  <c r="AH236" i="3" s="1"/>
  <c r="AG237" i="3"/>
  <c r="AH237" i="3" s="1"/>
  <c r="AG238" i="3"/>
  <c r="AH238" i="3" s="1"/>
  <c r="AG239" i="3"/>
  <c r="AH239" i="3" s="1"/>
  <c r="AG240" i="3"/>
  <c r="AG241" i="3"/>
  <c r="AG242" i="3"/>
  <c r="AH242" i="3" s="1"/>
  <c r="AG243" i="3"/>
  <c r="AH243" i="3" s="1"/>
  <c r="AG244" i="3"/>
  <c r="AH244" i="3" s="1"/>
  <c r="AG245" i="3"/>
  <c r="AH245" i="3" s="1"/>
  <c r="AG246" i="3"/>
  <c r="AG247" i="3"/>
  <c r="AH247" i="3" s="1"/>
  <c r="AG248" i="3"/>
  <c r="AH248" i="3" s="1"/>
  <c r="AG249" i="3"/>
  <c r="AH249" i="3" s="1"/>
  <c r="AG250" i="3"/>
  <c r="AH250" i="3" s="1"/>
  <c r="AG251" i="3"/>
  <c r="AH251" i="3" s="1"/>
  <c r="AG252" i="3"/>
  <c r="AH252" i="3" s="1"/>
  <c r="AG253" i="3"/>
  <c r="AH253" i="3" s="1"/>
  <c r="AG254" i="3"/>
  <c r="AG255" i="3"/>
  <c r="AH255" i="3" s="1"/>
  <c r="AG256" i="3"/>
  <c r="AG257" i="3"/>
  <c r="AG258" i="3"/>
  <c r="AH258" i="3" s="1"/>
  <c r="AG259" i="3"/>
  <c r="AH259" i="3" s="1"/>
  <c r="AG260" i="3"/>
  <c r="AH260" i="3" s="1"/>
  <c r="AG261" i="3"/>
  <c r="AH261" i="3" s="1"/>
  <c r="AG262" i="3"/>
  <c r="AG263" i="3"/>
  <c r="AH263" i="3" s="1"/>
  <c r="AG264" i="3"/>
  <c r="AH264" i="3" s="1"/>
  <c r="AG265" i="3"/>
  <c r="AH265" i="3" s="1"/>
  <c r="AG266" i="3"/>
  <c r="AH266" i="3" s="1"/>
  <c r="AG267" i="3"/>
  <c r="AH267" i="3" s="1"/>
  <c r="AG268" i="3"/>
  <c r="AH268" i="3" s="1"/>
  <c r="AG269" i="3"/>
  <c r="AH269" i="3" s="1"/>
  <c r="AG270" i="3"/>
  <c r="AG271" i="3"/>
  <c r="AG272" i="3"/>
  <c r="AG273" i="3"/>
  <c r="AG274" i="3"/>
  <c r="AH274" i="3" s="1"/>
  <c r="AG275" i="3"/>
  <c r="AH275" i="3" s="1"/>
  <c r="AG276" i="3"/>
  <c r="AH276" i="3" s="1"/>
  <c r="AG277" i="3"/>
  <c r="AH277" i="3" s="1"/>
  <c r="AG278" i="3"/>
  <c r="AG279" i="3"/>
  <c r="AG281" i="3"/>
  <c r="AH281" i="3" s="1"/>
  <c r="AG282" i="3"/>
  <c r="AG283" i="3"/>
  <c r="AH283" i="3" s="1"/>
  <c r="AG284" i="3"/>
  <c r="AH284" i="3" s="1"/>
  <c r="AG285" i="3"/>
  <c r="AH285" i="3" s="1"/>
  <c r="AG286" i="3"/>
  <c r="AH286" i="3" s="1"/>
  <c r="AG287" i="3"/>
  <c r="AH287" i="3" s="1"/>
  <c r="AG288" i="3"/>
  <c r="AG289" i="3"/>
  <c r="AG290" i="3"/>
  <c r="AG291" i="3"/>
  <c r="AH291" i="3" s="1"/>
  <c r="AG292" i="3"/>
  <c r="AH292" i="3" s="1"/>
  <c r="AG293" i="3"/>
  <c r="AH293" i="3" s="1"/>
  <c r="AG294" i="3"/>
  <c r="AH294" i="3" s="1"/>
  <c r="AG295" i="3"/>
  <c r="AG296" i="3"/>
  <c r="AG297" i="3"/>
  <c r="AH297" i="3" s="1"/>
  <c r="AG298" i="3"/>
  <c r="AH298" i="3" s="1"/>
  <c r="AG299" i="3"/>
  <c r="AH299" i="3" s="1"/>
  <c r="AG300" i="3"/>
  <c r="AH300" i="3" s="1"/>
  <c r="AG301" i="3"/>
  <c r="AH301" i="3" s="1"/>
  <c r="AG302" i="3"/>
  <c r="AH302" i="3" s="1"/>
  <c r="AG303" i="3"/>
  <c r="AH303" i="3" s="1"/>
  <c r="AG304" i="3"/>
  <c r="AG305" i="3"/>
  <c r="AG306" i="3"/>
  <c r="AG307" i="3"/>
  <c r="AH307" i="3" s="1"/>
  <c r="AG308" i="3"/>
  <c r="AH308" i="3" s="1"/>
  <c r="AG309" i="3"/>
  <c r="AH309" i="3" s="1"/>
  <c r="AG310" i="3"/>
  <c r="AH310" i="3" s="1"/>
  <c r="AG311" i="3"/>
  <c r="AG312" i="3"/>
  <c r="AH312" i="3" s="1"/>
  <c r="AG313" i="3"/>
  <c r="AH313" i="3" s="1"/>
  <c r="AG314" i="3"/>
  <c r="AH314" i="3" s="1"/>
  <c r="AG315" i="3"/>
  <c r="AH315" i="3" s="1"/>
  <c r="AG316" i="3"/>
  <c r="AH316" i="3" s="1"/>
  <c r="AG317" i="3"/>
  <c r="AH317" i="3" s="1"/>
  <c r="AG318" i="3"/>
  <c r="AH318" i="3" s="1"/>
  <c r="AG319" i="3"/>
  <c r="AG320" i="3"/>
  <c r="AH320" i="3" s="1"/>
  <c r="AG321" i="3"/>
  <c r="AG322" i="3"/>
  <c r="AG323" i="3"/>
  <c r="AH323" i="3" s="1"/>
  <c r="AG324" i="3"/>
  <c r="AH324" i="3" s="1"/>
  <c r="AG325" i="3"/>
  <c r="AH325" i="3" s="1"/>
  <c r="AG326" i="3"/>
  <c r="AH326" i="3" s="1"/>
  <c r="AG327" i="3"/>
  <c r="AG328" i="3"/>
  <c r="AH328" i="3" s="1"/>
  <c r="AG329" i="3"/>
  <c r="AH329" i="3" s="1"/>
  <c r="AG330" i="3"/>
  <c r="AH330" i="3" s="1"/>
  <c r="AG331" i="3"/>
  <c r="AH331" i="3" s="1"/>
  <c r="AG332" i="3"/>
  <c r="AH332" i="3" s="1"/>
  <c r="AG333" i="3"/>
  <c r="AH333" i="3" s="1"/>
  <c r="AG334" i="3"/>
  <c r="AH334" i="3" s="1"/>
  <c r="AG335" i="3"/>
  <c r="AG336" i="3"/>
  <c r="AH336" i="3" s="1"/>
  <c r="AG337" i="3"/>
  <c r="AG338" i="3"/>
  <c r="AH338" i="3" s="1"/>
  <c r="AG339" i="3"/>
  <c r="AH339" i="3" s="1"/>
  <c r="AG340" i="3"/>
  <c r="AH340" i="3" s="1"/>
  <c r="AG341" i="3"/>
  <c r="AH341" i="3" s="1"/>
  <c r="AG342" i="3"/>
  <c r="AH342" i="3" s="1"/>
  <c r="AG343" i="3"/>
  <c r="AG344" i="3"/>
  <c r="AG345" i="3"/>
  <c r="AG346" i="3"/>
  <c r="AH346" i="3" s="1"/>
  <c r="AG347" i="3"/>
  <c r="AH347" i="3" s="1"/>
  <c r="AG348" i="3"/>
  <c r="AH348" i="3" s="1"/>
  <c r="AG349" i="3"/>
  <c r="AH349" i="3" s="1"/>
  <c r="AG350" i="3"/>
  <c r="AH350" i="3" s="1"/>
  <c r="AG351" i="3"/>
  <c r="AH351" i="3" s="1"/>
  <c r="AG352" i="3"/>
  <c r="AG353" i="3"/>
  <c r="AG354" i="3"/>
  <c r="AG355" i="3"/>
  <c r="AH355" i="3" s="1"/>
  <c r="AG356" i="3"/>
  <c r="AH356" i="3" s="1"/>
  <c r="AG357" i="3"/>
  <c r="AH357" i="3" s="1"/>
  <c r="AG358" i="3"/>
  <c r="AH358" i="3" s="1"/>
  <c r="AG359" i="3"/>
  <c r="AG360" i="3"/>
  <c r="AG361" i="3"/>
  <c r="AH361" i="3" s="1"/>
  <c r="AG362" i="3"/>
  <c r="AG363" i="3"/>
  <c r="AH363" i="3" s="1"/>
  <c r="AG364" i="3"/>
  <c r="AH364" i="3" s="1"/>
  <c r="AG365" i="3"/>
  <c r="AH365" i="3" s="1"/>
  <c r="AG366" i="3"/>
  <c r="AH366" i="3" s="1"/>
  <c r="AG367" i="3"/>
  <c r="AG368" i="3"/>
  <c r="AG369" i="3"/>
  <c r="AG370" i="3"/>
  <c r="AG371" i="3"/>
  <c r="AH371" i="3" s="1"/>
  <c r="AG372" i="3"/>
  <c r="AH372" i="3" s="1"/>
  <c r="AG373" i="3"/>
  <c r="AH373" i="3" s="1"/>
  <c r="AG374" i="3"/>
  <c r="AH374" i="3" s="1"/>
  <c r="AG375" i="3"/>
  <c r="AG376" i="3"/>
  <c r="AH376" i="3" s="1"/>
  <c r="AG377" i="3"/>
  <c r="AH377" i="3" s="1"/>
  <c r="AG378" i="3"/>
  <c r="AH378" i="3" s="1"/>
  <c r="AG379" i="3"/>
  <c r="AH379" i="3" s="1"/>
  <c r="AG380" i="3"/>
  <c r="AH380" i="3" s="1"/>
  <c r="AG381" i="3"/>
  <c r="AH381" i="3" s="1"/>
  <c r="AG382" i="3"/>
  <c r="AH382" i="3" s="1"/>
  <c r="AG383" i="3"/>
  <c r="AH383" i="3" s="1"/>
  <c r="AG384" i="3"/>
  <c r="AG385" i="3"/>
  <c r="AG386" i="3"/>
  <c r="AH386" i="3" s="1"/>
  <c r="AG387" i="3"/>
  <c r="AH387" i="3" s="1"/>
  <c r="AG388" i="3"/>
  <c r="AH388" i="3" s="1"/>
  <c r="AG389" i="3"/>
  <c r="AH389" i="3" s="1"/>
  <c r="AG390" i="3"/>
  <c r="AH390" i="3" s="1"/>
  <c r="AG391" i="3"/>
  <c r="AG392" i="3"/>
  <c r="AG393" i="3"/>
  <c r="AH393" i="3" s="1"/>
  <c r="AG394" i="3"/>
  <c r="AH394" i="3" s="1"/>
  <c r="AG395" i="3"/>
  <c r="AH395" i="3" s="1"/>
  <c r="AG396" i="3"/>
  <c r="AH396" i="3" s="1"/>
  <c r="AG397" i="3"/>
  <c r="AH397" i="3" s="1"/>
  <c r="AG398" i="3"/>
  <c r="AH398" i="3" s="1"/>
  <c r="AG399" i="3"/>
  <c r="AG400" i="3"/>
  <c r="AG401" i="3"/>
  <c r="AG402" i="3"/>
  <c r="AG403" i="3"/>
  <c r="AH403" i="3" s="1"/>
  <c r="AG404" i="3"/>
  <c r="AH404" i="3" s="1"/>
  <c r="AG405" i="3"/>
  <c r="AH405" i="3" s="1"/>
  <c r="AG406" i="3"/>
  <c r="AH406" i="3" s="1"/>
  <c r="AG407" i="3"/>
  <c r="AG408" i="3"/>
  <c r="AG409" i="3"/>
  <c r="AH409" i="3" s="1"/>
  <c r="AG410" i="3"/>
  <c r="AH410" i="3" s="1"/>
  <c r="AG411" i="3"/>
  <c r="AH411" i="3" s="1"/>
  <c r="AG412" i="3"/>
  <c r="AH412" i="3" s="1"/>
  <c r="AG413" i="3"/>
  <c r="AH413" i="3" s="1"/>
  <c r="AG414" i="3"/>
  <c r="AH414" i="3" s="1"/>
  <c r="AG415" i="3"/>
  <c r="AH415" i="3" s="1"/>
  <c r="AG416" i="3"/>
  <c r="AG417" i="3"/>
  <c r="AG418" i="3"/>
  <c r="AG419" i="3"/>
  <c r="AH419" i="3" s="1"/>
  <c r="AG420" i="3"/>
  <c r="AH420" i="3" s="1"/>
  <c r="AG421" i="3"/>
  <c r="AH421" i="3" s="1"/>
  <c r="AG422" i="3"/>
  <c r="AH422" i="3" s="1"/>
  <c r="AG423" i="3"/>
  <c r="AG424" i="3"/>
  <c r="AG425" i="3"/>
  <c r="AH425" i="3" s="1"/>
  <c r="AG426" i="3"/>
  <c r="AG427" i="3"/>
  <c r="AH427" i="3" s="1"/>
  <c r="AG428" i="3"/>
  <c r="AH428" i="3" s="1"/>
  <c r="AG429" i="3"/>
  <c r="AH429" i="3" s="1"/>
  <c r="AG430" i="3"/>
  <c r="AH430" i="3" s="1"/>
  <c r="AG431" i="3"/>
  <c r="AG432" i="3"/>
  <c r="AG433" i="3"/>
  <c r="AG434" i="3"/>
  <c r="AG435" i="3"/>
  <c r="AH435" i="3" s="1"/>
  <c r="AG436" i="3"/>
  <c r="AH436" i="3" s="1"/>
  <c r="AG437" i="3"/>
  <c r="AH437" i="3" s="1"/>
  <c r="AG438" i="3"/>
  <c r="AH438" i="3" s="1"/>
  <c r="AG439" i="3"/>
  <c r="AG440" i="3"/>
  <c r="AG441" i="3"/>
  <c r="AH441" i="3" s="1"/>
  <c r="AG442" i="3"/>
  <c r="AH442" i="3" s="1"/>
  <c r="AG443" i="3"/>
  <c r="AH443" i="3" s="1"/>
  <c r="AG444" i="3"/>
  <c r="AH444" i="3" s="1"/>
  <c r="AG445" i="3"/>
  <c r="AH445" i="3" s="1"/>
  <c r="AG446" i="3"/>
  <c r="AH446" i="3" s="1"/>
  <c r="AG447" i="3"/>
  <c r="AH447" i="3" s="1"/>
  <c r="AG448" i="3"/>
  <c r="AG449" i="3"/>
  <c r="AG450" i="3"/>
  <c r="AG451" i="3"/>
  <c r="AH451" i="3" s="1"/>
  <c r="AG452" i="3"/>
  <c r="AH452" i="3" s="1"/>
  <c r="AG453" i="3"/>
  <c r="AH453" i="3" s="1"/>
  <c r="AG454" i="3"/>
  <c r="AH454" i="3" s="1"/>
  <c r="AG455" i="3"/>
  <c r="AG456" i="3"/>
  <c r="AG457" i="3"/>
  <c r="AH457" i="3" s="1"/>
  <c r="AG458" i="3"/>
  <c r="AH458" i="3" s="1"/>
  <c r="AG459" i="3"/>
  <c r="AH459" i="3" s="1"/>
  <c r="AG460" i="3"/>
  <c r="AH460" i="3" s="1"/>
  <c r="AG461" i="3"/>
  <c r="AH461" i="3" s="1"/>
  <c r="AG462" i="3"/>
  <c r="AH462" i="3" s="1"/>
  <c r="AG463" i="3"/>
  <c r="AG464" i="3"/>
  <c r="AG465" i="3"/>
  <c r="AG466" i="3"/>
  <c r="AG467" i="3"/>
  <c r="AH467" i="3" s="1"/>
  <c r="AG468" i="3"/>
  <c r="AH468" i="3" s="1"/>
  <c r="AG469" i="3"/>
  <c r="AH469" i="3" s="1"/>
  <c r="AG470" i="3"/>
  <c r="AH470" i="3" s="1"/>
  <c r="AG471" i="3"/>
  <c r="AG472" i="3"/>
  <c r="AG473" i="3"/>
  <c r="AH473" i="3" s="1"/>
  <c r="AG474" i="3"/>
  <c r="AH474" i="3" s="1"/>
  <c r="AG475" i="3"/>
  <c r="AH475" i="3" s="1"/>
  <c r="AG476" i="3"/>
  <c r="AH476" i="3" s="1"/>
  <c r="AG477" i="3"/>
  <c r="AH477" i="3" s="1"/>
  <c r="AG478" i="3"/>
  <c r="AH478" i="3" s="1"/>
  <c r="AG479" i="3"/>
  <c r="AH479" i="3" s="1"/>
  <c r="AG480" i="3"/>
  <c r="AG481" i="3"/>
  <c r="AG482" i="3"/>
  <c r="AG483" i="3"/>
  <c r="AH483" i="3" s="1"/>
  <c r="AG484" i="3"/>
  <c r="AH484" i="3" s="1"/>
  <c r="AG485" i="3"/>
  <c r="AH485" i="3" s="1"/>
  <c r="AG486" i="3"/>
  <c r="AH486" i="3" s="1"/>
  <c r="AG487" i="3"/>
  <c r="AG488" i="3"/>
  <c r="AG489" i="3"/>
  <c r="AH489" i="3" s="1"/>
  <c r="AG490" i="3"/>
  <c r="AH490" i="3" s="1"/>
  <c r="AG491" i="3"/>
  <c r="AH491" i="3" s="1"/>
  <c r="AG492" i="3"/>
  <c r="AH492" i="3" s="1"/>
  <c r="AG493" i="3"/>
  <c r="AH493" i="3" s="1"/>
  <c r="AG494" i="3"/>
  <c r="AH494" i="3" s="1"/>
  <c r="AG495" i="3"/>
  <c r="AG496" i="3"/>
  <c r="AG497" i="3"/>
  <c r="AG498" i="3"/>
  <c r="AG499" i="3"/>
  <c r="AH499" i="3" s="1"/>
  <c r="AG500" i="3"/>
  <c r="AH500" i="3" s="1"/>
  <c r="AG501" i="3"/>
  <c r="AH501" i="3" s="1"/>
  <c r="AG502" i="3"/>
  <c r="AH502" i="3" s="1"/>
  <c r="AG503" i="3"/>
  <c r="AG504" i="3"/>
  <c r="AG505" i="3"/>
  <c r="AH505" i="3" s="1"/>
  <c r="AG506" i="3"/>
  <c r="AH506" i="3" s="1"/>
  <c r="AG507" i="3"/>
  <c r="AH507" i="3" s="1"/>
  <c r="AG508" i="3"/>
  <c r="AH508" i="3" s="1"/>
  <c r="AG509" i="3"/>
  <c r="AH509" i="3" s="1"/>
  <c r="AG510" i="3"/>
  <c r="AH510" i="3" s="1"/>
  <c r="AG511" i="3"/>
  <c r="AG512" i="3"/>
  <c r="AG513" i="3"/>
  <c r="AG514" i="3"/>
  <c r="AG515" i="3"/>
  <c r="AH515" i="3" s="1"/>
  <c r="AG516" i="3"/>
  <c r="AH516" i="3" s="1"/>
  <c r="AG517" i="3"/>
  <c r="AH517" i="3" s="1"/>
  <c r="AG518" i="3"/>
  <c r="AH518" i="3" s="1"/>
  <c r="AG519" i="3"/>
  <c r="AG520" i="3"/>
  <c r="AG521" i="3"/>
  <c r="AH521" i="3" s="1"/>
  <c r="AG522" i="3"/>
  <c r="AH522" i="3" s="1"/>
  <c r="AG523" i="3"/>
  <c r="AH523" i="3" s="1"/>
  <c r="AG524" i="3"/>
  <c r="AH524" i="3" s="1"/>
  <c r="AG525" i="3"/>
  <c r="AH525" i="3" s="1"/>
  <c r="AG526" i="3"/>
  <c r="AH526" i="3" s="1"/>
  <c r="AG527" i="3"/>
  <c r="AG528" i="3"/>
  <c r="AG529" i="3"/>
  <c r="AG530" i="3"/>
  <c r="AG531" i="3"/>
  <c r="AH531" i="3" s="1"/>
  <c r="AG532" i="3"/>
  <c r="AH532" i="3" s="1"/>
  <c r="AG533" i="3"/>
  <c r="AH533" i="3" s="1"/>
  <c r="AG534" i="3"/>
  <c r="AH534" i="3" s="1"/>
  <c r="AG535" i="3"/>
  <c r="AG536" i="3"/>
  <c r="AG537" i="3"/>
  <c r="AH537" i="3" s="1"/>
  <c r="AG538" i="3"/>
  <c r="AH538" i="3" s="1"/>
  <c r="AG539" i="3"/>
  <c r="AH539" i="3" s="1"/>
  <c r="AG540" i="3"/>
  <c r="AH540" i="3" s="1"/>
  <c r="AG541" i="3"/>
  <c r="AH541" i="3" s="1"/>
  <c r="AG542" i="3"/>
  <c r="AH542" i="3" s="1"/>
  <c r="AG543" i="3"/>
  <c r="AG544" i="3"/>
  <c r="AG545" i="3"/>
  <c r="AG546" i="3"/>
  <c r="AG547" i="3"/>
  <c r="AH547" i="3" s="1"/>
  <c r="AG548" i="3"/>
  <c r="AH548" i="3" s="1"/>
  <c r="AG549" i="3"/>
  <c r="AH549" i="3" s="1"/>
  <c r="AG550" i="3"/>
  <c r="AH550" i="3" s="1"/>
  <c r="AG551" i="3"/>
  <c r="AG552" i="3"/>
  <c r="AG553" i="3"/>
  <c r="AH553" i="3" s="1"/>
  <c r="AG554" i="3"/>
  <c r="AH554" i="3" s="1"/>
  <c r="AG555" i="3"/>
  <c r="AH555" i="3" s="1"/>
  <c r="AG556" i="3"/>
  <c r="AH556" i="3" s="1"/>
  <c r="AG557" i="3"/>
  <c r="AH557" i="3" s="1"/>
  <c r="AG558" i="3"/>
  <c r="AH558" i="3" s="1"/>
  <c r="AG559" i="3"/>
  <c r="AG560" i="3"/>
  <c r="AG561" i="3"/>
  <c r="AG562" i="3"/>
  <c r="AG563" i="3"/>
  <c r="AH563" i="3" s="1"/>
  <c r="AG564" i="3"/>
  <c r="AH564" i="3" s="1"/>
  <c r="AG565" i="3"/>
  <c r="AH565" i="3" s="1"/>
  <c r="AG566" i="3"/>
  <c r="AH566" i="3" s="1"/>
  <c r="AG567" i="3"/>
  <c r="AG568" i="3"/>
  <c r="AG569" i="3"/>
  <c r="AH569" i="3" s="1"/>
  <c r="AG570" i="3"/>
  <c r="AH570" i="3" s="1"/>
  <c r="AG571" i="3"/>
  <c r="AH571" i="3" s="1"/>
  <c r="AG572" i="3"/>
  <c r="AH572" i="3" s="1"/>
  <c r="AG573" i="3"/>
  <c r="AH573" i="3" s="1"/>
  <c r="AG574" i="3"/>
  <c r="AH574" i="3" s="1"/>
  <c r="AG575" i="3"/>
  <c r="AG576" i="3"/>
  <c r="AG577" i="3"/>
  <c r="AG578" i="3"/>
  <c r="AG579" i="3"/>
  <c r="AH579" i="3" s="1"/>
  <c r="AG580" i="3"/>
  <c r="AH580" i="3" s="1"/>
  <c r="AG581" i="3"/>
  <c r="AH581" i="3" s="1"/>
  <c r="AG582" i="3"/>
  <c r="AH582" i="3" s="1"/>
  <c r="AG583" i="3"/>
  <c r="AG584" i="3"/>
  <c r="AG585" i="3"/>
  <c r="AH585" i="3" s="1"/>
  <c r="AG586" i="3"/>
  <c r="AH586" i="3" s="1"/>
  <c r="AG587" i="3"/>
  <c r="AH587" i="3" s="1"/>
  <c r="AG588" i="3"/>
  <c r="AH588" i="3" s="1"/>
  <c r="AG589" i="3"/>
  <c r="AH589" i="3" s="1"/>
  <c r="AG590" i="3"/>
  <c r="AH590" i="3" s="1"/>
  <c r="AG591" i="3"/>
  <c r="AG592" i="3"/>
  <c r="AG593" i="3"/>
  <c r="AG594" i="3"/>
  <c r="AH594" i="3" s="1"/>
  <c r="AG595" i="3"/>
  <c r="AH595" i="3" s="1"/>
  <c r="AG596" i="3"/>
  <c r="AH596" i="3" s="1"/>
  <c r="AG597" i="3"/>
  <c r="AH597" i="3" s="1"/>
  <c r="AG598" i="3"/>
  <c r="AH598" i="3" s="1"/>
  <c r="AG599" i="3"/>
  <c r="AG600" i="3"/>
  <c r="AG601" i="3"/>
  <c r="AH601" i="3" s="1"/>
  <c r="AG602" i="3"/>
  <c r="AH602" i="3" s="1"/>
  <c r="AG603" i="3"/>
  <c r="AH603" i="3" s="1"/>
  <c r="AG604" i="3"/>
  <c r="AG605" i="3"/>
  <c r="AH605" i="3" s="1"/>
  <c r="AG606" i="3"/>
  <c r="AH606" i="3" s="1"/>
  <c r="AG607" i="3"/>
  <c r="AG608" i="3"/>
  <c r="AG609" i="3"/>
  <c r="AG610" i="3"/>
  <c r="AH610" i="3" s="1"/>
  <c r="AG611" i="3"/>
  <c r="AH611" i="3" s="1"/>
  <c r="AG612" i="3"/>
  <c r="AH612" i="3" s="1"/>
  <c r="AG613" i="3"/>
  <c r="AH613" i="3" s="1"/>
  <c r="AG614" i="3"/>
  <c r="AH614" i="3" s="1"/>
  <c r="AG615" i="3"/>
  <c r="AG616" i="3"/>
  <c r="AG617" i="3"/>
  <c r="AH617" i="3" s="1"/>
  <c r="AG618" i="3"/>
  <c r="AH618" i="3" s="1"/>
  <c r="AG619" i="3"/>
  <c r="AH619" i="3" s="1"/>
  <c r="AG620" i="3"/>
  <c r="AH620" i="3" s="1"/>
  <c r="AG621" i="3"/>
  <c r="AH621" i="3" s="1"/>
  <c r="AG622" i="3"/>
  <c r="AH622" i="3" s="1"/>
  <c r="AG623" i="3"/>
  <c r="AG624" i="3"/>
  <c r="AG625" i="3"/>
  <c r="AG626" i="3"/>
  <c r="AG627" i="3"/>
  <c r="AH627" i="3" s="1"/>
  <c r="AG628" i="3"/>
  <c r="AH628" i="3" s="1"/>
  <c r="AG629" i="3"/>
  <c r="AH629" i="3" s="1"/>
  <c r="AG630" i="3"/>
  <c r="AH630" i="3" s="1"/>
  <c r="AG631" i="3"/>
  <c r="AG632" i="3"/>
  <c r="AG633" i="3"/>
  <c r="AH633" i="3" s="1"/>
  <c r="AG634" i="3"/>
  <c r="AH634" i="3" s="1"/>
  <c r="AG635" i="3"/>
  <c r="AH635" i="3" s="1"/>
  <c r="AG636" i="3"/>
  <c r="AH636" i="3" s="1"/>
  <c r="AG637" i="3"/>
  <c r="AH637" i="3" s="1"/>
  <c r="AG638" i="3"/>
  <c r="AH638" i="3" s="1"/>
  <c r="AG639" i="3"/>
  <c r="AG640" i="3"/>
  <c r="AG641" i="3"/>
  <c r="AG642" i="3"/>
  <c r="AH642" i="3" s="1"/>
  <c r="AG643" i="3"/>
  <c r="AH643" i="3" s="1"/>
  <c r="AG644" i="3"/>
  <c r="AH644" i="3" s="1"/>
  <c r="AG645" i="3"/>
  <c r="AH645" i="3" s="1"/>
  <c r="AG646" i="3"/>
  <c r="AH646" i="3" s="1"/>
  <c r="AG647" i="3"/>
  <c r="AG648" i="3"/>
  <c r="AG649" i="3"/>
  <c r="AH649" i="3" s="1"/>
  <c r="AG650" i="3"/>
  <c r="AH650" i="3" s="1"/>
  <c r="AG651" i="3"/>
  <c r="AH651" i="3" s="1"/>
  <c r="AG652" i="3"/>
  <c r="AH652" i="3" s="1"/>
  <c r="AG653" i="3"/>
  <c r="AH653" i="3" s="1"/>
  <c r="AG654" i="3"/>
  <c r="AH654" i="3" s="1"/>
  <c r="AG655" i="3"/>
  <c r="AG656" i="3"/>
  <c r="AG657" i="3"/>
  <c r="AG658" i="3"/>
  <c r="AG659" i="3"/>
  <c r="AH659" i="3" s="1"/>
  <c r="AG660" i="3"/>
  <c r="AH660" i="3" s="1"/>
  <c r="AG661" i="3"/>
  <c r="AH661" i="3" s="1"/>
  <c r="AG662" i="3"/>
  <c r="AH662" i="3" s="1"/>
  <c r="AG663" i="3"/>
  <c r="AG664" i="3"/>
  <c r="AG665" i="3"/>
  <c r="AG666" i="3"/>
  <c r="AG667" i="3"/>
  <c r="AH667" i="3" s="1"/>
  <c r="AG668" i="3"/>
  <c r="AH668" i="3" s="1"/>
  <c r="AG669" i="3"/>
  <c r="AH669" i="3" s="1"/>
  <c r="AG670" i="3"/>
  <c r="AH670" i="3" s="1"/>
  <c r="AG671" i="3"/>
  <c r="AG672" i="3"/>
  <c r="AG673" i="3"/>
  <c r="AG674" i="3"/>
  <c r="AG675" i="3"/>
  <c r="AH675" i="3" s="1"/>
  <c r="AG676" i="3"/>
  <c r="AH676" i="3" s="1"/>
  <c r="AG677" i="3"/>
  <c r="AH677" i="3" s="1"/>
  <c r="AG678" i="3"/>
  <c r="AH678" i="3" s="1"/>
  <c r="AG679" i="3"/>
  <c r="AG680" i="3"/>
  <c r="AG681" i="3"/>
  <c r="AH681" i="3" s="1"/>
  <c r="AG682" i="3"/>
  <c r="AH682" i="3" s="1"/>
  <c r="AG683" i="3"/>
  <c r="AH683" i="3" s="1"/>
  <c r="AG684" i="3"/>
  <c r="AH684" i="3" s="1"/>
  <c r="AG685" i="3"/>
  <c r="AH685" i="3" s="1"/>
  <c r="AG686" i="3"/>
  <c r="AH686" i="3" s="1"/>
  <c r="AG687" i="3"/>
  <c r="AG688" i="3"/>
  <c r="AG689" i="3"/>
  <c r="AG690" i="3"/>
  <c r="AG691" i="3"/>
  <c r="AH691" i="3" s="1"/>
  <c r="AG692" i="3"/>
  <c r="AH692" i="3" s="1"/>
  <c r="AG693" i="3"/>
  <c r="AG694" i="3"/>
  <c r="AH694" i="3" s="1"/>
  <c r="AG695" i="3"/>
  <c r="AG696" i="3"/>
  <c r="AG697" i="3"/>
  <c r="AG698" i="3"/>
  <c r="AH698" i="3" s="1"/>
  <c r="AG699" i="3"/>
  <c r="AH699" i="3" s="1"/>
  <c r="AG700" i="3"/>
  <c r="AH700" i="3" s="1"/>
  <c r="AG701" i="3"/>
  <c r="AH701" i="3" s="1"/>
  <c r="AG702" i="3"/>
  <c r="AH702" i="3" s="1"/>
  <c r="AG703" i="3"/>
  <c r="AG704" i="3"/>
  <c r="AG705" i="3"/>
  <c r="AG706" i="3"/>
  <c r="AG707" i="3"/>
  <c r="AH707" i="3" s="1"/>
  <c r="AG708" i="3"/>
  <c r="AH708" i="3" s="1"/>
  <c r="AG709" i="3"/>
  <c r="AH709" i="3" s="1"/>
  <c r="AG710" i="3"/>
  <c r="AH710" i="3" s="1"/>
  <c r="AG711" i="3"/>
  <c r="AG712" i="3"/>
  <c r="AG713" i="3"/>
  <c r="AH713" i="3" s="1"/>
  <c r="AG714" i="3"/>
  <c r="AH714" i="3" s="1"/>
  <c r="AG715" i="3"/>
  <c r="AH715" i="3" s="1"/>
  <c r="AG716" i="3"/>
  <c r="AH716" i="3" s="1"/>
  <c r="AG717" i="3"/>
  <c r="AH717" i="3" s="1"/>
  <c r="AG718" i="3"/>
  <c r="AH718" i="3" s="1"/>
  <c r="AG719" i="3"/>
  <c r="AG720" i="3"/>
  <c r="AG721" i="3"/>
  <c r="AG722" i="3"/>
  <c r="AG723" i="3"/>
  <c r="AH723" i="3" s="1"/>
  <c r="AG724" i="3"/>
  <c r="AH724" i="3" s="1"/>
  <c r="AG725" i="3"/>
  <c r="AH725" i="3" s="1"/>
  <c r="AG726" i="3"/>
  <c r="AH726" i="3" s="1"/>
  <c r="AG727" i="3"/>
  <c r="AG728" i="3"/>
  <c r="AG729" i="3"/>
  <c r="AH729" i="3" s="1"/>
  <c r="AG730" i="3"/>
  <c r="AH730" i="3" s="1"/>
  <c r="AG731" i="3"/>
  <c r="AH731" i="3" s="1"/>
  <c r="AG732" i="3"/>
  <c r="AH732" i="3" s="1"/>
  <c r="AG733" i="3"/>
  <c r="AH733" i="3" s="1"/>
  <c r="AG734" i="3"/>
  <c r="AH734" i="3" s="1"/>
  <c r="AG735" i="3"/>
  <c r="AG736" i="3"/>
  <c r="AG737" i="3"/>
  <c r="AG738" i="3"/>
  <c r="AG739" i="3"/>
  <c r="AH739" i="3" s="1"/>
  <c r="AG740" i="3"/>
  <c r="AH740" i="3" s="1"/>
  <c r="AG741" i="3"/>
  <c r="AH741" i="3" s="1"/>
  <c r="AG742" i="3"/>
  <c r="AH742" i="3" s="1"/>
  <c r="AG743" i="3"/>
  <c r="AG744" i="3"/>
  <c r="AG745" i="3"/>
  <c r="AH745" i="3" s="1"/>
  <c r="AG746" i="3"/>
  <c r="AH746" i="3" s="1"/>
  <c r="AG747" i="3"/>
  <c r="AH747" i="3" s="1"/>
  <c r="AG748" i="3"/>
  <c r="AH748" i="3" s="1"/>
  <c r="AG749" i="3"/>
  <c r="AH749" i="3" s="1"/>
  <c r="AG750" i="3"/>
  <c r="AH750" i="3" s="1"/>
  <c r="AG751" i="3"/>
  <c r="AG752" i="3"/>
  <c r="AG753" i="3"/>
  <c r="AG754" i="3"/>
  <c r="AG755" i="3"/>
  <c r="AH755" i="3" s="1"/>
  <c r="AG756" i="3"/>
  <c r="AH756" i="3" s="1"/>
  <c r="AG757" i="3"/>
  <c r="AH757" i="3" s="1"/>
  <c r="AG758" i="3"/>
  <c r="AH758" i="3" s="1"/>
  <c r="AG759" i="3"/>
  <c r="AG760" i="3"/>
  <c r="AG761" i="3"/>
  <c r="AH761" i="3" s="1"/>
  <c r="AG762" i="3"/>
  <c r="AH762" i="3" s="1"/>
  <c r="AG763" i="3"/>
  <c r="AH763" i="3" s="1"/>
  <c r="AG764" i="3"/>
  <c r="AH764" i="3" s="1"/>
  <c r="AG765" i="3"/>
  <c r="AH765" i="3" s="1"/>
  <c r="AG766" i="3"/>
  <c r="AH766" i="3" s="1"/>
  <c r="AG767" i="3"/>
  <c r="AG768" i="3"/>
  <c r="AG769" i="3"/>
  <c r="AG770" i="3"/>
  <c r="AG771" i="3"/>
  <c r="AH771" i="3" s="1"/>
  <c r="AG772" i="3"/>
  <c r="AH772" i="3" s="1"/>
  <c r="AG773" i="3"/>
  <c r="AH773" i="3" s="1"/>
  <c r="AG774" i="3"/>
  <c r="AH774" i="3" s="1"/>
  <c r="AG775" i="3"/>
  <c r="AG776" i="3"/>
  <c r="AG777" i="3"/>
  <c r="AH777" i="3" s="1"/>
  <c r="AG778" i="3"/>
  <c r="AH778" i="3" s="1"/>
  <c r="AG779" i="3"/>
  <c r="AH779" i="3" s="1"/>
  <c r="AG780" i="3"/>
  <c r="AH780" i="3" s="1"/>
  <c r="AG781" i="3"/>
  <c r="AH781" i="3" s="1"/>
  <c r="AG782" i="3"/>
  <c r="AH782" i="3" s="1"/>
  <c r="AG783" i="3"/>
  <c r="AG784" i="3"/>
  <c r="AG785" i="3"/>
  <c r="AG786" i="3"/>
  <c r="AG787" i="3"/>
  <c r="AH787" i="3" s="1"/>
  <c r="AG788" i="3"/>
  <c r="AH788" i="3" s="1"/>
  <c r="AG789" i="3"/>
  <c r="AH789" i="3" s="1"/>
  <c r="AG790" i="3"/>
  <c r="AH790" i="3" s="1"/>
  <c r="AG791" i="3"/>
  <c r="AG792" i="3"/>
  <c r="AG793" i="3"/>
  <c r="AH793" i="3" s="1"/>
  <c r="AG794" i="3"/>
  <c r="AH794" i="3" s="1"/>
  <c r="AG795" i="3"/>
  <c r="AH795" i="3" s="1"/>
  <c r="AG796" i="3"/>
  <c r="AH796" i="3" s="1"/>
  <c r="AG797" i="3"/>
  <c r="AH797" i="3" s="1"/>
  <c r="AG798" i="3"/>
  <c r="AH798" i="3" s="1"/>
  <c r="AG799" i="3"/>
  <c r="AG800" i="3"/>
  <c r="AG801" i="3"/>
  <c r="AG802" i="3"/>
  <c r="AG803" i="3"/>
  <c r="AH803" i="3" s="1"/>
  <c r="AG804" i="3"/>
  <c r="AH804" i="3" s="1"/>
  <c r="AG805" i="3"/>
  <c r="AH805" i="3" s="1"/>
  <c r="AG806" i="3"/>
  <c r="AH806" i="3" s="1"/>
  <c r="AG807" i="3"/>
  <c r="AG808" i="3"/>
  <c r="AG809" i="3"/>
  <c r="AH809" i="3" s="1"/>
  <c r="AG810" i="3"/>
  <c r="AH810" i="3" s="1"/>
  <c r="AG811" i="3"/>
  <c r="AH811" i="3" s="1"/>
  <c r="AG812" i="3"/>
  <c r="AH812" i="3" s="1"/>
  <c r="AG813" i="3"/>
  <c r="AH813" i="3" s="1"/>
  <c r="AG814" i="3"/>
  <c r="AH814" i="3" s="1"/>
  <c r="AG815" i="3"/>
  <c r="AG816" i="3"/>
  <c r="AG817" i="3"/>
  <c r="AG818" i="3"/>
  <c r="AG819" i="3"/>
  <c r="AH819" i="3" s="1"/>
  <c r="AG820" i="3"/>
  <c r="AH820" i="3" s="1"/>
  <c r="AG821" i="3"/>
  <c r="AH821" i="3" s="1"/>
  <c r="AG822" i="3"/>
  <c r="AH822" i="3" s="1"/>
  <c r="AG823" i="3"/>
  <c r="AG824" i="3"/>
  <c r="AG825" i="3"/>
  <c r="AH825" i="3" s="1"/>
  <c r="AG826" i="3"/>
  <c r="AH826" i="3" s="1"/>
  <c r="AG827" i="3"/>
  <c r="AH827" i="3" s="1"/>
  <c r="AG828" i="3"/>
  <c r="AH828" i="3" s="1"/>
  <c r="AG829" i="3"/>
  <c r="AH829" i="3" s="1"/>
  <c r="AG830" i="3"/>
  <c r="AH830" i="3" s="1"/>
  <c r="AG831" i="3"/>
  <c r="AG832" i="3"/>
  <c r="AG833" i="3"/>
  <c r="AG834" i="3"/>
  <c r="AG835" i="3"/>
  <c r="AH835" i="3" s="1"/>
  <c r="AG836" i="3"/>
  <c r="AH836" i="3" s="1"/>
  <c r="AG837" i="3"/>
  <c r="AH837" i="3" s="1"/>
  <c r="AG838" i="3"/>
  <c r="AH838" i="3" s="1"/>
  <c r="AG839" i="3"/>
  <c r="AG840" i="3"/>
  <c r="AG841" i="3"/>
  <c r="AH841" i="3" s="1"/>
  <c r="AG842" i="3"/>
  <c r="AH842" i="3" s="1"/>
  <c r="AG843" i="3"/>
  <c r="AH843" i="3" s="1"/>
  <c r="AG844" i="3"/>
  <c r="AH844" i="3" s="1"/>
  <c r="AG845" i="3"/>
  <c r="AH845" i="3" s="1"/>
  <c r="AG846" i="3"/>
  <c r="AH846" i="3" s="1"/>
  <c r="AG847" i="3"/>
  <c r="AG848" i="3"/>
  <c r="AG849" i="3"/>
  <c r="AG850" i="3"/>
  <c r="AG851" i="3"/>
  <c r="AH851" i="3" s="1"/>
  <c r="AG852" i="3"/>
  <c r="AH852" i="3" s="1"/>
  <c r="AG853" i="3"/>
  <c r="AH853" i="3" s="1"/>
  <c r="AG854" i="3"/>
  <c r="AH854" i="3" s="1"/>
  <c r="AG855" i="3"/>
  <c r="AG856" i="3"/>
  <c r="AG857" i="3"/>
  <c r="AH857" i="3" s="1"/>
  <c r="AG858" i="3"/>
  <c r="AH858" i="3" s="1"/>
  <c r="AG859" i="3"/>
  <c r="AH859" i="3" s="1"/>
  <c r="AG860" i="3"/>
  <c r="AH860" i="3" s="1"/>
  <c r="AG861" i="3"/>
  <c r="AH861" i="3" s="1"/>
  <c r="AG862" i="3"/>
  <c r="AH862" i="3" s="1"/>
  <c r="AG863" i="3"/>
  <c r="AG864" i="3"/>
  <c r="AG865" i="3"/>
  <c r="AG866" i="3"/>
  <c r="AG867" i="3"/>
  <c r="AH867" i="3" s="1"/>
  <c r="AG868" i="3"/>
  <c r="AH868" i="3" s="1"/>
  <c r="AG869" i="3"/>
  <c r="AH869" i="3" s="1"/>
  <c r="AG870" i="3"/>
  <c r="AH870" i="3" s="1"/>
  <c r="AG871" i="3"/>
  <c r="AG872" i="3"/>
  <c r="AG873" i="3"/>
  <c r="AH873" i="3" s="1"/>
  <c r="AG874" i="3"/>
  <c r="AH874" i="3" s="1"/>
  <c r="AG875" i="3"/>
  <c r="AH875" i="3" s="1"/>
  <c r="AG876" i="3"/>
  <c r="AH876" i="3" s="1"/>
  <c r="AG877" i="3"/>
  <c r="AH877" i="3" s="1"/>
  <c r="AG878" i="3"/>
  <c r="AH878" i="3" s="1"/>
  <c r="AG879" i="3"/>
  <c r="AG880" i="3"/>
  <c r="AG881" i="3"/>
  <c r="AG882" i="3"/>
  <c r="AG883" i="3"/>
  <c r="AH883" i="3" s="1"/>
  <c r="AG884" i="3"/>
  <c r="AH884" i="3" s="1"/>
  <c r="AG885" i="3"/>
  <c r="AH885" i="3" s="1"/>
  <c r="AG886" i="3"/>
  <c r="AH886" i="3" s="1"/>
  <c r="AG887" i="3"/>
  <c r="AG888" i="3"/>
  <c r="AG889" i="3"/>
  <c r="AH889" i="3" s="1"/>
  <c r="AG890" i="3"/>
  <c r="AH890" i="3" s="1"/>
  <c r="AG891" i="3"/>
  <c r="AH891" i="3" s="1"/>
  <c r="AG892" i="3"/>
  <c r="AH892" i="3" s="1"/>
  <c r="AG893" i="3"/>
  <c r="AH893" i="3" s="1"/>
  <c r="AG894" i="3"/>
  <c r="AH894" i="3" s="1"/>
  <c r="AG895" i="3"/>
  <c r="AG896" i="3"/>
  <c r="AG897" i="3"/>
  <c r="AG898" i="3"/>
  <c r="AG899" i="3"/>
  <c r="AH899" i="3" s="1"/>
  <c r="AG900" i="3"/>
  <c r="AH900" i="3" s="1"/>
  <c r="AG901" i="3"/>
  <c r="AH901" i="3" s="1"/>
  <c r="AG902" i="3"/>
  <c r="AH902" i="3" s="1"/>
  <c r="AG903" i="3"/>
  <c r="AG904" i="3"/>
  <c r="AG905" i="3"/>
  <c r="AG906" i="3"/>
  <c r="AH906" i="3" s="1"/>
  <c r="AG907" i="3"/>
  <c r="AH907" i="3" s="1"/>
  <c r="AG908" i="3"/>
  <c r="AH908" i="3" s="1"/>
  <c r="AG909" i="3"/>
  <c r="AH909" i="3" s="1"/>
  <c r="AG910" i="3"/>
  <c r="AH910" i="3" s="1"/>
  <c r="AG911" i="3"/>
  <c r="AG912" i="3"/>
  <c r="AG913" i="3"/>
  <c r="AG914" i="3"/>
  <c r="AG915" i="3"/>
  <c r="AH915" i="3" s="1"/>
  <c r="AG916" i="3"/>
  <c r="AH916" i="3" s="1"/>
  <c r="AG917" i="3"/>
  <c r="AH917" i="3" s="1"/>
  <c r="AG918" i="3"/>
  <c r="AH918" i="3" s="1"/>
  <c r="AG919" i="3"/>
  <c r="AG920" i="3"/>
  <c r="AG921" i="3"/>
  <c r="AH921" i="3" s="1"/>
  <c r="AG922" i="3"/>
  <c r="AG923" i="3"/>
  <c r="AH923" i="3" s="1"/>
  <c r="AG924" i="3"/>
  <c r="AH924" i="3" s="1"/>
  <c r="AG925" i="3"/>
  <c r="AH925" i="3" s="1"/>
  <c r="AG926" i="3"/>
  <c r="AH926" i="3" s="1"/>
  <c r="AG927" i="3"/>
  <c r="AG928" i="3"/>
  <c r="AG929" i="3"/>
  <c r="AG932" i="3"/>
  <c r="AG935" i="3"/>
  <c r="AG936" i="3"/>
  <c r="AH936" i="3" s="1"/>
  <c r="AG937" i="3"/>
  <c r="AH937" i="3" s="1"/>
  <c r="AG938" i="3"/>
  <c r="AH938" i="3" s="1"/>
  <c r="AG939" i="3"/>
  <c r="AH939" i="3" s="1"/>
  <c r="AG940" i="3"/>
  <c r="AG943" i="3"/>
  <c r="AH943" i="3" s="1"/>
  <c r="AG944" i="3"/>
  <c r="AG945" i="3"/>
  <c r="AH945" i="3" s="1"/>
  <c r="AG946" i="3"/>
  <c r="AH946" i="3" s="1"/>
  <c r="AG947" i="3"/>
  <c r="AH947" i="3" s="1"/>
  <c r="AG948" i="3"/>
  <c r="AH948" i="3" s="1"/>
  <c r="AG949" i="3"/>
  <c r="AG950" i="3"/>
  <c r="AG951" i="3"/>
  <c r="AG952" i="3"/>
  <c r="AG953" i="3"/>
  <c r="AG954" i="3"/>
  <c r="AH954" i="3" s="1"/>
  <c r="AG955" i="3"/>
  <c r="AH955" i="3" s="1"/>
  <c r="AG956" i="3"/>
  <c r="AH956" i="3" s="1"/>
  <c r="AG957" i="3"/>
  <c r="AG958" i="3"/>
  <c r="AG959" i="3"/>
  <c r="AH959" i="3" s="1"/>
  <c r="AG960" i="3"/>
  <c r="AH960" i="3" s="1"/>
  <c r="AG961" i="3"/>
  <c r="AH961" i="3" s="1"/>
  <c r="AG962" i="3"/>
  <c r="AH962" i="3" s="1"/>
  <c r="AG963" i="3"/>
  <c r="AH963" i="3" s="1"/>
  <c r="AG964" i="3"/>
  <c r="AH964" i="3" s="1"/>
  <c r="AG965" i="3"/>
  <c r="AG966" i="3"/>
  <c r="AG967" i="3"/>
  <c r="AG968" i="3"/>
  <c r="AG969" i="3"/>
  <c r="AH969" i="3" s="1"/>
  <c r="AG970" i="3"/>
  <c r="AH970" i="3" s="1"/>
  <c r="AG971" i="3"/>
  <c r="AH971" i="3" s="1"/>
  <c r="AG972" i="3"/>
  <c r="AH972" i="3" s="1"/>
  <c r="AG973" i="3"/>
  <c r="AG974" i="3"/>
  <c r="AG975" i="3"/>
  <c r="AH975" i="3" s="1"/>
  <c r="AG976" i="3"/>
  <c r="AH976" i="3" s="1"/>
  <c r="AG977" i="3"/>
  <c r="AH977" i="3" s="1"/>
  <c r="AG978" i="3"/>
  <c r="AH978" i="3" s="1"/>
  <c r="AG980" i="3"/>
  <c r="AH980" i="3" s="1"/>
  <c r="AG981" i="3"/>
  <c r="AH981" i="3" s="1"/>
  <c r="AG982" i="3"/>
  <c r="AG983" i="3"/>
  <c r="AG984" i="3"/>
  <c r="AG985" i="3"/>
  <c r="AG986" i="3"/>
  <c r="AH986" i="3" s="1"/>
  <c r="AG987" i="3"/>
  <c r="AH987" i="3" s="1"/>
  <c r="AG988" i="3"/>
  <c r="AH988" i="3" s="1"/>
  <c r="AG990" i="3"/>
  <c r="AH990" i="3" s="1"/>
  <c r="AG991" i="3"/>
  <c r="AG998" i="3"/>
  <c r="AG999" i="3"/>
  <c r="AH999" i="3" s="1"/>
  <c r="AG1001" i="3"/>
  <c r="AH1001" i="3" s="1"/>
  <c r="AG1002" i="3"/>
  <c r="AG1004" i="3"/>
  <c r="AH1004" i="3" s="1"/>
  <c r="AG1005" i="3"/>
  <c r="AH1005" i="3" s="1"/>
  <c r="AG1006" i="3"/>
  <c r="AH1006" i="3" s="1"/>
  <c r="AG1011" i="3"/>
  <c r="AH1011" i="3" s="1"/>
  <c r="AG1013" i="3"/>
  <c r="AH1013" i="3" s="1"/>
  <c r="AG1015" i="3"/>
  <c r="AG1032" i="3"/>
  <c r="AG1039" i="3"/>
  <c r="AH1039" i="3" s="1"/>
  <c r="AG1041" i="3"/>
  <c r="AH1041" i="3" s="1"/>
  <c r="AG1044" i="3"/>
  <c r="AH1044" i="3" s="1"/>
  <c r="AG1045" i="3"/>
  <c r="AH1045" i="3" s="1"/>
  <c r="AG1048" i="3"/>
  <c r="AG1049" i="3"/>
  <c r="AG1050" i="3"/>
  <c r="AH1050" i="3" s="1"/>
  <c r="AG1052" i="3"/>
  <c r="AG1055" i="3"/>
  <c r="AH1055" i="3" s="1"/>
  <c r="AG1057" i="3"/>
  <c r="AH1057" i="3" s="1"/>
  <c r="AG1059" i="3"/>
  <c r="AH1059" i="3" s="1"/>
  <c r="AG1060" i="3"/>
  <c r="AH1060" i="3" s="1"/>
  <c r="AG1061" i="3"/>
  <c r="AH1061" i="3" s="1"/>
  <c r="AG1062" i="3"/>
  <c r="AH1062" i="3" s="1"/>
  <c r="AG1063" i="3"/>
  <c r="AH1063" i="3" s="1"/>
  <c r="AG1064" i="3"/>
  <c r="AG1065" i="3"/>
  <c r="AH1065" i="3" s="1"/>
  <c r="AG1066" i="3"/>
  <c r="AH1066" i="3" s="1"/>
  <c r="AG1067" i="3"/>
  <c r="AH1067" i="3" s="1"/>
  <c r="AG1068" i="3"/>
  <c r="AH1068" i="3" s="1"/>
  <c r="AG1069" i="3"/>
  <c r="AH1069" i="3" s="1"/>
  <c r="AG1070" i="3"/>
  <c r="AH1070" i="3" s="1"/>
  <c r="AG1072" i="3"/>
  <c r="AG1073" i="3"/>
  <c r="AG1074" i="3"/>
  <c r="AH1074" i="3" s="1"/>
  <c r="AG1076" i="3"/>
  <c r="AH1076" i="3" s="1"/>
  <c r="AG1077" i="3"/>
  <c r="AH1077" i="3" s="1"/>
  <c r="AG1078" i="3"/>
  <c r="AH1078" i="3" s="1"/>
  <c r="AG1079" i="3"/>
  <c r="AH1079" i="3" s="1"/>
  <c r="AG1080" i="3"/>
  <c r="AG1081" i="3"/>
  <c r="AG1083" i="3"/>
  <c r="AH1083" i="3" s="1"/>
  <c r="AG1084" i="3"/>
  <c r="AH1084" i="3" s="1"/>
  <c r="AG1085" i="3"/>
  <c r="AH1085" i="3" s="1"/>
  <c r="AG1086" i="3"/>
  <c r="AH1086" i="3" s="1"/>
  <c r="AG1087" i="3"/>
  <c r="AH1087" i="3" s="1"/>
  <c r="AG1088" i="3"/>
  <c r="AG1089" i="3"/>
  <c r="AG1090" i="3"/>
  <c r="AG1091" i="3"/>
  <c r="AH1091" i="3" s="1"/>
  <c r="AG1092" i="3"/>
  <c r="AG1093" i="3"/>
  <c r="AH1093" i="3" s="1"/>
  <c r="AG1094" i="3"/>
  <c r="AH1094" i="3" s="1"/>
  <c r="AG1096" i="3"/>
  <c r="AH1096" i="3" s="1"/>
  <c r="AG1097" i="3"/>
  <c r="AG1098" i="3"/>
  <c r="AG1100" i="3"/>
  <c r="AG1101" i="3"/>
  <c r="AH1101" i="3" s="1"/>
  <c r="AG1102" i="3"/>
  <c r="AH1102" i="3" s="1"/>
  <c r="AG1103" i="3"/>
  <c r="AH1103" i="3" s="1"/>
  <c r="AG1104" i="3"/>
  <c r="AH1104" i="3" s="1"/>
  <c r="AG1105" i="3"/>
  <c r="AH1105" i="3" s="1"/>
  <c r="AG1106" i="3"/>
  <c r="AG1110" i="3"/>
  <c r="AG1112" i="3"/>
  <c r="AH1112" i="3" s="1"/>
  <c r="AG1114" i="3"/>
  <c r="AH1114" i="3" s="1"/>
  <c r="AG1115" i="3"/>
  <c r="AH1115" i="3" s="1"/>
  <c r="AG1117" i="3"/>
  <c r="AH1117" i="3" s="1"/>
  <c r="AG1118" i="3"/>
  <c r="AH1118" i="3" s="1"/>
  <c r="AG1119" i="3"/>
  <c r="AH1119" i="3" s="1"/>
  <c r="AG1120" i="3"/>
  <c r="AG1121" i="3"/>
  <c r="AG1122" i="3"/>
  <c r="AG1123" i="3"/>
  <c r="AH1123" i="3" s="1"/>
  <c r="AG1124" i="3"/>
  <c r="AH1124" i="3" s="1"/>
  <c r="AG1125" i="3"/>
  <c r="AH1125" i="3" s="1"/>
  <c r="AG1126" i="3"/>
  <c r="AH1126" i="3" s="1"/>
  <c r="AG1127" i="3"/>
  <c r="AH1127"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G1141" i="3"/>
  <c r="AH1141" i="3" s="1"/>
  <c r="AG1142" i="3"/>
  <c r="AG1143" i="3"/>
  <c r="AH1143" i="3" s="1"/>
  <c r="AG1144" i="3"/>
  <c r="AH1144" i="3" s="1"/>
  <c r="AG1145" i="3"/>
  <c r="AH1145" i="3" s="1"/>
  <c r="AG1146" i="3"/>
  <c r="AH1146" i="3" s="1"/>
  <c r="AG1147" i="3"/>
  <c r="AH1147" i="3" s="1"/>
  <c r="AG1150" i="3"/>
  <c r="AH1150" i="3" s="1"/>
  <c r="AG1152" i="3"/>
  <c r="AH1152" i="3" s="1"/>
  <c r="AG1159" i="3"/>
  <c r="AG1161" i="3"/>
  <c r="AH1161" i="3" s="1"/>
  <c r="AG1162" i="3"/>
  <c r="AH1162" i="3" s="1"/>
  <c r="AG1163" i="3"/>
  <c r="AH1163" i="3" s="1"/>
  <c r="AG1164" i="3"/>
  <c r="AG1165" i="3"/>
  <c r="AH1165" i="3" s="1"/>
  <c r="AG1167" i="3"/>
  <c r="AH1167" i="3" s="1"/>
  <c r="AG1168" i="3"/>
  <c r="AH1168" i="3" s="1"/>
  <c r="AG1169" i="3"/>
  <c r="AG1170" i="3"/>
  <c r="AH1170" i="3" s="1"/>
  <c r="AG1172" i="3"/>
  <c r="AH1172" i="3" s="1"/>
  <c r="AG1173" i="3"/>
  <c r="AH1173" i="3" s="1"/>
  <c r="AG1174" i="3"/>
  <c r="AG1176" i="3"/>
  <c r="AG1177" i="3"/>
  <c r="AG1178" i="3"/>
  <c r="AG1179" i="3"/>
  <c r="AH1179" i="3" s="1"/>
  <c r="AG1181" i="3"/>
  <c r="AH1181" i="3" s="1"/>
  <c r="AG1183" i="3"/>
  <c r="AH1183" i="3" s="1"/>
  <c r="AG1185" i="3"/>
  <c r="AH1185" i="3" s="1"/>
  <c r="AG1186" i="3"/>
  <c r="AH1186" i="3" s="1"/>
  <c r="AG1187" i="3"/>
  <c r="AH1187" i="3" s="1"/>
  <c r="AG1189" i="3"/>
  <c r="AH1189" i="3" s="1"/>
  <c r="AG1191" i="3"/>
  <c r="AH1191" i="3" s="1"/>
  <c r="AG1192" i="3"/>
  <c r="AG1196" i="3"/>
  <c r="AH1196" i="3" s="1"/>
  <c r="AG1197" i="3"/>
  <c r="AH1197" i="3" s="1"/>
  <c r="AG1198" i="3"/>
  <c r="AH1198" i="3" s="1"/>
  <c r="AG1199" i="3"/>
  <c r="AH1199" i="3" s="1"/>
  <c r="AG1200" i="3"/>
  <c r="AH1200" i="3" s="1"/>
  <c r="AG1201" i="3"/>
  <c r="AH1201" i="3" s="1"/>
  <c r="AG1202" i="3"/>
  <c r="AH1202" i="3" s="1"/>
  <c r="AG1203" i="3"/>
  <c r="AH1203" i="3" s="1"/>
  <c r="AG1204" i="3"/>
  <c r="AH1204" i="3" s="1"/>
  <c r="AG1205" i="3"/>
  <c r="AH1205" i="3" s="1"/>
  <c r="AG1206" i="3"/>
  <c r="AH1206" i="3" s="1"/>
  <c r="AG1207" i="3"/>
  <c r="AG1208" i="3"/>
  <c r="AH1208" i="3" s="1"/>
  <c r="AG1209" i="3"/>
  <c r="AG1210" i="3"/>
  <c r="AH1210" i="3" s="1"/>
  <c r="AG1211" i="3"/>
  <c r="AH1211" i="3" s="1"/>
  <c r="AG1212" i="3"/>
  <c r="AG1213" i="3"/>
  <c r="AH1213" i="3" s="1"/>
  <c r="AG1214" i="3"/>
  <c r="AH1214" i="3" s="1"/>
  <c r="AG1215" i="3"/>
  <c r="AH1215" i="3" s="1"/>
  <c r="AG1216" i="3"/>
  <c r="AH1216" i="3" s="1"/>
  <c r="AG1217" i="3"/>
  <c r="AG1218" i="3"/>
  <c r="AH1218" i="3" s="1"/>
  <c r="AG1219" i="3"/>
  <c r="AH1219" i="3" s="1"/>
  <c r="AG1220" i="3"/>
  <c r="AH1220" i="3" s="1"/>
  <c r="AG1221" i="3"/>
  <c r="AH1221" i="3" s="1"/>
  <c r="AG1223" i="3"/>
  <c r="AH1223" i="3" s="1"/>
  <c r="AG1224" i="3"/>
  <c r="AG1225" i="3"/>
  <c r="AH1225" i="3" s="1"/>
  <c r="AG1226" i="3"/>
  <c r="AH1226" i="3" s="1"/>
  <c r="AG1229" i="3"/>
  <c r="AH1229" i="3" s="1"/>
  <c r="AG1231" i="3"/>
  <c r="AH1231" i="3" s="1"/>
  <c r="AG1234" i="3"/>
  <c r="AH1234" i="3" s="1"/>
  <c r="AG1237" i="3"/>
  <c r="AH1237" i="3" s="1"/>
  <c r="AG1238" i="3"/>
  <c r="AH1238" i="3" s="1"/>
  <c r="AG1239" i="3"/>
  <c r="AH1239" i="3" s="1"/>
  <c r="AG1240" i="3"/>
  <c r="AG1241" i="3"/>
  <c r="AH1241" i="3" s="1"/>
  <c r="AG1242" i="3"/>
  <c r="AH1242" i="3" s="1"/>
  <c r="AG1245" i="3"/>
  <c r="AH1245" i="3" s="1"/>
  <c r="AG1248" i="3"/>
  <c r="AH1248" i="3" s="1"/>
  <c r="AG1249" i="3"/>
  <c r="AH1249" i="3" s="1"/>
  <c r="AG1250" i="3"/>
  <c r="AH1250" i="3" s="1"/>
  <c r="AG1251" i="3"/>
  <c r="AH1251" i="3" s="1"/>
  <c r="AG1252" i="3"/>
  <c r="AG1255" i="3"/>
  <c r="AH1255" i="3" s="1"/>
  <c r="AG1256" i="3"/>
  <c r="AG1257" i="3"/>
  <c r="AH1257" i="3" s="1"/>
  <c r="AG1258" i="3"/>
  <c r="AH1258" i="3" s="1"/>
  <c r="AG1259" i="3"/>
  <c r="AH1259" i="3" s="1"/>
  <c r="AG1260" i="3"/>
  <c r="AH1260" i="3" s="1"/>
  <c r="AG1261" i="3"/>
  <c r="AH1261" i="3" s="1"/>
  <c r="AG1262" i="3"/>
  <c r="AH1262" i="3" s="1"/>
  <c r="AG1263" i="3"/>
  <c r="AH1263" i="3" s="1"/>
  <c r="AG1264" i="3"/>
  <c r="AG1265" i="3"/>
  <c r="AH1265" i="3" s="1"/>
  <c r="AG1266" i="3"/>
  <c r="AH1266" i="3" s="1"/>
  <c r="AG1271" i="3"/>
  <c r="AH1271" i="3" s="1"/>
  <c r="AG1273" i="3"/>
  <c r="AH1273" i="3" s="1"/>
  <c r="AG1274" i="3"/>
  <c r="AH1274" i="3" s="1"/>
  <c r="AG1277" i="3"/>
  <c r="AH1277" i="3" s="1"/>
  <c r="AG1278" i="3"/>
  <c r="AH1278" i="3" s="1"/>
  <c r="AG1279" i="3"/>
  <c r="AH1279" i="3" s="1"/>
  <c r="AG1280" i="3"/>
  <c r="AH1280" i="3" s="1"/>
  <c r="AG1281" i="3"/>
  <c r="AH1281" i="3" s="1"/>
  <c r="AG1282" i="3"/>
  <c r="AH1282" i="3" s="1"/>
  <c r="AG1283" i="3"/>
  <c r="AH1283" i="3" s="1"/>
  <c r="AG1284" i="3"/>
  <c r="AH1284" i="3" s="1"/>
  <c r="AG1287" i="3"/>
  <c r="AH1287" i="3" s="1"/>
  <c r="AG1288" i="3"/>
  <c r="AH1288" i="3" s="1"/>
  <c r="AG1289" i="3"/>
  <c r="AH1289" i="3" s="1"/>
  <c r="AG1290" i="3"/>
  <c r="AH1290" i="3" s="1"/>
  <c r="AG1292" i="3"/>
  <c r="AH1292" i="3" s="1"/>
  <c r="AG1293" i="3"/>
  <c r="AH1293" i="3" s="1"/>
  <c r="AG1296" i="3"/>
  <c r="AH1296" i="3" s="1"/>
  <c r="AG1297" i="3"/>
  <c r="AG1305" i="3"/>
  <c r="AG1307" i="3"/>
  <c r="AH1307" i="3" s="1"/>
  <c r="AG1308" i="3"/>
  <c r="AH1308" i="3" s="1"/>
  <c r="AG1309" i="3"/>
  <c r="AH1309" i="3" s="1"/>
  <c r="AG1311" i="3"/>
  <c r="AH1311" i="3" s="1"/>
  <c r="AG1313" i="3"/>
  <c r="AH1313" i="3" s="1"/>
  <c r="AG1318" i="3"/>
  <c r="AH1318" i="3" s="1"/>
  <c r="AG1320" i="3"/>
  <c r="AH1320" i="3" s="1"/>
  <c r="AG1325" i="3"/>
  <c r="AH1325" i="3" s="1"/>
  <c r="AG1326" i="3"/>
  <c r="AH1326" i="3" s="1"/>
  <c r="AG1329" i="3"/>
  <c r="AH1329" i="3" s="1"/>
  <c r="AG1330" i="3"/>
  <c r="AH1330" i="3" s="1"/>
  <c r="AG1331" i="3"/>
  <c r="AH1331" i="3" s="1"/>
  <c r="AG1332" i="3"/>
  <c r="AH1332" i="3" s="1"/>
  <c r="AG1334" i="3"/>
  <c r="AH1334" i="3" s="1"/>
  <c r="AG1335" i="3"/>
  <c r="AG1336" i="3"/>
  <c r="AH1336" i="3" s="1"/>
  <c r="AG1338" i="3"/>
  <c r="AH1338" i="3" s="1"/>
  <c r="AG1339" i="3"/>
  <c r="AG1340" i="3"/>
  <c r="AH1340" i="3" s="1"/>
  <c r="AG1341" i="3"/>
  <c r="AH1341" i="3" s="1"/>
  <c r="AG1342" i="3"/>
  <c r="AH1342" i="3" s="1"/>
  <c r="AG1343" i="3"/>
  <c r="AH1343" i="3" s="1"/>
  <c r="AG1345" i="3"/>
  <c r="AH1345" i="3" s="1"/>
  <c r="AG1346" i="3"/>
  <c r="AH1346" i="3" s="1"/>
  <c r="AG1348" i="3"/>
  <c r="AH1348" i="3" s="1"/>
  <c r="AG1351" i="3"/>
  <c r="AG1352" i="3"/>
  <c r="AH1352" i="3" s="1"/>
  <c r="AG1353" i="3"/>
  <c r="AH1353" i="3" s="1"/>
  <c r="AG1355" i="3"/>
  <c r="AH1355" i="3" s="1"/>
  <c r="AG1356" i="3"/>
  <c r="AH1356" i="3" s="1"/>
  <c r="AG1359" i="3"/>
  <c r="AG1360" i="3"/>
  <c r="AH1360" i="3" s="1"/>
  <c r="AG1361" i="3"/>
  <c r="AH1361" i="3" s="1"/>
  <c r="AG1362" i="3"/>
  <c r="AH1362" i="3" s="1"/>
  <c r="AG1363" i="3"/>
  <c r="AG1365" i="3"/>
  <c r="AH1365" i="3" s="1"/>
  <c r="AG1366" i="3"/>
  <c r="AH1366" i="3" s="1"/>
  <c r="AG1369" i="3"/>
  <c r="AH1369" i="3" s="1"/>
  <c r="AG1372" i="3"/>
  <c r="AG1373" i="3"/>
  <c r="AH1373" i="3" s="1"/>
  <c r="AG1374" i="3"/>
  <c r="AG1375" i="3"/>
  <c r="AG1377" i="3"/>
  <c r="AH1377" i="3" s="1"/>
  <c r="AG1381" i="3"/>
  <c r="AH1381" i="3" s="1"/>
  <c r="AG1382" i="3"/>
  <c r="AH1382" i="3" s="1"/>
  <c r="AG1384" i="3"/>
  <c r="AH1384" i="3" s="1"/>
  <c r="AG1388" i="3"/>
  <c r="AG1390" i="3"/>
  <c r="AH1390" i="3" s="1"/>
  <c r="AG1391" i="3"/>
  <c r="AG1392" i="3"/>
  <c r="AG1393" i="3"/>
  <c r="AH1393" i="3" s="1"/>
  <c r="AG1395" i="3"/>
  <c r="AH1395" i="3" s="1"/>
  <c r="AG1398" i="3"/>
  <c r="AH1398" i="3" s="1"/>
  <c r="AG1399" i="3"/>
  <c r="AH1399" i="3" s="1"/>
  <c r="AG1400" i="3"/>
  <c r="AG1401" i="3"/>
  <c r="AH1401" i="3" s="1"/>
  <c r="AG1403" i="3"/>
  <c r="AH1403" i="3" s="1"/>
  <c r="AG1404" i="3"/>
  <c r="AG1405" i="3"/>
  <c r="AH1405" i="3" s="1"/>
  <c r="AG1407" i="3"/>
  <c r="AG1410" i="3"/>
  <c r="AH1410" i="3" s="1"/>
  <c r="AG1413" i="3"/>
  <c r="AH1413" i="3" s="1"/>
  <c r="AG1415" i="3"/>
  <c r="AH1415" i="3" s="1"/>
  <c r="AG1416" i="3"/>
  <c r="AG1418" i="3"/>
  <c r="AH1418" i="3" s="1"/>
  <c r="AG1419" i="3"/>
  <c r="AH1419" i="3" s="1"/>
  <c r="AG1421" i="3"/>
  <c r="AH1421" i="3" s="1"/>
  <c r="AG1423" i="3"/>
  <c r="AG1425" i="3"/>
  <c r="AH1425" i="3" s="1"/>
  <c r="AG1439" i="3"/>
  <c r="AH1439" i="3" s="1"/>
  <c r="AG1440" i="3"/>
  <c r="AG1443" i="3"/>
  <c r="AH1443" i="3" s="1"/>
  <c r="AG1446" i="3"/>
  <c r="AH1446" i="3" s="1"/>
  <c r="AG3" i="3"/>
  <c r="AH3" i="3" s="1"/>
  <c r="AH4" i="3"/>
  <c r="AJ4" i="3"/>
  <c r="AL4" i="3"/>
  <c r="AN4" i="3"/>
  <c r="AP4" i="3"/>
  <c r="AR4" i="3"/>
  <c r="AT4" i="3"/>
  <c r="AJ5" i="3"/>
  <c r="AL5" i="3"/>
  <c r="AN5" i="3"/>
  <c r="AP5" i="3"/>
  <c r="AR5" i="3"/>
  <c r="AT5" i="3"/>
  <c r="AH6" i="3"/>
  <c r="AJ6" i="3"/>
  <c r="AL6" i="3"/>
  <c r="AN6" i="3"/>
  <c r="AP6" i="3"/>
  <c r="AR6" i="3"/>
  <c r="AT6" i="3"/>
  <c r="AH7" i="3"/>
  <c r="AJ7" i="3"/>
  <c r="AL7" i="3"/>
  <c r="AN7" i="3"/>
  <c r="AP7" i="3"/>
  <c r="AR7" i="3"/>
  <c r="AT7" i="3"/>
  <c r="AJ8" i="3"/>
  <c r="AL8" i="3"/>
  <c r="AN8" i="3"/>
  <c r="AP8" i="3"/>
  <c r="AR8" i="3"/>
  <c r="AT8" i="3"/>
  <c r="AJ9" i="3"/>
  <c r="AL9" i="3"/>
  <c r="AN9" i="3"/>
  <c r="AP9" i="3"/>
  <c r="AR9" i="3"/>
  <c r="AT9" i="3"/>
  <c r="AJ10" i="3"/>
  <c r="AN10" i="3"/>
  <c r="AP10" i="3"/>
  <c r="AR10" i="3"/>
  <c r="AT10" i="3"/>
  <c r="AJ11" i="3"/>
  <c r="AL11" i="3"/>
  <c r="AN11" i="3"/>
  <c r="AP11" i="3"/>
  <c r="AR11" i="3"/>
  <c r="AT11"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H16" i="3"/>
  <c r="AJ16" i="3"/>
  <c r="AL16" i="3"/>
  <c r="AN16" i="3"/>
  <c r="AP16" i="3"/>
  <c r="AR16" i="3"/>
  <c r="AT16" i="3"/>
  <c r="AJ17" i="3"/>
  <c r="AN17" i="3"/>
  <c r="AP17" i="3"/>
  <c r="AR17" i="3"/>
  <c r="AT17" i="3"/>
  <c r="AJ18" i="3"/>
  <c r="AL18" i="3"/>
  <c r="AN18" i="3"/>
  <c r="AP18" i="3"/>
  <c r="AR18" i="3"/>
  <c r="AT18" i="3"/>
  <c r="AJ19" i="3"/>
  <c r="AL19" i="3"/>
  <c r="AN19" i="3"/>
  <c r="AP19" i="3"/>
  <c r="AR19" i="3"/>
  <c r="AT19" i="3"/>
  <c r="AH20" i="3"/>
  <c r="AP20" i="3"/>
  <c r="AR20" i="3"/>
  <c r="AT20" i="3"/>
  <c r="AN21" i="3"/>
  <c r="AP21" i="3"/>
  <c r="AR21" i="3"/>
  <c r="AT21" i="3"/>
  <c r="AJ22" i="3"/>
  <c r="AN22" i="3"/>
  <c r="AP22" i="3"/>
  <c r="AR22" i="3"/>
  <c r="AT22" i="3"/>
  <c r="AN23" i="3"/>
  <c r="AP23" i="3"/>
  <c r="AR23" i="3"/>
  <c r="AT23" i="3"/>
  <c r="AJ24" i="3"/>
  <c r="AL24" i="3"/>
  <c r="AN24" i="3"/>
  <c r="AP24" i="3"/>
  <c r="AR24" i="3"/>
  <c r="AT24" i="3"/>
  <c r="AJ25" i="3"/>
  <c r="AL25" i="3"/>
  <c r="AN25" i="3"/>
  <c r="AP25" i="3"/>
  <c r="AR25" i="3"/>
  <c r="AT25" i="3"/>
  <c r="AH26" i="3"/>
  <c r="AJ26" i="3"/>
  <c r="AL26" i="3"/>
  <c r="AN26" i="3"/>
  <c r="AP26" i="3"/>
  <c r="AR26" i="3"/>
  <c r="AT26" i="3"/>
  <c r="AN27" i="3"/>
  <c r="AP27" i="3"/>
  <c r="AR27" i="3"/>
  <c r="AT27" i="3"/>
  <c r="AJ28" i="3"/>
  <c r="AL28" i="3"/>
  <c r="AN28" i="3"/>
  <c r="AP28" i="3"/>
  <c r="AR28" i="3"/>
  <c r="AT28" i="3"/>
  <c r="AH29" i="3"/>
  <c r="AJ29" i="3"/>
  <c r="AL29" i="3"/>
  <c r="AN29" i="3"/>
  <c r="AP29" i="3"/>
  <c r="AR29" i="3"/>
  <c r="AT29" i="3"/>
  <c r="AJ30" i="3"/>
  <c r="AN30" i="3"/>
  <c r="AP30" i="3"/>
  <c r="AR30" i="3"/>
  <c r="AT30" i="3"/>
  <c r="AN31" i="3"/>
  <c r="AP31" i="3"/>
  <c r="AR31" i="3"/>
  <c r="AT31" i="3"/>
  <c r="AN32" i="3"/>
  <c r="AP32" i="3"/>
  <c r="AR32" i="3"/>
  <c r="AT32" i="3"/>
  <c r="AJ33" i="3"/>
  <c r="AN33" i="3"/>
  <c r="AP33" i="3"/>
  <c r="AR33" i="3"/>
  <c r="AT33" i="3"/>
  <c r="AH34" i="3"/>
  <c r="AJ34" i="3"/>
  <c r="AL34" i="3"/>
  <c r="AN34" i="3"/>
  <c r="AP34" i="3"/>
  <c r="AR34" i="3"/>
  <c r="AT34" i="3"/>
  <c r="AN35" i="3"/>
  <c r="AP35" i="3"/>
  <c r="AR35" i="3"/>
  <c r="AT35" i="3"/>
  <c r="AJ36" i="3"/>
  <c r="AN36" i="3"/>
  <c r="AP36" i="3"/>
  <c r="AR36" i="3"/>
  <c r="AT36" i="3"/>
  <c r="AN37" i="3"/>
  <c r="AP37" i="3"/>
  <c r="AR37" i="3"/>
  <c r="AT37" i="3"/>
  <c r="AJ38" i="3"/>
  <c r="AL38" i="3"/>
  <c r="AN38" i="3"/>
  <c r="AP38" i="3"/>
  <c r="AR38" i="3"/>
  <c r="AT38" i="3"/>
  <c r="AJ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J45" i="3"/>
  <c r="AL45" i="3"/>
  <c r="AN45" i="3"/>
  <c r="AP45" i="3"/>
  <c r="AR45" i="3"/>
  <c r="AT45" i="3"/>
  <c r="AH46"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N51" i="3"/>
  <c r="AP51" i="3"/>
  <c r="AR51" i="3"/>
  <c r="AT51" i="3"/>
  <c r="AH52" i="3"/>
  <c r="AJ52" i="3"/>
  <c r="AL52" i="3"/>
  <c r="AN52" i="3"/>
  <c r="AP52" i="3"/>
  <c r="AR52" i="3"/>
  <c r="AT52" i="3"/>
  <c r="AJ53" i="3"/>
  <c r="AL53" i="3"/>
  <c r="AN53" i="3"/>
  <c r="AP53" i="3"/>
  <c r="AR53" i="3"/>
  <c r="AT53" i="3"/>
  <c r="AH54" i="3"/>
  <c r="AJ54" i="3"/>
  <c r="AL54" i="3"/>
  <c r="AN54" i="3"/>
  <c r="AP54" i="3"/>
  <c r="AR54" i="3"/>
  <c r="AT54" i="3"/>
  <c r="AH55" i="3"/>
  <c r="AJ55" i="3"/>
  <c r="AL55" i="3"/>
  <c r="AN55" i="3"/>
  <c r="AP55" i="3"/>
  <c r="AR55" i="3"/>
  <c r="AT55" i="3"/>
  <c r="AJ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H61"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N68" i="3"/>
  <c r="AP68" i="3"/>
  <c r="AR68" i="3"/>
  <c r="AT68" i="3"/>
  <c r="AJ69" i="3"/>
  <c r="AL69" i="3"/>
  <c r="AN69" i="3"/>
  <c r="AP69" i="3"/>
  <c r="AR69" i="3"/>
  <c r="AT69" i="3"/>
  <c r="AH70" i="3"/>
  <c r="AJ70" i="3"/>
  <c r="AL70" i="3"/>
  <c r="AN70" i="3"/>
  <c r="AP70" i="3"/>
  <c r="AR70" i="3"/>
  <c r="AT70" i="3"/>
  <c r="AH71" i="3"/>
  <c r="AJ71" i="3"/>
  <c r="AL71" i="3"/>
  <c r="AN71" i="3"/>
  <c r="AP71" i="3"/>
  <c r="AR71" i="3"/>
  <c r="AT71" i="3"/>
  <c r="AH72" i="3"/>
  <c r="AJ72" i="3"/>
  <c r="AL72" i="3"/>
  <c r="AN72" i="3"/>
  <c r="AP72" i="3"/>
  <c r="AR72" i="3"/>
  <c r="AT72" i="3"/>
  <c r="AH73"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N77" i="3"/>
  <c r="AP77" i="3"/>
  <c r="AR77" i="3"/>
  <c r="AT77" i="3"/>
  <c r="AJ78" i="3"/>
  <c r="AL78" i="3"/>
  <c r="AN78" i="3"/>
  <c r="AP78" i="3"/>
  <c r="AR78" i="3"/>
  <c r="AT78" i="3"/>
  <c r="AH79" i="3"/>
  <c r="AJ79" i="3"/>
  <c r="AL79" i="3"/>
  <c r="AN79" i="3"/>
  <c r="AP79" i="3"/>
  <c r="AR79" i="3"/>
  <c r="AT79" i="3"/>
  <c r="AH80" i="3"/>
  <c r="AJ80" i="3"/>
  <c r="AL80" i="3"/>
  <c r="AN80" i="3"/>
  <c r="AP80" i="3"/>
  <c r="AR80" i="3"/>
  <c r="AT80" i="3"/>
  <c r="AJ81" i="3"/>
  <c r="AL81" i="3"/>
  <c r="AN81" i="3"/>
  <c r="AP81" i="3"/>
  <c r="AR81" i="3"/>
  <c r="AT81" i="3"/>
  <c r="AH82"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H87" i="3"/>
  <c r="AJ87" i="3"/>
  <c r="AL87" i="3"/>
  <c r="AN87" i="3"/>
  <c r="AP87" i="3"/>
  <c r="AR87" i="3"/>
  <c r="AT87" i="3"/>
  <c r="AH88" i="3"/>
  <c r="AJ88" i="3"/>
  <c r="AL88" i="3"/>
  <c r="AN88" i="3"/>
  <c r="AP88" i="3"/>
  <c r="AR88" i="3"/>
  <c r="AT88" i="3"/>
  <c r="AH89" i="3"/>
  <c r="AJ89" i="3"/>
  <c r="AL89" i="3"/>
  <c r="AN89" i="3"/>
  <c r="AP89" i="3"/>
  <c r="AR89" i="3"/>
  <c r="AT89" i="3"/>
  <c r="AH90" i="3"/>
  <c r="AJ90" i="3"/>
  <c r="AL90" i="3"/>
  <c r="AN90" i="3"/>
  <c r="AP90" i="3"/>
  <c r="AR90" i="3"/>
  <c r="AT90" i="3"/>
  <c r="AJ91" i="3"/>
  <c r="AL91" i="3"/>
  <c r="AN91" i="3"/>
  <c r="AP91" i="3"/>
  <c r="AR91" i="3"/>
  <c r="AT91" i="3"/>
  <c r="AN92" i="3"/>
  <c r="AP92" i="3"/>
  <c r="AR92" i="3"/>
  <c r="AT92" i="3"/>
  <c r="AJ93" i="3"/>
  <c r="AL93" i="3"/>
  <c r="AN93" i="3"/>
  <c r="AP93" i="3"/>
  <c r="AR93" i="3"/>
  <c r="AT93" i="3"/>
  <c r="AJ94" i="3"/>
  <c r="AL94" i="3"/>
  <c r="AN94" i="3"/>
  <c r="AP94" i="3"/>
  <c r="AR94" i="3"/>
  <c r="AT94" i="3"/>
  <c r="AJ95" i="3"/>
  <c r="AL95" i="3"/>
  <c r="AN95" i="3"/>
  <c r="AP95" i="3"/>
  <c r="AR95" i="3"/>
  <c r="AT95" i="3"/>
  <c r="AH96" i="3"/>
  <c r="AJ96" i="3"/>
  <c r="AL96" i="3"/>
  <c r="AN96" i="3"/>
  <c r="AP96" i="3"/>
  <c r="AR96" i="3"/>
  <c r="AT96" i="3"/>
  <c r="AH97" i="3"/>
  <c r="AJ97" i="3"/>
  <c r="AL97" i="3"/>
  <c r="AN97" i="3"/>
  <c r="AP97" i="3"/>
  <c r="AR97" i="3"/>
  <c r="AT97" i="3"/>
  <c r="AJ98" i="3"/>
  <c r="AL98" i="3"/>
  <c r="AN98" i="3"/>
  <c r="AP98" i="3"/>
  <c r="AR98" i="3"/>
  <c r="AT98" i="3"/>
  <c r="AJ99" i="3"/>
  <c r="AL99" i="3"/>
  <c r="AN99" i="3"/>
  <c r="AP99" i="3"/>
  <c r="AR99" i="3"/>
  <c r="AT99" i="3"/>
  <c r="AP100" i="3"/>
  <c r="AR100" i="3"/>
  <c r="AT100" i="3"/>
  <c r="AJ101" i="3"/>
  <c r="AL101" i="3"/>
  <c r="AN101" i="3"/>
  <c r="AP101" i="3"/>
  <c r="AR101" i="3"/>
  <c r="AT101" i="3"/>
  <c r="AJ102" i="3"/>
  <c r="AL102" i="3"/>
  <c r="AN102" i="3"/>
  <c r="AP102" i="3"/>
  <c r="AR102" i="3"/>
  <c r="AT102" i="3"/>
  <c r="AJ103" i="3"/>
  <c r="AL103" i="3"/>
  <c r="AN103" i="3"/>
  <c r="AP103" i="3"/>
  <c r="AR103" i="3"/>
  <c r="AT103" i="3"/>
  <c r="AJ104" i="3"/>
  <c r="AL104" i="3"/>
  <c r="AN104" i="3"/>
  <c r="AP104" i="3"/>
  <c r="AR104" i="3"/>
  <c r="AT104" i="3"/>
  <c r="AJ105" i="3"/>
  <c r="AL105" i="3"/>
  <c r="AN105" i="3"/>
  <c r="AP105" i="3"/>
  <c r="AR105" i="3"/>
  <c r="AT105" i="3"/>
  <c r="AJ106" i="3"/>
  <c r="AL106" i="3"/>
  <c r="AN106" i="3"/>
  <c r="AP106" i="3"/>
  <c r="AR106" i="3"/>
  <c r="AT106" i="3"/>
  <c r="AJ107" i="3"/>
  <c r="AL107" i="3"/>
  <c r="AN107" i="3"/>
  <c r="AP107" i="3"/>
  <c r="AR107" i="3"/>
  <c r="AT107" i="3"/>
  <c r="AH108"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H113"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H124"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H129" i="3"/>
  <c r="AJ129" i="3"/>
  <c r="AL129" i="3"/>
  <c r="AN129" i="3"/>
  <c r="AP129" i="3"/>
  <c r="AR129" i="3"/>
  <c r="AT129" i="3"/>
  <c r="AJ130" i="3"/>
  <c r="AL130" i="3"/>
  <c r="AN130" i="3"/>
  <c r="AP130" i="3"/>
  <c r="AR130" i="3"/>
  <c r="AT130" i="3"/>
  <c r="AJ131" i="3"/>
  <c r="AL131" i="3"/>
  <c r="AN131" i="3"/>
  <c r="AP131" i="3"/>
  <c r="AR131" i="3"/>
  <c r="AT131" i="3"/>
  <c r="AH132" i="3"/>
  <c r="AJ132" i="3"/>
  <c r="AL132" i="3"/>
  <c r="AN132" i="3"/>
  <c r="AP132" i="3"/>
  <c r="AR132" i="3"/>
  <c r="AT132"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H137" i="3"/>
  <c r="AJ137" i="3"/>
  <c r="AL137" i="3"/>
  <c r="AN137" i="3"/>
  <c r="AP137" i="3"/>
  <c r="AR137" i="3"/>
  <c r="AT137" i="3"/>
  <c r="AJ138" i="3"/>
  <c r="AL138" i="3"/>
  <c r="AN138" i="3"/>
  <c r="AP138" i="3"/>
  <c r="AR138" i="3"/>
  <c r="AT138" i="3"/>
  <c r="AJ139" i="3"/>
  <c r="AL139" i="3"/>
  <c r="AN139" i="3"/>
  <c r="AP139" i="3"/>
  <c r="AR139" i="3"/>
  <c r="AT139" i="3"/>
  <c r="AH140" i="3"/>
  <c r="AJ140" i="3"/>
  <c r="AL140" i="3"/>
  <c r="AN140" i="3"/>
  <c r="AP140" i="3"/>
  <c r="AR140" i="3"/>
  <c r="AT140" i="3"/>
  <c r="AJ141" i="3"/>
  <c r="AL141" i="3"/>
  <c r="AN141" i="3"/>
  <c r="AP141" i="3"/>
  <c r="AR141" i="3"/>
  <c r="AT141" i="3"/>
  <c r="AJ142" i="3"/>
  <c r="AL142" i="3"/>
  <c r="AN142" i="3"/>
  <c r="AP142" i="3"/>
  <c r="AR142" i="3"/>
  <c r="AT142" i="3"/>
  <c r="AJ143" i="3"/>
  <c r="AL143" i="3"/>
  <c r="AN143" i="3"/>
  <c r="AP143" i="3"/>
  <c r="AR143" i="3"/>
  <c r="AT143" i="3"/>
  <c r="AJ144" i="3"/>
  <c r="AL144" i="3"/>
  <c r="AN144" i="3"/>
  <c r="AP144" i="3"/>
  <c r="AR144" i="3"/>
  <c r="AT144" i="3"/>
  <c r="AH145"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H156"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P160" i="3"/>
  <c r="AR160" i="3"/>
  <c r="AT160" i="3"/>
  <c r="AJ161" i="3"/>
  <c r="AL161" i="3"/>
  <c r="AN161" i="3"/>
  <c r="AP161" i="3"/>
  <c r="AR161" i="3"/>
  <c r="AT161" i="3"/>
  <c r="AH162" i="3"/>
  <c r="AJ162" i="3"/>
  <c r="AL162" i="3"/>
  <c r="AN162" i="3"/>
  <c r="AP162" i="3"/>
  <c r="AR162" i="3"/>
  <c r="AT162" i="3"/>
  <c r="AJ163" i="3"/>
  <c r="AL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L170" i="3"/>
  <c r="AP170" i="3"/>
  <c r="AR170" i="3"/>
  <c r="AT170" i="3"/>
  <c r="AL171" i="3"/>
  <c r="AP171" i="3"/>
  <c r="AR171" i="3"/>
  <c r="AT171" i="3"/>
  <c r="AJ172" i="3"/>
  <c r="AL172" i="3"/>
  <c r="AN172" i="3"/>
  <c r="AP172" i="3"/>
  <c r="AR172" i="3"/>
  <c r="AT172" i="3"/>
  <c r="AJ173" i="3"/>
  <c r="AL173" i="3"/>
  <c r="AN173" i="3"/>
  <c r="AP173" i="3"/>
  <c r="AR173" i="3"/>
  <c r="AT173" i="3"/>
  <c r="AH174" i="3"/>
  <c r="AJ174" i="3"/>
  <c r="AL174" i="3"/>
  <c r="AN174" i="3"/>
  <c r="AP174" i="3"/>
  <c r="AR174" i="3"/>
  <c r="AT174" i="3"/>
  <c r="AH175" i="3"/>
  <c r="AJ175" i="3"/>
  <c r="AL175" i="3"/>
  <c r="AN175" i="3"/>
  <c r="AP175" i="3"/>
  <c r="AR175" i="3"/>
  <c r="AT175" i="3"/>
  <c r="AJ176" i="3"/>
  <c r="AL176" i="3"/>
  <c r="AN176" i="3"/>
  <c r="AP176" i="3"/>
  <c r="AR176" i="3"/>
  <c r="AT176" i="3"/>
  <c r="AL177" i="3"/>
  <c r="AP177" i="3"/>
  <c r="AR177" i="3"/>
  <c r="AT177" i="3"/>
  <c r="AJ178" i="3"/>
  <c r="AL178" i="3"/>
  <c r="AN178" i="3"/>
  <c r="AP178" i="3"/>
  <c r="AR178" i="3"/>
  <c r="AT178" i="3"/>
  <c r="AJ179" i="3"/>
  <c r="AL179" i="3"/>
  <c r="AN179" i="3"/>
  <c r="AP179" i="3"/>
  <c r="AR179" i="3"/>
  <c r="AT179" i="3"/>
  <c r="AH180" i="3"/>
  <c r="AJ180" i="3"/>
  <c r="AL180" i="3"/>
  <c r="AN180" i="3"/>
  <c r="AP180" i="3"/>
  <c r="AR180" i="3"/>
  <c r="AT180"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P190" i="3"/>
  <c r="AR190" i="3"/>
  <c r="AT190" i="3"/>
  <c r="AH191" i="3"/>
  <c r="AJ191" i="3"/>
  <c r="AL191" i="3"/>
  <c r="AN191" i="3"/>
  <c r="AP191" i="3"/>
  <c r="AR191" i="3"/>
  <c r="AT191" i="3"/>
  <c r="AH192"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H197" i="3"/>
  <c r="AJ197" i="3"/>
  <c r="AL197" i="3"/>
  <c r="AN197" i="3"/>
  <c r="AP197" i="3"/>
  <c r="AR197" i="3"/>
  <c r="AT197" i="3"/>
  <c r="AJ198" i="3"/>
  <c r="AL198" i="3"/>
  <c r="AN198" i="3"/>
  <c r="AP198" i="3"/>
  <c r="AR198" i="3"/>
  <c r="AT198" i="3"/>
  <c r="AH199"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H205" i="3"/>
  <c r="AJ205" i="3"/>
  <c r="AL205" i="3"/>
  <c r="AN205" i="3"/>
  <c r="AP205" i="3"/>
  <c r="AR205" i="3"/>
  <c r="AT205" i="3"/>
  <c r="AL206" i="3"/>
  <c r="AP206" i="3"/>
  <c r="AR206" i="3"/>
  <c r="AT206" i="3"/>
  <c r="AH207" i="3"/>
  <c r="AJ207" i="3"/>
  <c r="AL207" i="3"/>
  <c r="AN207" i="3"/>
  <c r="AP207" i="3"/>
  <c r="AR207" i="3"/>
  <c r="AT207" i="3"/>
  <c r="AH208" i="3"/>
  <c r="AJ208" i="3"/>
  <c r="AL208" i="3"/>
  <c r="AN208" i="3"/>
  <c r="AP208" i="3"/>
  <c r="AR208" i="3"/>
  <c r="AT208" i="3"/>
  <c r="AH209" i="3"/>
  <c r="AJ209" i="3"/>
  <c r="AL209" i="3"/>
  <c r="AN209" i="3"/>
  <c r="AP209" i="3"/>
  <c r="AR209" i="3"/>
  <c r="AT209" i="3"/>
  <c r="AH210"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H214" i="3"/>
  <c r="AJ214" i="3"/>
  <c r="AL214" i="3"/>
  <c r="AN214" i="3"/>
  <c r="AP214" i="3"/>
  <c r="AR214" i="3"/>
  <c r="AT214" i="3"/>
  <c r="AJ215" i="3"/>
  <c r="AL215" i="3"/>
  <c r="AN215" i="3"/>
  <c r="AP215" i="3"/>
  <c r="AR215" i="3"/>
  <c r="AT215" i="3"/>
  <c r="AH216"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H224" i="3"/>
  <c r="AJ224" i="3"/>
  <c r="AL224" i="3"/>
  <c r="AN224" i="3"/>
  <c r="AP224" i="3"/>
  <c r="AR224" i="3"/>
  <c r="AT224" i="3"/>
  <c r="AH225"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H230" i="3"/>
  <c r="AJ230" i="3"/>
  <c r="AL230" i="3"/>
  <c r="AN230" i="3"/>
  <c r="AP230" i="3"/>
  <c r="AR230" i="3"/>
  <c r="AT230" i="3"/>
  <c r="AH231"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H240" i="3"/>
  <c r="AJ240" i="3"/>
  <c r="AL240" i="3"/>
  <c r="AN240" i="3"/>
  <c r="AP240" i="3"/>
  <c r="AR240" i="3"/>
  <c r="AT240" i="3"/>
  <c r="AH241"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H246"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H254" i="3"/>
  <c r="AJ254" i="3"/>
  <c r="AL254" i="3"/>
  <c r="AN254" i="3"/>
  <c r="AP254" i="3"/>
  <c r="AR254" i="3"/>
  <c r="AT254" i="3"/>
  <c r="AJ255" i="3"/>
  <c r="AL255" i="3"/>
  <c r="AN255" i="3"/>
  <c r="AP255" i="3"/>
  <c r="AR255" i="3"/>
  <c r="AT255" i="3"/>
  <c r="AH256" i="3"/>
  <c r="AJ256" i="3"/>
  <c r="AL256" i="3"/>
  <c r="AN256" i="3"/>
  <c r="AP256" i="3"/>
  <c r="AR256" i="3"/>
  <c r="AT256" i="3"/>
  <c r="AH257"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H262"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H270" i="3"/>
  <c r="AJ270" i="3"/>
  <c r="AL270" i="3"/>
  <c r="AN270" i="3"/>
  <c r="AP270" i="3"/>
  <c r="AR270" i="3"/>
  <c r="AT270" i="3"/>
  <c r="AH271" i="3"/>
  <c r="AJ271" i="3"/>
  <c r="AL271" i="3"/>
  <c r="AN271" i="3"/>
  <c r="AP271" i="3"/>
  <c r="AR271" i="3"/>
  <c r="AT271" i="3"/>
  <c r="AH272" i="3"/>
  <c r="AJ272" i="3"/>
  <c r="AL272" i="3"/>
  <c r="AN272" i="3"/>
  <c r="AP272" i="3"/>
  <c r="AR272" i="3"/>
  <c r="AT272" i="3"/>
  <c r="AH273"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H278" i="3"/>
  <c r="AJ278" i="3"/>
  <c r="AL278" i="3"/>
  <c r="AN278" i="3"/>
  <c r="AP278" i="3"/>
  <c r="AR278" i="3"/>
  <c r="AT278" i="3"/>
  <c r="AH279" i="3"/>
  <c r="AJ279" i="3"/>
  <c r="AL279" i="3"/>
  <c r="AN279" i="3"/>
  <c r="AP279" i="3"/>
  <c r="AR279" i="3"/>
  <c r="AT279" i="3"/>
  <c r="AL280" i="3"/>
  <c r="AP280" i="3"/>
  <c r="AR280" i="3"/>
  <c r="AT280" i="3"/>
  <c r="AJ281" i="3"/>
  <c r="AL281" i="3"/>
  <c r="AN281" i="3"/>
  <c r="AP281" i="3"/>
  <c r="AR281" i="3"/>
  <c r="AT281" i="3"/>
  <c r="AH282"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H288" i="3"/>
  <c r="AJ288" i="3"/>
  <c r="AL288" i="3"/>
  <c r="AN288" i="3"/>
  <c r="AP288" i="3"/>
  <c r="AR288" i="3"/>
  <c r="AT288" i="3"/>
  <c r="AH289" i="3"/>
  <c r="AJ289" i="3"/>
  <c r="AL289" i="3"/>
  <c r="AN289" i="3"/>
  <c r="AP289" i="3"/>
  <c r="AR289" i="3"/>
  <c r="AT289" i="3"/>
  <c r="AH290"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H295" i="3"/>
  <c r="AJ295" i="3"/>
  <c r="AL295" i="3"/>
  <c r="AN295" i="3"/>
  <c r="AP295" i="3"/>
  <c r="AR295" i="3"/>
  <c r="AT295" i="3"/>
  <c r="AH296"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H304" i="3"/>
  <c r="AJ304" i="3"/>
  <c r="AL304" i="3"/>
  <c r="AN304" i="3"/>
  <c r="AP304" i="3"/>
  <c r="AR304" i="3"/>
  <c r="AT304" i="3"/>
  <c r="AH305" i="3"/>
  <c r="AJ305" i="3"/>
  <c r="AL305" i="3"/>
  <c r="AN305" i="3"/>
  <c r="AP305" i="3"/>
  <c r="AR305" i="3"/>
  <c r="AT305" i="3"/>
  <c r="AH306"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H311"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H319" i="3"/>
  <c r="AJ319" i="3"/>
  <c r="AL319" i="3"/>
  <c r="AN319" i="3"/>
  <c r="AP319" i="3"/>
  <c r="AR319" i="3"/>
  <c r="AT319"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H327" i="3"/>
  <c r="AJ327" i="3"/>
  <c r="AL327" i="3"/>
  <c r="AN327" i="3"/>
  <c r="AP327" i="3"/>
  <c r="AR327" i="3"/>
  <c r="AT327"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H335" i="3"/>
  <c r="AJ335" i="3"/>
  <c r="AL335" i="3"/>
  <c r="AN335" i="3"/>
  <c r="AP335" i="3"/>
  <c r="AR335" i="3"/>
  <c r="AT335" i="3"/>
  <c r="AJ336" i="3"/>
  <c r="AL336" i="3"/>
  <c r="AN336" i="3"/>
  <c r="AP336" i="3"/>
  <c r="AR336" i="3"/>
  <c r="AT336" i="3"/>
  <c r="AH337"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H343" i="3"/>
  <c r="AJ343" i="3"/>
  <c r="AL343" i="3"/>
  <c r="AN343" i="3"/>
  <c r="AP343" i="3"/>
  <c r="AR343" i="3"/>
  <c r="AT343" i="3"/>
  <c r="AH344" i="3"/>
  <c r="AJ344" i="3"/>
  <c r="AL344" i="3"/>
  <c r="AN344" i="3"/>
  <c r="AP344" i="3"/>
  <c r="AR344" i="3"/>
  <c r="AT344" i="3"/>
  <c r="AH345"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H352" i="3"/>
  <c r="AJ352" i="3"/>
  <c r="AL352" i="3"/>
  <c r="AN352" i="3"/>
  <c r="AP352" i="3"/>
  <c r="AR352" i="3"/>
  <c r="AT352" i="3"/>
  <c r="AH353"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H359" i="3"/>
  <c r="AJ359" i="3"/>
  <c r="AL359" i="3"/>
  <c r="AN359" i="3"/>
  <c r="AP359" i="3"/>
  <c r="AR359" i="3"/>
  <c r="AT359" i="3"/>
  <c r="AH360" i="3"/>
  <c r="AJ360" i="3"/>
  <c r="AL360" i="3"/>
  <c r="AN360" i="3"/>
  <c r="AP360" i="3"/>
  <c r="AR360" i="3"/>
  <c r="AT360" i="3"/>
  <c r="AJ361" i="3"/>
  <c r="AL361" i="3"/>
  <c r="AN361" i="3"/>
  <c r="AP361" i="3"/>
  <c r="AR361" i="3"/>
  <c r="AT361" i="3"/>
  <c r="AH362"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H367" i="3"/>
  <c r="AJ367" i="3"/>
  <c r="AL367" i="3"/>
  <c r="AN367" i="3"/>
  <c r="AP367" i="3"/>
  <c r="AR367" i="3"/>
  <c r="AT367" i="3"/>
  <c r="AH368" i="3"/>
  <c r="AJ368" i="3"/>
  <c r="AL368" i="3"/>
  <c r="AN368" i="3"/>
  <c r="AP368" i="3"/>
  <c r="AR368" i="3"/>
  <c r="AT368" i="3"/>
  <c r="AH369"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H375"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H384" i="3"/>
  <c r="AJ384" i="3"/>
  <c r="AL384" i="3"/>
  <c r="AN384" i="3"/>
  <c r="AP384" i="3"/>
  <c r="AR384" i="3"/>
  <c r="AT384" i="3"/>
  <c r="AH385"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H391" i="3"/>
  <c r="AJ391" i="3"/>
  <c r="AL391" i="3"/>
  <c r="AN391" i="3"/>
  <c r="AP391" i="3"/>
  <c r="AR391" i="3"/>
  <c r="AT391" i="3"/>
  <c r="AH392"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J396" i="3"/>
  <c r="AL396" i="3"/>
  <c r="AN396" i="3"/>
  <c r="AP396" i="3"/>
  <c r="AR396" i="3"/>
  <c r="AT396" i="3"/>
  <c r="AJ397" i="3"/>
  <c r="AL397" i="3"/>
  <c r="AN397" i="3"/>
  <c r="AP397" i="3"/>
  <c r="AR397" i="3"/>
  <c r="AT397" i="3"/>
  <c r="AJ398" i="3"/>
  <c r="AL398" i="3"/>
  <c r="AN398" i="3"/>
  <c r="AP398" i="3"/>
  <c r="AR398" i="3"/>
  <c r="AT398" i="3"/>
  <c r="AH399" i="3"/>
  <c r="AJ399" i="3"/>
  <c r="AL399" i="3"/>
  <c r="AN399" i="3"/>
  <c r="AP399" i="3"/>
  <c r="AR399" i="3"/>
  <c r="AT399" i="3"/>
  <c r="AH400" i="3"/>
  <c r="AJ400" i="3"/>
  <c r="AL400" i="3"/>
  <c r="AN400" i="3"/>
  <c r="AP400" i="3"/>
  <c r="AR400" i="3"/>
  <c r="AT400" i="3"/>
  <c r="AH401"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H407" i="3"/>
  <c r="AJ407" i="3"/>
  <c r="AL407" i="3"/>
  <c r="AN407" i="3"/>
  <c r="AP407" i="3"/>
  <c r="AR407" i="3"/>
  <c r="AT407" i="3"/>
  <c r="AH408"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H416" i="3"/>
  <c r="AJ416" i="3"/>
  <c r="AL416" i="3"/>
  <c r="AN416" i="3"/>
  <c r="AP416" i="3"/>
  <c r="AR416" i="3"/>
  <c r="AT416" i="3"/>
  <c r="AH417" i="3"/>
  <c r="AJ417" i="3"/>
  <c r="AL417" i="3"/>
  <c r="AN417" i="3"/>
  <c r="AP417" i="3"/>
  <c r="AR417" i="3"/>
  <c r="AT417" i="3"/>
  <c r="AH418"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H423" i="3"/>
  <c r="AJ423" i="3"/>
  <c r="AL423" i="3"/>
  <c r="AN423" i="3"/>
  <c r="AP423" i="3"/>
  <c r="AR423" i="3"/>
  <c r="AT423" i="3"/>
  <c r="AH424" i="3"/>
  <c r="AJ424" i="3"/>
  <c r="AL424" i="3"/>
  <c r="AN424" i="3"/>
  <c r="AP424" i="3"/>
  <c r="AR424" i="3"/>
  <c r="AT424"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H431" i="3"/>
  <c r="AJ431" i="3"/>
  <c r="AL431" i="3"/>
  <c r="AN431" i="3"/>
  <c r="AP431" i="3"/>
  <c r="AR431" i="3"/>
  <c r="AT431" i="3"/>
  <c r="AH432"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H439" i="3"/>
  <c r="AJ439" i="3"/>
  <c r="AL439" i="3"/>
  <c r="AN439" i="3"/>
  <c r="AP439" i="3"/>
  <c r="AR439" i="3"/>
  <c r="AT439" i="3"/>
  <c r="AH440"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H448" i="3"/>
  <c r="AJ448" i="3"/>
  <c r="AL448" i="3"/>
  <c r="AN448" i="3"/>
  <c r="AP448" i="3"/>
  <c r="AR448" i="3"/>
  <c r="AT448" i="3"/>
  <c r="AH449"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H455" i="3"/>
  <c r="AJ455" i="3"/>
  <c r="AL455" i="3"/>
  <c r="AN455" i="3"/>
  <c r="AP455" i="3"/>
  <c r="AR455" i="3"/>
  <c r="AT455" i="3"/>
  <c r="AH456"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H463" i="3"/>
  <c r="AJ463" i="3"/>
  <c r="AL463" i="3"/>
  <c r="AN463" i="3"/>
  <c r="AP463" i="3"/>
  <c r="AR463" i="3"/>
  <c r="AT463" i="3"/>
  <c r="AH464" i="3"/>
  <c r="AJ464" i="3"/>
  <c r="AL464" i="3"/>
  <c r="AN464" i="3"/>
  <c r="AP464" i="3"/>
  <c r="AR464" i="3"/>
  <c r="AT464" i="3"/>
  <c r="AH465"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H471" i="3"/>
  <c r="AJ471" i="3"/>
  <c r="AL471" i="3"/>
  <c r="AN471" i="3"/>
  <c r="AP471" i="3"/>
  <c r="AR471" i="3"/>
  <c r="AT471" i="3"/>
  <c r="AH472"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H480"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H487" i="3"/>
  <c r="AJ487" i="3"/>
  <c r="AL487" i="3"/>
  <c r="AN487" i="3"/>
  <c r="AP487" i="3"/>
  <c r="AR487" i="3"/>
  <c r="AT487" i="3"/>
  <c r="AH488"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H495" i="3"/>
  <c r="AJ495" i="3"/>
  <c r="AL495" i="3"/>
  <c r="AN495" i="3"/>
  <c r="AP495" i="3"/>
  <c r="AR495" i="3"/>
  <c r="AT495" i="3"/>
  <c r="AH496" i="3"/>
  <c r="AJ496" i="3"/>
  <c r="AL496" i="3"/>
  <c r="AN496" i="3"/>
  <c r="AP496" i="3"/>
  <c r="AR496" i="3"/>
  <c r="AT496" i="3"/>
  <c r="AH497"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H503" i="3"/>
  <c r="AJ503" i="3"/>
  <c r="AL503" i="3"/>
  <c r="AN503" i="3"/>
  <c r="AP503" i="3"/>
  <c r="AR503" i="3"/>
  <c r="AT503" i="3"/>
  <c r="AH504"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H511" i="3"/>
  <c r="AJ511" i="3"/>
  <c r="AL511" i="3"/>
  <c r="AN511" i="3"/>
  <c r="AP511" i="3"/>
  <c r="AR511" i="3"/>
  <c r="AT511" i="3"/>
  <c r="AH512" i="3"/>
  <c r="AJ512" i="3"/>
  <c r="AL512" i="3"/>
  <c r="AN512" i="3"/>
  <c r="AP512" i="3"/>
  <c r="AR512" i="3"/>
  <c r="AT512" i="3"/>
  <c r="AH513"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H519" i="3"/>
  <c r="AJ519" i="3"/>
  <c r="AL519" i="3"/>
  <c r="AN519" i="3"/>
  <c r="AP519" i="3"/>
  <c r="AR519" i="3"/>
  <c r="AT519" i="3"/>
  <c r="AH520"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H527" i="3"/>
  <c r="AJ527" i="3"/>
  <c r="AL527" i="3"/>
  <c r="AN527" i="3"/>
  <c r="AP527" i="3"/>
  <c r="AR527" i="3"/>
  <c r="AT527" i="3"/>
  <c r="AH528"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H535" i="3"/>
  <c r="AJ535" i="3"/>
  <c r="AL535" i="3"/>
  <c r="AN535" i="3"/>
  <c r="AP535" i="3"/>
  <c r="AR535" i="3"/>
  <c r="AT535" i="3"/>
  <c r="AH536"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H543" i="3"/>
  <c r="AJ543" i="3"/>
  <c r="AL543" i="3"/>
  <c r="AN543" i="3"/>
  <c r="AP543" i="3"/>
  <c r="AR543" i="3"/>
  <c r="AT543" i="3"/>
  <c r="AH544" i="3"/>
  <c r="AJ544" i="3"/>
  <c r="AL544" i="3"/>
  <c r="AN544" i="3"/>
  <c r="AP544" i="3"/>
  <c r="AR544" i="3"/>
  <c r="AT544" i="3"/>
  <c r="AH545"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H551" i="3"/>
  <c r="AJ551" i="3"/>
  <c r="AL551" i="3"/>
  <c r="AN551" i="3"/>
  <c r="AP551" i="3"/>
  <c r="AR551" i="3"/>
  <c r="AT551" i="3"/>
  <c r="AH552"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H559" i="3"/>
  <c r="AJ559" i="3"/>
  <c r="AL559" i="3"/>
  <c r="AN559" i="3"/>
  <c r="AP559" i="3"/>
  <c r="AR559" i="3"/>
  <c r="AT559" i="3"/>
  <c r="AH560" i="3"/>
  <c r="AJ560" i="3"/>
  <c r="AL560" i="3"/>
  <c r="AN560" i="3"/>
  <c r="AP560" i="3"/>
  <c r="AR560" i="3"/>
  <c r="AT560" i="3"/>
  <c r="AH561" i="3"/>
  <c r="AJ561" i="3"/>
  <c r="AL561" i="3"/>
  <c r="AN561" i="3"/>
  <c r="AP561" i="3"/>
  <c r="AR561" i="3"/>
  <c r="AT561" i="3"/>
  <c r="AH562"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H567" i="3"/>
  <c r="AJ567" i="3"/>
  <c r="AL567" i="3"/>
  <c r="AN567" i="3"/>
  <c r="AP567" i="3"/>
  <c r="AR567" i="3"/>
  <c r="AT567" i="3"/>
  <c r="AH568"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H575" i="3"/>
  <c r="AJ575" i="3"/>
  <c r="AL575" i="3"/>
  <c r="AN575" i="3"/>
  <c r="AP575" i="3"/>
  <c r="AR575" i="3"/>
  <c r="AT575" i="3"/>
  <c r="AH576"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H583" i="3"/>
  <c r="AJ583" i="3"/>
  <c r="AL583" i="3"/>
  <c r="AN583" i="3"/>
  <c r="AP583" i="3"/>
  <c r="AR583" i="3"/>
  <c r="AT583" i="3"/>
  <c r="AH584"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H591" i="3"/>
  <c r="AJ591" i="3"/>
  <c r="AL591" i="3"/>
  <c r="AN591" i="3"/>
  <c r="AP591" i="3"/>
  <c r="AR591" i="3"/>
  <c r="AT591" i="3"/>
  <c r="AH592" i="3"/>
  <c r="AJ592" i="3"/>
  <c r="AL592" i="3"/>
  <c r="AN592" i="3"/>
  <c r="AP592" i="3"/>
  <c r="AR592" i="3"/>
  <c r="AT592" i="3"/>
  <c r="AH593"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H599" i="3"/>
  <c r="AJ599" i="3"/>
  <c r="AL599" i="3"/>
  <c r="AN599" i="3"/>
  <c r="AP599" i="3"/>
  <c r="AR599" i="3"/>
  <c r="AT599" i="3"/>
  <c r="AH600"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H604" i="3"/>
  <c r="AJ604" i="3"/>
  <c r="AL604" i="3"/>
  <c r="AN604" i="3"/>
  <c r="AP604" i="3"/>
  <c r="AR604" i="3"/>
  <c r="AT604" i="3"/>
  <c r="AJ605" i="3"/>
  <c r="AL605" i="3"/>
  <c r="AN605" i="3"/>
  <c r="AP605" i="3"/>
  <c r="AR605" i="3"/>
  <c r="AT605" i="3"/>
  <c r="AJ606" i="3"/>
  <c r="AL606" i="3"/>
  <c r="AN606" i="3"/>
  <c r="AP606" i="3"/>
  <c r="AR606" i="3"/>
  <c r="AT606" i="3"/>
  <c r="AH607" i="3"/>
  <c r="AJ607" i="3"/>
  <c r="AL607" i="3"/>
  <c r="AN607" i="3"/>
  <c r="AP607" i="3"/>
  <c r="AR607" i="3"/>
  <c r="AT607" i="3"/>
  <c r="AH608" i="3"/>
  <c r="AJ608" i="3"/>
  <c r="AL608" i="3"/>
  <c r="AN608" i="3"/>
  <c r="AP608" i="3"/>
  <c r="AR608" i="3"/>
  <c r="AT608" i="3"/>
  <c r="AH609"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H615" i="3"/>
  <c r="AJ615" i="3"/>
  <c r="AL615" i="3"/>
  <c r="AN615" i="3"/>
  <c r="AP615" i="3"/>
  <c r="AR615" i="3"/>
  <c r="AT615" i="3"/>
  <c r="AH616"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H632"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H639" i="3"/>
  <c r="AJ639" i="3"/>
  <c r="AL639" i="3"/>
  <c r="AN639" i="3"/>
  <c r="AP639" i="3"/>
  <c r="AR639" i="3"/>
  <c r="AT639" i="3"/>
  <c r="AH640" i="3"/>
  <c r="AJ640" i="3"/>
  <c r="AL640" i="3"/>
  <c r="AN640" i="3"/>
  <c r="AP640" i="3"/>
  <c r="AR640" i="3"/>
  <c r="AT640" i="3"/>
  <c r="AH641"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H647" i="3"/>
  <c r="AJ647" i="3"/>
  <c r="AL647" i="3"/>
  <c r="AN647" i="3"/>
  <c r="AP647" i="3"/>
  <c r="AR647" i="3"/>
  <c r="AT647" i="3"/>
  <c r="AH648"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H655" i="3"/>
  <c r="AJ655" i="3"/>
  <c r="AL655" i="3"/>
  <c r="AN655" i="3"/>
  <c r="AP655" i="3"/>
  <c r="AR655" i="3"/>
  <c r="AT655" i="3"/>
  <c r="AH656" i="3"/>
  <c r="AJ656" i="3"/>
  <c r="AL656" i="3"/>
  <c r="AN656" i="3"/>
  <c r="AP656" i="3"/>
  <c r="AR656" i="3"/>
  <c r="AT656" i="3"/>
  <c r="AH657" i="3"/>
  <c r="AJ657" i="3"/>
  <c r="AL657" i="3"/>
  <c r="AN657" i="3"/>
  <c r="AP657" i="3"/>
  <c r="AR657" i="3"/>
  <c r="AT657" i="3"/>
  <c r="AH658"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H663" i="3"/>
  <c r="AJ663" i="3"/>
  <c r="AL663" i="3"/>
  <c r="AN663" i="3"/>
  <c r="AP663" i="3"/>
  <c r="AR663" i="3"/>
  <c r="AT663" i="3"/>
  <c r="AH664" i="3"/>
  <c r="AJ664" i="3"/>
  <c r="AL664" i="3"/>
  <c r="AN664" i="3"/>
  <c r="AP664" i="3"/>
  <c r="AR664" i="3"/>
  <c r="AT664" i="3"/>
  <c r="AH665" i="3"/>
  <c r="AJ665" i="3"/>
  <c r="AL665" i="3"/>
  <c r="AN665" i="3"/>
  <c r="AP665" i="3"/>
  <c r="AR665" i="3"/>
  <c r="AT665" i="3"/>
  <c r="AH666"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H671" i="3"/>
  <c r="AJ671" i="3"/>
  <c r="AL671" i="3"/>
  <c r="AN671" i="3"/>
  <c r="AP671" i="3"/>
  <c r="AR671" i="3"/>
  <c r="AT671" i="3"/>
  <c r="AH672"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H679" i="3"/>
  <c r="AJ679" i="3"/>
  <c r="AL679" i="3"/>
  <c r="AN679" i="3"/>
  <c r="AP679" i="3"/>
  <c r="AR679" i="3"/>
  <c r="AT679" i="3"/>
  <c r="AH680"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H687" i="3"/>
  <c r="AJ687" i="3"/>
  <c r="AL687" i="3"/>
  <c r="AN687" i="3"/>
  <c r="AP687" i="3"/>
  <c r="AR687" i="3"/>
  <c r="AT687" i="3"/>
  <c r="AH688" i="3"/>
  <c r="AJ688" i="3"/>
  <c r="AL688" i="3"/>
  <c r="AN688" i="3"/>
  <c r="AP688" i="3"/>
  <c r="AR688" i="3"/>
  <c r="AT688" i="3"/>
  <c r="AH689"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H693" i="3"/>
  <c r="AJ693" i="3"/>
  <c r="AL693" i="3"/>
  <c r="AN693" i="3"/>
  <c r="AP693" i="3"/>
  <c r="AR693" i="3"/>
  <c r="AT693" i="3"/>
  <c r="AJ694" i="3"/>
  <c r="AL694" i="3"/>
  <c r="AN694" i="3"/>
  <c r="AP694" i="3"/>
  <c r="AR694" i="3"/>
  <c r="AT694" i="3"/>
  <c r="AH695" i="3"/>
  <c r="AJ695" i="3"/>
  <c r="AL695" i="3"/>
  <c r="AN695" i="3"/>
  <c r="AP695" i="3"/>
  <c r="AR695" i="3"/>
  <c r="AT695" i="3"/>
  <c r="AH696" i="3"/>
  <c r="AJ696" i="3"/>
  <c r="AL696" i="3"/>
  <c r="AN696" i="3"/>
  <c r="AP696" i="3"/>
  <c r="AR696" i="3"/>
  <c r="AT696" i="3"/>
  <c r="AH697"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H703" i="3"/>
  <c r="AJ703" i="3"/>
  <c r="AL703" i="3"/>
  <c r="AN703" i="3"/>
  <c r="AP703" i="3"/>
  <c r="AR703" i="3"/>
  <c r="AT703" i="3"/>
  <c r="AH704" i="3"/>
  <c r="AJ704" i="3"/>
  <c r="AL704" i="3"/>
  <c r="AN704" i="3"/>
  <c r="AP704" i="3"/>
  <c r="AR704" i="3"/>
  <c r="AT704" i="3"/>
  <c r="AH705"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H711" i="3"/>
  <c r="AJ711" i="3"/>
  <c r="AL711" i="3"/>
  <c r="AN711" i="3"/>
  <c r="AP711" i="3"/>
  <c r="AR711" i="3"/>
  <c r="AT711" i="3"/>
  <c r="AH712"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H719" i="3"/>
  <c r="AJ719" i="3"/>
  <c r="AL719" i="3"/>
  <c r="AN719" i="3"/>
  <c r="AP719" i="3"/>
  <c r="AR719" i="3"/>
  <c r="AT719" i="3"/>
  <c r="AH720"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H727" i="3"/>
  <c r="AJ727" i="3"/>
  <c r="AL727" i="3"/>
  <c r="AN727" i="3"/>
  <c r="AP727" i="3"/>
  <c r="AR727" i="3"/>
  <c r="AT727" i="3"/>
  <c r="AH728"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H735" i="3"/>
  <c r="AJ735" i="3"/>
  <c r="AL735" i="3"/>
  <c r="AN735" i="3"/>
  <c r="AP735" i="3"/>
  <c r="AR735" i="3"/>
  <c r="AT735" i="3"/>
  <c r="AH736" i="3"/>
  <c r="AJ736" i="3"/>
  <c r="AL736" i="3"/>
  <c r="AN736" i="3"/>
  <c r="AP736" i="3"/>
  <c r="AR736" i="3"/>
  <c r="AT736" i="3"/>
  <c r="AH737"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H743" i="3"/>
  <c r="AJ743" i="3"/>
  <c r="AL743" i="3"/>
  <c r="AN743" i="3"/>
  <c r="AP743" i="3"/>
  <c r="AR743" i="3"/>
  <c r="AT743" i="3"/>
  <c r="AH744"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H751" i="3"/>
  <c r="AJ751" i="3"/>
  <c r="AL751" i="3"/>
  <c r="AN751" i="3"/>
  <c r="AP751" i="3"/>
  <c r="AR751" i="3"/>
  <c r="AT751" i="3"/>
  <c r="AH752" i="3"/>
  <c r="AJ752" i="3"/>
  <c r="AL752" i="3"/>
  <c r="AN752" i="3"/>
  <c r="AP752" i="3"/>
  <c r="AR752" i="3"/>
  <c r="AT752" i="3"/>
  <c r="AH753" i="3"/>
  <c r="AJ753" i="3"/>
  <c r="AL753" i="3"/>
  <c r="AN753" i="3"/>
  <c r="AP753" i="3"/>
  <c r="AR753" i="3"/>
  <c r="AT753" i="3"/>
  <c r="AH754"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H759" i="3"/>
  <c r="AJ759" i="3"/>
  <c r="AL759" i="3"/>
  <c r="AN759" i="3"/>
  <c r="AP759" i="3"/>
  <c r="AR759" i="3"/>
  <c r="AT759" i="3"/>
  <c r="AH760"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H767" i="3"/>
  <c r="AJ767" i="3"/>
  <c r="AL767" i="3"/>
  <c r="AN767" i="3"/>
  <c r="AP767" i="3"/>
  <c r="AR767" i="3"/>
  <c r="AT767" i="3"/>
  <c r="AH768"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H775" i="3"/>
  <c r="AJ775" i="3"/>
  <c r="AL775" i="3"/>
  <c r="AN775" i="3"/>
  <c r="AP775" i="3"/>
  <c r="AR775" i="3"/>
  <c r="AT775" i="3"/>
  <c r="AH776"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H783" i="3"/>
  <c r="AJ783" i="3"/>
  <c r="AL783" i="3"/>
  <c r="AN783" i="3"/>
  <c r="AP783" i="3"/>
  <c r="AR783" i="3"/>
  <c r="AT783" i="3"/>
  <c r="AH784" i="3"/>
  <c r="AJ784" i="3"/>
  <c r="AL784" i="3"/>
  <c r="AN784" i="3"/>
  <c r="AP784" i="3"/>
  <c r="AR784" i="3"/>
  <c r="AT784" i="3"/>
  <c r="AH785"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H791" i="3"/>
  <c r="AJ791" i="3"/>
  <c r="AL791" i="3"/>
  <c r="AN791" i="3"/>
  <c r="AP791" i="3"/>
  <c r="AR791" i="3"/>
  <c r="AT791" i="3"/>
  <c r="AH792"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H799" i="3"/>
  <c r="AJ799" i="3"/>
  <c r="AL799" i="3"/>
  <c r="AN799" i="3"/>
  <c r="AP799" i="3"/>
  <c r="AR799" i="3"/>
  <c r="AT799" i="3"/>
  <c r="AH800"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H807" i="3"/>
  <c r="AJ807" i="3"/>
  <c r="AL807" i="3"/>
  <c r="AN807" i="3"/>
  <c r="AP807" i="3"/>
  <c r="AR807" i="3"/>
  <c r="AT807" i="3"/>
  <c r="AH808"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H815" i="3"/>
  <c r="AJ815" i="3"/>
  <c r="AL815" i="3"/>
  <c r="AN815" i="3"/>
  <c r="AP815" i="3"/>
  <c r="AR815" i="3"/>
  <c r="AT815" i="3"/>
  <c r="AH816"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H823" i="3"/>
  <c r="AJ823" i="3"/>
  <c r="AL823" i="3"/>
  <c r="AN823" i="3"/>
  <c r="AP823" i="3"/>
  <c r="AR823" i="3"/>
  <c r="AT823" i="3"/>
  <c r="AH824"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H831" i="3"/>
  <c r="AJ831" i="3"/>
  <c r="AL831" i="3"/>
  <c r="AN831" i="3"/>
  <c r="AP831" i="3"/>
  <c r="AR831" i="3"/>
  <c r="AT831" i="3"/>
  <c r="AH832"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H839" i="3"/>
  <c r="AJ839" i="3"/>
  <c r="AL839" i="3"/>
  <c r="AN839" i="3"/>
  <c r="AP839" i="3"/>
  <c r="AR839" i="3"/>
  <c r="AT839" i="3"/>
  <c r="AH840"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H847" i="3"/>
  <c r="AJ847" i="3"/>
  <c r="AL847" i="3"/>
  <c r="AN847" i="3"/>
  <c r="AP847" i="3"/>
  <c r="AR847" i="3"/>
  <c r="AT847" i="3"/>
  <c r="AH848" i="3"/>
  <c r="AJ848" i="3"/>
  <c r="AL848" i="3"/>
  <c r="AN848" i="3"/>
  <c r="AP848" i="3"/>
  <c r="AR848" i="3"/>
  <c r="AT848" i="3"/>
  <c r="AH849"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H855" i="3"/>
  <c r="AJ855" i="3"/>
  <c r="AL855" i="3"/>
  <c r="AN855" i="3"/>
  <c r="AP855" i="3"/>
  <c r="AR855" i="3"/>
  <c r="AT855" i="3"/>
  <c r="AH856"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H863" i="3"/>
  <c r="AJ863" i="3"/>
  <c r="AL863" i="3"/>
  <c r="AN863" i="3"/>
  <c r="AP863" i="3"/>
  <c r="AR863" i="3"/>
  <c r="AT863" i="3"/>
  <c r="AH864"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H871" i="3"/>
  <c r="AJ871" i="3"/>
  <c r="AL871" i="3"/>
  <c r="AN871" i="3"/>
  <c r="AP871" i="3"/>
  <c r="AR871" i="3"/>
  <c r="AT871" i="3"/>
  <c r="AH872"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H879" i="3"/>
  <c r="AJ879" i="3"/>
  <c r="AL879" i="3"/>
  <c r="AN879" i="3"/>
  <c r="AP879" i="3"/>
  <c r="AR879" i="3"/>
  <c r="AT879" i="3"/>
  <c r="AH880" i="3"/>
  <c r="AJ880" i="3"/>
  <c r="AL880" i="3"/>
  <c r="AN880" i="3"/>
  <c r="AP880" i="3"/>
  <c r="AR880" i="3"/>
  <c r="AT880" i="3"/>
  <c r="AH881"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H887" i="3"/>
  <c r="AJ887" i="3"/>
  <c r="AL887" i="3"/>
  <c r="AN887" i="3"/>
  <c r="AP887" i="3"/>
  <c r="AR887" i="3"/>
  <c r="AT887" i="3"/>
  <c r="AH888"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H895" i="3"/>
  <c r="AJ895" i="3"/>
  <c r="AL895" i="3"/>
  <c r="AN895" i="3"/>
  <c r="AP895" i="3"/>
  <c r="AR895" i="3"/>
  <c r="AT895" i="3"/>
  <c r="AH896" i="3"/>
  <c r="AJ896" i="3"/>
  <c r="AL896" i="3"/>
  <c r="AN896" i="3"/>
  <c r="AP896" i="3"/>
  <c r="AR896" i="3"/>
  <c r="AT896" i="3"/>
  <c r="AH897"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H903" i="3"/>
  <c r="AJ903" i="3"/>
  <c r="AL903" i="3"/>
  <c r="AN903" i="3"/>
  <c r="AP903" i="3"/>
  <c r="AR903" i="3"/>
  <c r="AT903" i="3"/>
  <c r="AH904" i="3"/>
  <c r="AJ904" i="3"/>
  <c r="AL904" i="3"/>
  <c r="AN904" i="3"/>
  <c r="AP904" i="3"/>
  <c r="AR904" i="3"/>
  <c r="AT904" i="3"/>
  <c r="AH905"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J910" i="3"/>
  <c r="AL910" i="3"/>
  <c r="AN910" i="3"/>
  <c r="AP910" i="3"/>
  <c r="AR910" i="3"/>
  <c r="AT910" i="3"/>
  <c r="AH911" i="3"/>
  <c r="AJ911" i="3"/>
  <c r="AL911" i="3"/>
  <c r="AN911" i="3"/>
  <c r="AP911" i="3"/>
  <c r="AR911" i="3"/>
  <c r="AT911" i="3"/>
  <c r="AH912"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H919" i="3"/>
  <c r="AJ919" i="3"/>
  <c r="AL919" i="3"/>
  <c r="AN919" i="3"/>
  <c r="AP919" i="3"/>
  <c r="AR919" i="3"/>
  <c r="AT919" i="3"/>
  <c r="AH920"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H927" i="3"/>
  <c r="AJ927" i="3"/>
  <c r="AL927" i="3"/>
  <c r="AN927" i="3"/>
  <c r="AP927" i="3"/>
  <c r="AR927" i="3"/>
  <c r="AT927" i="3"/>
  <c r="AH928" i="3"/>
  <c r="AJ928" i="3"/>
  <c r="AL928" i="3"/>
  <c r="AN928" i="3"/>
  <c r="AP928" i="3"/>
  <c r="AR928" i="3"/>
  <c r="AT928" i="3"/>
  <c r="AH929" i="3"/>
  <c r="AJ929" i="3"/>
  <c r="AL929" i="3"/>
  <c r="AN929" i="3"/>
  <c r="AP929" i="3"/>
  <c r="AR929" i="3"/>
  <c r="AT929" i="3"/>
  <c r="AJ930" i="3"/>
  <c r="AN930" i="3"/>
  <c r="AP930" i="3"/>
  <c r="AR930" i="3"/>
  <c r="AT930" i="3"/>
  <c r="AJ931" i="3"/>
  <c r="AN931" i="3"/>
  <c r="AP931" i="3"/>
  <c r="AR931" i="3"/>
  <c r="AT931" i="3"/>
  <c r="AH932" i="3"/>
  <c r="AJ932" i="3"/>
  <c r="AL932" i="3"/>
  <c r="AN932" i="3"/>
  <c r="AP932" i="3"/>
  <c r="AR932" i="3"/>
  <c r="AT932" i="3"/>
  <c r="AJ933" i="3"/>
  <c r="AN933" i="3"/>
  <c r="AP933" i="3"/>
  <c r="AR933" i="3"/>
  <c r="AT933" i="3"/>
  <c r="AN934" i="3"/>
  <c r="AP934" i="3"/>
  <c r="AR934" i="3"/>
  <c r="AT934" i="3"/>
  <c r="AH935"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H940" i="3"/>
  <c r="AJ940" i="3"/>
  <c r="AL940" i="3"/>
  <c r="AN940" i="3"/>
  <c r="AP940" i="3"/>
  <c r="AR940" i="3"/>
  <c r="AT940" i="3"/>
  <c r="AN941" i="3"/>
  <c r="AP941" i="3"/>
  <c r="AR941" i="3"/>
  <c r="AT941" i="3"/>
  <c r="AJ942" i="3"/>
  <c r="AN942" i="3"/>
  <c r="AP942" i="3"/>
  <c r="AR942" i="3"/>
  <c r="AT942" i="3"/>
  <c r="AJ943" i="3"/>
  <c r="AL943" i="3"/>
  <c r="AN943" i="3"/>
  <c r="AP943" i="3"/>
  <c r="AR943" i="3"/>
  <c r="AT943" i="3"/>
  <c r="AH944"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H949" i="3"/>
  <c r="AJ949" i="3"/>
  <c r="AL949" i="3"/>
  <c r="AN949" i="3"/>
  <c r="AP949" i="3"/>
  <c r="AR949" i="3"/>
  <c r="AT949" i="3"/>
  <c r="AH950" i="3"/>
  <c r="AJ950" i="3"/>
  <c r="AL950" i="3"/>
  <c r="AN950" i="3"/>
  <c r="AP950" i="3"/>
  <c r="AR950" i="3"/>
  <c r="AT950" i="3"/>
  <c r="AH951" i="3"/>
  <c r="AJ951" i="3"/>
  <c r="AL951" i="3"/>
  <c r="AN951" i="3"/>
  <c r="AP951" i="3"/>
  <c r="AR951" i="3"/>
  <c r="AT951" i="3"/>
  <c r="AH952" i="3"/>
  <c r="AJ952" i="3"/>
  <c r="AL952" i="3"/>
  <c r="AN952" i="3"/>
  <c r="AP952" i="3"/>
  <c r="AR952" i="3"/>
  <c r="AT952" i="3"/>
  <c r="AH953"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H957" i="3"/>
  <c r="AJ957" i="3"/>
  <c r="AL957" i="3"/>
  <c r="AN957" i="3"/>
  <c r="AP957" i="3"/>
  <c r="AR957" i="3"/>
  <c r="AT957" i="3"/>
  <c r="AH958"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H965" i="3"/>
  <c r="AJ965" i="3"/>
  <c r="AL965" i="3"/>
  <c r="AN965" i="3"/>
  <c r="AP965" i="3"/>
  <c r="AR965" i="3"/>
  <c r="AT965" i="3"/>
  <c r="AH966" i="3"/>
  <c r="AJ966" i="3"/>
  <c r="AL966" i="3"/>
  <c r="AN966" i="3"/>
  <c r="AP966" i="3"/>
  <c r="AR966" i="3"/>
  <c r="AT966" i="3"/>
  <c r="AH967" i="3"/>
  <c r="AJ967" i="3"/>
  <c r="AL967" i="3"/>
  <c r="AN967" i="3"/>
  <c r="AP967" i="3"/>
  <c r="AR967" i="3"/>
  <c r="AT967" i="3"/>
  <c r="AH968"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H973" i="3"/>
  <c r="AJ973" i="3"/>
  <c r="AL973" i="3"/>
  <c r="AN973" i="3"/>
  <c r="AP973" i="3"/>
  <c r="AR973" i="3"/>
  <c r="AT973" i="3"/>
  <c r="AH974"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J978" i="3"/>
  <c r="AL978" i="3"/>
  <c r="AN978" i="3"/>
  <c r="AP978" i="3"/>
  <c r="AR978" i="3"/>
  <c r="AT978"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H983" i="3"/>
  <c r="AJ983" i="3"/>
  <c r="AL983" i="3"/>
  <c r="AN983" i="3"/>
  <c r="AP983" i="3"/>
  <c r="AR983" i="3"/>
  <c r="AT983" i="3"/>
  <c r="AH984" i="3"/>
  <c r="AJ984" i="3"/>
  <c r="AL984" i="3"/>
  <c r="AN984" i="3"/>
  <c r="AP984" i="3"/>
  <c r="AR984" i="3"/>
  <c r="AT984" i="3"/>
  <c r="AH985" i="3"/>
  <c r="AJ985" i="3"/>
  <c r="AL985" i="3"/>
  <c r="AN985" i="3"/>
  <c r="AP985" i="3"/>
  <c r="AR985" i="3"/>
  <c r="AT985" i="3"/>
  <c r="AJ986" i="3"/>
  <c r="AL986" i="3"/>
  <c r="AN986" i="3"/>
  <c r="AP986" i="3"/>
  <c r="AR986" i="3"/>
  <c r="AT986" i="3"/>
  <c r="AJ987" i="3"/>
  <c r="AN987" i="3"/>
  <c r="AP987" i="3"/>
  <c r="AR987" i="3"/>
  <c r="AT987" i="3"/>
  <c r="AJ988" i="3"/>
  <c r="AL988" i="3"/>
  <c r="AN988" i="3"/>
  <c r="AP988" i="3"/>
  <c r="AR988" i="3"/>
  <c r="AT988" i="3"/>
  <c r="AJ989" i="3"/>
  <c r="AN989" i="3"/>
  <c r="AP989" i="3"/>
  <c r="AR989" i="3"/>
  <c r="AT989" i="3"/>
  <c r="AJ990" i="3"/>
  <c r="AL990" i="3"/>
  <c r="AN990" i="3"/>
  <c r="AP990" i="3"/>
  <c r="AR990" i="3"/>
  <c r="AT990" i="3"/>
  <c r="AH991" i="3"/>
  <c r="AJ991" i="3"/>
  <c r="AL991" i="3"/>
  <c r="AN991" i="3"/>
  <c r="AP991" i="3"/>
  <c r="AR991" i="3"/>
  <c r="AT991" i="3"/>
  <c r="AJ992" i="3"/>
  <c r="AN992" i="3"/>
  <c r="AP992" i="3"/>
  <c r="AR992" i="3"/>
  <c r="AT992" i="3"/>
  <c r="AJ993" i="3"/>
  <c r="AN993" i="3"/>
  <c r="AP993" i="3"/>
  <c r="AR993" i="3"/>
  <c r="AT993" i="3"/>
  <c r="AN994" i="3"/>
  <c r="AP994" i="3"/>
  <c r="AR994" i="3"/>
  <c r="AT994" i="3"/>
  <c r="AJ995" i="3"/>
  <c r="AN995" i="3"/>
  <c r="AP995" i="3"/>
  <c r="AR995" i="3"/>
  <c r="AT995" i="3"/>
  <c r="AJ996" i="3"/>
  <c r="AN996" i="3"/>
  <c r="AP996" i="3"/>
  <c r="AR996" i="3"/>
  <c r="AT996" i="3"/>
  <c r="AJ997" i="3"/>
  <c r="AN997" i="3"/>
  <c r="AP997" i="3"/>
  <c r="AR997" i="3"/>
  <c r="AT997" i="3"/>
  <c r="AH998" i="3"/>
  <c r="AJ998" i="3"/>
  <c r="AL998" i="3"/>
  <c r="AN998" i="3"/>
  <c r="AP998" i="3"/>
  <c r="AR998" i="3"/>
  <c r="AT998" i="3"/>
  <c r="AJ999" i="3"/>
  <c r="AL999" i="3"/>
  <c r="AN999" i="3"/>
  <c r="AP999" i="3"/>
  <c r="AR999" i="3"/>
  <c r="AT999" i="3"/>
  <c r="AJ1000" i="3"/>
  <c r="AN1000" i="3"/>
  <c r="AP1000" i="3"/>
  <c r="AR1000" i="3"/>
  <c r="AT1000" i="3"/>
  <c r="AJ1001" i="3"/>
  <c r="AL1001" i="3"/>
  <c r="AN1001" i="3"/>
  <c r="AP1001" i="3"/>
  <c r="AR1001" i="3"/>
  <c r="AT1001" i="3"/>
  <c r="AH1002" i="3"/>
  <c r="AJ1002" i="3"/>
  <c r="AL1002" i="3"/>
  <c r="AN1002" i="3"/>
  <c r="AP1002" i="3"/>
  <c r="AR1002" i="3"/>
  <c r="AT1002" i="3"/>
  <c r="AJ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N1007" i="3"/>
  <c r="AP1007" i="3"/>
  <c r="AR1007" i="3"/>
  <c r="AT1007" i="3"/>
  <c r="AN1008" i="3"/>
  <c r="AP1008" i="3"/>
  <c r="AR1008" i="3"/>
  <c r="AT1008" i="3"/>
  <c r="AN1009" i="3"/>
  <c r="AP1009" i="3"/>
  <c r="AR1009" i="3"/>
  <c r="AT1009" i="3"/>
  <c r="AJ1010" i="3"/>
  <c r="AN1010" i="3"/>
  <c r="AP1010" i="3"/>
  <c r="AR1010" i="3"/>
  <c r="AT1010" i="3"/>
  <c r="AJ1011" i="3"/>
  <c r="AL1011" i="3"/>
  <c r="AN1011" i="3"/>
  <c r="AP1011" i="3"/>
  <c r="AR1011" i="3"/>
  <c r="AT1011" i="3"/>
  <c r="AN1012" i="3"/>
  <c r="AP1012" i="3"/>
  <c r="AR1012" i="3"/>
  <c r="AT1012" i="3"/>
  <c r="AJ1013" i="3"/>
  <c r="AN1013" i="3"/>
  <c r="AP1013" i="3"/>
  <c r="AR1013" i="3"/>
  <c r="AT1013" i="3"/>
  <c r="AN1014" i="3"/>
  <c r="AP1014" i="3"/>
  <c r="AR1014" i="3"/>
  <c r="AT1014" i="3"/>
  <c r="AH1015" i="3"/>
  <c r="AJ1015" i="3"/>
  <c r="AL1015" i="3"/>
  <c r="AN1015" i="3"/>
  <c r="AP1015" i="3"/>
  <c r="AR1015" i="3"/>
  <c r="AT1015" i="3"/>
  <c r="AJ1016" i="3"/>
  <c r="AL1016" i="3"/>
  <c r="AN1016" i="3"/>
  <c r="AP1016" i="3"/>
  <c r="AR1016" i="3"/>
  <c r="AT1016" i="3"/>
  <c r="AN1017" i="3"/>
  <c r="AP1017" i="3"/>
  <c r="AR1017" i="3"/>
  <c r="AT1017" i="3"/>
  <c r="AL1018" i="3"/>
  <c r="AN1018" i="3"/>
  <c r="AP1018" i="3"/>
  <c r="AR1018" i="3"/>
  <c r="AT1018" i="3"/>
  <c r="AJ1019" i="3"/>
  <c r="AL1019" i="3"/>
  <c r="AN1019" i="3"/>
  <c r="AP1019" i="3"/>
  <c r="AR1019" i="3"/>
  <c r="AT1019" i="3"/>
  <c r="AJ1020" i="3"/>
  <c r="AN1020" i="3"/>
  <c r="AP1020" i="3"/>
  <c r="AR1020" i="3"/>
  <c r="AT1020" i="3"/>
  <c r="AJ1021" i="3"/>
  <c r="AN1021" i="3"/>
  <c r="AP1021" i="3"/>
  <c r="AR1021" i="3"/>
  <c r="AT1021" i="3"/>
  <c r="AJ1023" i="3"/>
  <c r="AN1023" i="3"/>
  <c r="AP1023" i="3"/>
  <c r="AR1023" i="3"/>
  <c r="AT1023" i="3"/>
  <c r="AL1024" i="3"/>
  <c r="AN1024" i="3"/>
  <c r="AP1024" i="3"/>
  <c r="AR1024" i="3"/>
  <c r="AT1024" i="3"/>
  <c r="AN1025" i="3"/>
  <c r="AP1025" i="3"/>
  <c r="AR1025" i="3"/>
  <c r="AT1025" i="3"/>
  <c r="AJ1026" i="3"/>
  <c r="AN1026" i="3"/>
  <c r="AP1026" i="3"/>
  <c r="AR1026" i="3"/>
  <c r="AT1026" i="3"/>
  <c r="AL1027" i="3"/>
  <c r="AN1027" i="3"/>
  <c r="AP1027" i="3"/>
  <c r="AR1027" i="3"/>
  <c r="AT1027" i="3"/>
  <c r="AN1028" i="3"/>
  <c r="AP1028" i="3"/>
  <c r="AR1028" i="3"/>
  <c r="AT1028" i="3"/>
  <c r="AJ1029" i="3"/>
  <c r="AL1029" i="3"/>
  <c r="AN1029" i="3"/>
  <c r="AP1029" i="3"/>
  <c r="AR1029" i="3"/>
  <c r="AT1029" i="3"/>
  <c r="AN1030" i="3"/>
  <c r="AP1030" i="3"/>
  <c r="AR1030" i="3"/>
  <c r="AT1030" i="3"/>
  <c r="AJ1031" i="3"/>
  <c r="AN1031" i="3"/>
  <c r="AP1031" i="3"/>
  <c r="AR1031" i="3"/>
  <c r="AT1031" i="3"/>
  <c r="AH1032" i="3"/>
  <c r="AJ1032" i="3"/>
  <c r="AL1032" i="3"/>
  <c r="AN1032" i="3"/>
  <c r="AP1032" i="3"/>
  <c r="AR1032" i="3"/>
  <c r="AT1032" i="3"/>
  <c r="AJ1033" i="3"/>
  <c r="AL1033" i="3"/>
  <c r="AN1033" i="3"/>
  <c r="AP1033" i="3"/>
  <c r="AR1033" i="3"/>
  <c r="AT1033" i="3"/>
  <c r="AJ1034" i="3"/>
  <c r="AN1034" i="3"/>
  <c r="AP1034" i="3"/>
  <c r="AR1034" i="3"/>
  <c r="AT1034" i="3"/>
  <c r="AP1035" i="3"/>
  <c r="AR1035" i="3"/>
  <c r="AT1035" i="3"/>
  <c r="AH1036" i="3"/>
  <c r="AJ1036" i="3"/>
  <c r="AN1036" i="3"/>
  <c r="AP1036" i="3"/>
  <c r="AR1036" i="3"/>
  <c r="AT1036" i="3"/>
  <c r="AJ1037" i="3"/>
  <c r="AN1037" i="3"/>
  <c r="AP1037" i="3"/>
  <c r="AR1037" i="3"/>
  <c r="AT1037" i="3"/>
  <c r="AJ1038" i="3"/>
  <c r="AN1038" i="3"/>
  <c r="AP1038" i="3"/>
  <c r="AR1038" i="3"/>
  <c r="AT1038" i="3"/>
  <c r="AJ1039" i="3"/>
  <c r="AN1039" i="3"/>
  <c r="AP1039" i="3"/>
  <c r="AR1039" i="3"/>
  <c r="AT1039" i="3"/>
  <c r="AN1040" i="3"/>
  <c r="AP1040" i="3"/>
  <c r="AR1040" i="3"/>
  <c r="AT1040" i="3"/>
  <c r="AN1041" i="3"/>
  <c r="AP1041" i="3"/>
  <c r="AR1041" i="3"/>
  <c r="AT1041" i="3"/>
  <c r="AN1042" i="3"/>
  <c r="AP1042" i="3"/>
  <c r="AR1042" i="3"/>
  <c r="AT1042" i="3"/>
  <c r="AJ1043" i="3"/>
  <c r="AN1043" i="3"/>
  <c r="AP1043" i="3"/>
  <c r="AR1043" i="3"/>
  <c r="AT1043" i="3"/>
  <c r="AJ1044" i="3"/>
  <c r="AL1044" i="3"/>
  <c r="AN1044" i="3"/>
  <c r="AP1044" i="3"/>
  <c r="AR1044" i="3"/>
  <c r="AT1044" i="3"/>
  <c r="AJ1045" i="3"/>
  <c r="AL1045" i="3"/>
  <c r="AN1045" i="3"/>
  <c r="AP1045" i="3"/>
  <c r="AR1045" i="3"/>
  <c r="AT1045" i="3"/>
  <c r="AJ1046" i="3"/>
  <c r="AN1046" i="3"/>
  <c r="AP1046" i="3"/>
  <c r="AR1046" i="3"/>
  <c r="AT1046" i="3"/>
  <c r="AN1047" i="3"/>
  <c r="AP1047" i="3"/>
  <c r="AR1047" i="3"/>
  <c r="AT1047" i="3"/>
  <c r="AH1048" i="3"/>
  <c r="AJ1048" i="3"/>
  <c r="AL1048" i="3"/>
  <c r="AN1048" i="3"/>
  <c r="AP1048" i="3"/>
  <c r="AR1048" i="3"/>
  <c r="AT1048" i="3"/>
  <c r="AH1049" i="3"/>
  <c r="AJ1049" i="3"/>
  <c r="AL1049" i="3"/>
  <c r="AN1049" i="3"/>
  <c r="AP1049" i="3"/>
  <c r="AR1049" i="3"/>
  <c r="AT1049" i="3"/>
  <c r="AJ1050" i="3"/>
  <c r="AL1050" i="3"/>
  <c r="AN1050" i="3"/>
  <c r="AP1050" i="3"/>
  <c r="AR1050" i="3"/>
  <c r="AT1050" i="3"/>
  <c r="AJ1051" i="3"/>
  <c r="AN1051" i="3"/>
  <c r="AP1051" i="3"/>
  <c r="AR1051" i="3"/>
  <c r="AT1051" i="3"/>
  <c r="AH1052" i="3"/>
  <c r="AN1052" i="3"/>
  <c r="AP1052" i="3"/>
  <c r="AR1052" i="3"/>
  <c r="AT1052" i="3"/>
  <c r="AN1053" i="3"/>
  <c r="AP1053" i="3"/>
  <c r="AR1053" i="3"/>
  <c r="AT1053" i="3"/>
  <c r="AJ1054" i="3"/>
  <c r="AL1054" i="3"/>
  <c r="AN1054" i="3"/>
  <c r="AP1054" i="3"/>
  <c r="AR1054" i="3"/>
  <c r="AT1054" i="3"/>
  <c r="AN1055" i="3"/>
  <c r="AP1055" i="3"/>
  <c r="AR1055" i="3"/>
  <c r="AT1055" i="3"/>
  <c r="AN1056" i="3"/>
  <c r="AP1056" i="3"/>
  <c r="AR1056" i="3"/>
  <c r="AT1056" i="3"/>
  <c r="AJ1057" i="3"/>
  <c r="AN1057" i="3"/>
  <c r="AP1057" i="3"/>
  <c r="AR1057" i="3"/>
  <c r="AT1057"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H1064"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N1071" i="3"/>
  <c r="AP1071" i="3"/>
  <c r="AR1071" i="3"/>
  <c r="AT1071" i="3"/>
  <c r="AH1072" i="3"/>
  <c r="AJ1072" i="3"/>
  <c r="AL1072" i="3"/>
  <c r="AN1072" i="3"/>
  <c r="AP1072" i="3"/>
  <c r="AR1072" i="3"/>
  <c r="AT1072" i="3"/>
  <c r="AH1073" i="3"/>
  <c r="AJ1073" i="3"/>
  <c r="AL1073" i="3"/>
  <c r="AN1073" i="3"/>
  <c r="AP1073" i="3"/>
  <c r="AR1073" i="3"/>
  <c r="AT1073" i="3"/>
  <c r="AJ1074" i="3"/>
  <c r="AL1074" i="3"/>
  <c r="AN1074" i="3"/>
  <c r="AP1074" i="3"/>
  <c r="AR1074" i="3"/>
  <c r="AT1074" i="3"/>
  <c r="AJ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H1080" i="3"/>
  <c r="AJ1080" i="3"/>
  <c r="AL1080" i="3"/>
  <c r="AN1080" i="3"/>
  <c r="AP1080" i="3"/>
  <c r="AR1080" i="3"/>
  <c r="AT1080" i="3"/>
  <c r="AH1081" i="3"/>
  <c r="AJ1081" i="3"/>
  <c r="AL1081" i="3"/>
  <c r="AN1081" i="3"/>
  <c r="AP1081" i="3"/>
  <c r="AR1081" i="3"/>
  <c r="AT1081" i="3"/>
  <c r="AJ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J1087" i="3"/>
  <c r="AL1087" i="3"/>
  <c r="AN1087" i="3"/>
  <c r="AP1087" i="3"/>
  <c r="AR1087" i="3"/>
  <c r="AT1087" i="3"/>
  <c r="AH1088" i="3"/>
  <c r="AJ1088" i="3"/>
  <c r="AL1088" i="3"/>
  <c r="AN1088" i="3"/>
  <c r="AP1088" i="3"/>
  <c r="AR1088" i="3"/>
  <c r="AT1088" i="3"/>
  <c r="AH1089" i="3"/>
  <c r="AJ1089" i="3"/>
  <c r="AL1089" i="3"/>
  <c r="AN1089" i="3"/>
  <c r="AP1089" i="3"/>
  <c r="AR1089" i="3"/>
  <c r="AT1089" i="3"/>
  <c r="AH1090" i="3"/>
  <c r="AJ1090" i="3"/>
  <c r="AL1090" i="3"/>
  <c r="AN1090" i="3"/>
  <c r="AP1090" i="3"/>
  <c r="AR1090" i="3"/>
  <c r="AT1090" i="3"/>
  <c r="AJ1091" i="3"/>
  <c r="AL1091" i="3"/>
  <c r="AN1091" i="3"/>
  <c r="AP1091" i="3"/>
  <c r="AR1091" i="3"/>
  <c r="AT1091" i="3"/>
  <c r="AH1092"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H1097" i="3"/>
  <c r="AJ1097" i="3"/>
  <c r="AL1097" i="3"/>
  <c r="AN1097" i="3"/>
  <c r="AP1097" i="3"/>
  <c r="AR1097" i="3"/>
  <c r="AT1097" i="3"/>
  <c r="AH1098" i="3"/>
  <c r="AJ1098" i="3"/>
  <c r="AL1098" i="3"/>
  <c r="AN1098" i="3"/>
  <c r="AP1098" i="3"/>
  <c r="AR1098" i="3"/>
  <c r="AT1098" i="3"/>
  <c r="AJ1099" i="3"/>
  <c r="AL1099" i="3"/>
  <c r="AN1099" i="3"/>
  <c r="AP1099" i="3"/>
  <c r="AR1099" i="3"/>
  <c r="AT1099" i="3"/>
  <c r="AH1100"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J1105" i="3"/>
  <c r="AL1105" i="3"/>
  <c r="AN1105" i="3"/>
  <c r="AP1105" i="3"/>
  <c r="AR1105" i="3"/>
  <c r="AT1105" i="3"/>
  <c r="AH1106" i="3"/>
  <c r="AJ1106" i="3"/>
  <c r="AL1106" i="3"/>
  <c r="AN1106" i="3"/>
  <c r="AP1106" i="3"/>
  <c r="AR1106" i="3"/>
  <c r="AT1106" i="3"/>
  <c r="AJ1107" i="3"/>
  <c r="AN1107" i="3"/>
  <c r="AP1107" i="3"/>
  <c r="AR1107" i="3"/>
  <c r="AT1107" i="3"/>
  <c r="AN1108" i="3"/>
  <c r="AP1108" i="3"/>
  <c r="AR1108" i="3"/>
  <c r="AT1108" i="3"/>
  <c r="AN1109" i="3"/>
  <c r="AP1109" i="3"/>
  <c r="AR1109" i="3"/>
  <c r="AT1109" i="3"/>
  <c r="AH1110" i="3"/>
  <c r="AJ1110" i="3"/>
  <c r="AL1110" i="3"/>
  <c r="AN1110" i="3"/>
  <c r="AP1110" i="3"/>
  <c r="AR1110" i="3"/>
  <c r="AT1110" i="3"/>
  <c r="AL1111" i="3"/>
  <c r="AN1111" i="3"/>
  <c r="AP1111" i="3"/>
  <c r="AR1111" i="3"/>
  <c r="AT1111" i="3"/>
  <c r="AJ1112" i="3"/>
  <c r="AL1112" i="3"/>
  <c r="AN1112" i="3"/>
  <c r="AP1112" i="3"/>
  <c r="AR1112" i="3"/>
  <c r="AT1112" i="3"/>
  <c r="AN1113" i="3"/>
  <c r="AP1113" i="3"/>
  <c r="AR1113" i="3"/>
  <c r="AT1113" i="3"/>
  <c r="AJ1114" i="3"/>
  <c r="AL1114" i="3"/>
  <c r="AN1114" i="3"/>
  <c r="AP1114" i="3"/>
  <c r="AR1114" i="3"/>
  <c r="AT1114" i="3"/>
  <c r="AJ1115" i="3"/>
  <c r="AL1115" i="3"/>
  <c r="AN1115" i="3"/>
  <c r="AP1115" i="3"/>
  <c r="AR1115" i="3"/>
  <c r="AT1115" i="3"/>
  <c r="AJ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H1120" i="3"/>
  <c r="AJ1120" i="3"/>
  <c r="AL1120" i="3"/>
  <c r="AN1120" i="3"/>
  <c r="AP1120" i="3"/>
  <c r="AR1120" i="3"/>
  <c r="AT1120" i="3"/>
  <c r="AH1121"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J1127" i="3"/>
  <c r="AL1127" i="3"/>
  <c r="AN1127" i="3"/>
  <c r="AP1127" i="3"/>
  <c r="AR1127" i="3"/>
  <c r="AT1127" i="3"/>
  <c r="AJ1128" i="3"/>
  <c r="AN1128" i="3"/>
  <c r="AP1128" i="3"/>
  <c r="AR1128" i="3"/>
  <c r="AT1128"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J1138" i="3"/>
  <c r="AL1138" i="3"/>
  <c r="AN1138" i="3"/>
  <c r="AP1138" i="3"/>
  <c r="AR1138" i="3"/>
  <c r="AT1138" i="3"/>
  <c r="AJ1139" i="3"/>
  <c r="AL1139" i="3"/>
  <c r="AN1139" i="3"/>
  <c r="AP1139" i="3"/>
  <c r="AR1139" i="3"/>
  <c r="AT1139" i="3"/>
  <c r="AH1140" i="3"/>
  <c r="AJ1140" i="3"/>
  <c r="AL1140" i="3"/>
  <c r="AN1140" i="3"/>
  <c r="AP1140" i="3"/>
  <c r="AR1140" i="3"/>
  <c r="AT1140" i="3"/>
  <c r="AJ1141" i="3"/>
  <c r="AL1141" i="3"/>
  <c r="AN1141" i="3"/>
  <c r="AP1141" i="3"/>
  <c r="AR1141" i="3"/>
  <c r="AT1141" i="3"/>
  <c r="AH1142"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N1148" i="3"/>
  <c r="AP1148" i="3"/>
  <c r="AR1148" i="3"/>
  <c r="AT1148" i="3"/>
  <c r="AJ1149" i="3"/>
  <c r="AN1149" i="3"/>
  <c r="AP1149" i="3"/>
  <c r="AR1149" i="3"/>
  <c r="AT1149" i="3"/>
  <c r="AJ1150" i="3"/>
  <c r="AL1150" i="3"/>
  <c r="AN1150" i="3"/>
  <c r="AP1150" i="3"/>
  <c r="AR1150" i="3"/>
  <c r="AT1150" i="3"/>
  <c r="AN1151" i="3"/>
  <c r="AP1151" i="3"/>
  <c r="AR1151" i="3"/>
  <c r="AT1151" i="3"/>
  <c r="AJ1152" i="3"/>
  <c r="AL1152" i="3"/>
  <c r="AN1152" i="3"/>
  <c r="AP1152" i="3"/>
  <c r="AR1152" i="3"/>
  <c r="AT1152" i="3"/>
  <c r="AN1153" i="3"/>
  <c r="AP1153" i="3"/>
  <c r="AR1153" i="3"/>
  <c r="AT1153" i="3"/>
  <c r="AN1154" i="3"/>
  <c r="AP1154" i="3"/>
  <c r="AR1154" i="3"/>
  <c r="AT1154" i="3"/>
  <c r="AL1155" i="3"/>
  <c r="AN1155" i="3"/>
  <c r="AP1155" i="3"/>
  <c r="AR1155" i="3"/>
  <c r="AT1155" i="3"/>
  <c r="AN1156" i="3"/>
  <c r="AP1156" i="3"/>
  <c r="AR1156" i="3"/>
  <c r="AT1156" i="3"/>
  <c r="AJ1157" i="3"/>
  <c r="AL1157" i="3"/>
  <c r="AN1157" i="3"/>
  <c r="AP1157" i="3"/>
  <c r="AR1157" i="3"/>
  <c r="AT1157" i="3"/>
  <c r="AJ1158" i="3"/>
  <c r="AN1158" i="3"/>
  <c r="AP1158" i="3"/>
  <c r="AR1158" i="3"/>
  <c r="AT1158" i="3"/>
  <c r="AH1159" i="3"/>
  <c r="AJ1159" i="3"/>
  <c r="AL1159" i="3"/>
  <c r="AN1159" i="3"/>
  <c r="AP1159" i="3"/>
  <c r="AR1159" i="3"/>
  <c r="AT1159"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H1164" i="3"/>
  <c r="AJ1164" i="3"/>
  <c r="AL1164" i="3"/>
  <c r="AN1164" i="3"/>
  <c r="AP1164" i="3"/>
  <c r="AR1164" i="3"/>
  <c r="AT1164" i="3"/>
  <c r="AJ1165" i="3"/>
  <c r="AL1165" i="3"/>
  <c r="AN1165" i="3"/>
  <c r="AP1165" i="3"/>
  <c r="AR1165" i="3"/>
  <c r="AT1165" i="3"/>
  <c r="AJ1166" i="3"/>
  <c r="AN1166" i="3"/>
  <c r="AP1166" i="3"/>
  <c r="AR1166" i="3"/>
  <c r="AT1166" i="3"/>
  <c r="AJ1167" i="3"/>
  <c r="AL1167" i="3"/>
  <c r="AN1167" i="3"/>
  <c r="AP1167" i="3"/>
  <c r="AR1167" i="3"/>
  <c r="AT1167" i="3"/>
  <c r="AJ1168" i="3"/>
  <c r="AL1168" i="3"/>
  <c r="AN1168" i="3"/>
  <c r="AP1168" i="3"/>
  <c r="AR1168" i="3"/>
  <c r="AT1168" i="3"/>
  <c r="AH1169" i="3"/>
  <c r="AJ1169" i="3"/>
  <c r="AL1169" i="3"/>
  <c r="AN1169" i="3"/>
  <c r="AP1169" i="3"/>
  <c r="AR1169" i="3"/>
  <c r="AT1169" i="3"/>
  <c r="AJ1170" i="3"/>
  <c r="AL1170" i="3"/>
  <c r="AN1170" i="3"/>
  <c r="AP1170" i="3"/>
  <c r="AR1170" i="3"/>
  <c r="AT1170" i="3"/>
  <c r="AN1171" i="3"/>
  <c r="AP1171" i="3"/>
  <c r="AR1171" i="3"/>
  <c r="AT1171" i="3"/>
  <c r="AJ1172" i="3"/>
  <c r="AL1172" i="3"/>
  <c r="AN1172" i="3"/>
  <c r="AP1172" i="3"/>
  <c r="AR1172" i="3"/>
  <c r="AT1172" i="3"/>
  <c r="AJ1173" i="3"/>
  <c r="AL1173" i="3"/>
  <c r="AN1173" i="3"/>
  <c r="AP1173" i="3"/>
  <c r="AR1173" i="3"/>
  <c r="AT1173" i="3"/>
  <c r="AH1174" i="3"/>
  <c r="AJ1174" i="3"/>
  <c r="AL1174" i="3"/>
  <c r="AN1174" i="3"/>
  <c r="AP1174" i="3"/>
  <c r="AR1174" i="3"/>
  <c r="AT1174" i="3"/>
  <c r="AJ1175" i="3"/>
  <c r="AL1175" i="3"/>
  <c r="AN1175" i="3"/>
  <c r="AP1175" i="3"/>
  <c r="AR1175" i="3"/>
  <c r="AT1175" i="3"/>
  <c r="AH1176"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N1180" i="3"/>
  <c r="AP1180" i="3"/>
  <c r="AR1180" i="3"/>
  <c r="AT1180" i="3"/>
  <c r="AJ1181" i="3"/>
  <c r="AL1181" i="3"/>
  <c r="AN1181" i="3"/>
  <c r="AP1181" i="3"/>
  <c r="AR1181" i="3"/>
  <c r="AT1181" i="3"/>
  <c r="AJ1182" i="3"/>
  <c r="AN1182" i="3"/>
  <c r="AP1182" i="3"/>
  <c r="AR1182" i="3"/>
  <c r="AT1182" i="3"/>
  <c r="AJ1183" i="3"/>
  <c r="AL1183" i="3"/>
  <c r="AN1183" i="3"/>
  <c r="AP1183" i="3"/>
  <c r="AR1183" i="3"/>
  <c r="AT1183" i="3"/>
  <c r="AN1184" i="3"/>
  <c r="AP1184" i="3"/>
  <c r="AR1184" i="3"/>
  <c r="AT1184" i="3"/>
  <c r="AJ1185" i="3"/>
  <c r="AL1185" i="3"/>
  <c r="AN1185" i="3"/>
  <c r="AP1185" i="3"/>
  <c r="AR1185" i="3"/>
  <c r="AT1185" i="3"/>
  <c r="AJ1186" i="3"/>
  <c r="AL1186" i="3"/>
  <c r="AN1186" i="3"/>
  <c r="AP1186" i="3"/>
  <c r="AR1186" i="3"/>
  <c r="AT1186" i="3"/>
  <c r="AJ1187" i="3"/>
  <c r="AL1187" i="3"/>
  <c r="AN1187" i="3"/>
  <c r="AP1187" i="3"/>
  <c r="AR1187" i="3"/>
  <c r="AT1187" i="3"/>
  <c r="AN1188" i="3"/>
  <c r="AP1188" i="3"/>
  <c r="AR1188" i="3"/>
  <c r="AT1188" i="3"/>
  <c r="AJ1189" i="3"/>
  <c r="AL1189" i="3"/>
  <c r="AN1189" i="3"/>
  <c r="AP1189" i="3"/>
  <c r="AR1189" i="3"/>
  <c r="AT1189" i="3"/>
  <c r="AN1190" i="3"/>
  <c r="AP1190" i="3"/>
  <c r="AR1190" i="3"/>
  <c r="AT1190" i="3"/>
  <c r="AJ1191" i="3"/>
  <c r="AL1191" i="3"/>
  <c r="AN1191" i="3"/>
  <c r="AP1191" i="3"/>
  <c r="AR1191" i="3"/>
  <c r="AT1191" i="3"/>
  <c r="AH1192" i="3"/>
  <c r="AJ1192" i="3"/>
  <c r="AL1192" i="3"/>
  <c r="AN1192" i="3"/>
  <c r="AP1192" i="3"/>
  <c r="AR1192" i="3"/>
  <c r="AT1192" i="3"/>
  <c r="AJ1193" i="3"/>
  <c r="AN1193" i="3"/>
  <c r="AP1193" i="3"/>
  <c r="AR1193" i="3"/>
  <c r="AT1193" i="3"/>
  <c r="AJ1194" i="3"/>
  <c r="AL1194" i="3"/>
  <c r="AN1194" i="3"/>
  <c r="AP1194" i="3"/>
  <c r="AR1194" i="3"/>
  <c r="AT1194" i="3"/>
  <c r="AJ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J1199" i="3"/>
  <c r="AL1199" i="3"/>
  <c r="AN1199" i="3"/>
  <c r="AP1199" i="3"/>
  <c r="AR1199" i="3"/>
  <c r="AT1199" i="3"/>
  <c r="AJ1200" i="3"/>
  <c r="AN1200" i="3"/>
  <c r="AP1200" i="3"/>
  <c r="AR1200" i="3"/>
  <c r="AT1200" i="3"/>
  <c r="AJ1201" i="3"/>
  <c r="AL1201" i="3"/>
  <c r="AN1201" i="3"/>
  <c r="AP1201" i="3"/>
  <c r="AR1201" i="3"/>
  <c r="AT1201"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H1207" i="3"/>
  <c r="AJ1207" i="3"/>
  <c r="AL1207" i="3"/>
  <c r="AN1207" i="3"/>
  <c r="AP1207" i="3"/>
  <c r="AR1207" i="3"/>
  <c r="AT1207" i="3"/>
  <c r="AJ1208" i="3"/>
  <c r="AL1208" i="3"/>
  <c r="AN1208" i="3"/>
  <c r="AP1208" i="3"/>
  <c r="AR1208" i="3"/>
  <c r="AT1208" i="3"/>
  <c r="AH1209" i="3"/>
  <c r="AJ1209" i="3"/>
  <c r="AL1209" i="3"/>
  <c r="AN1209" i="3"/>
  <c r="AP1209" i="3"/>
  <c r="AR1209" i="3"/>
  <c r="AT1209" i="3"/>
  <c r="AJ1210" i="3"/>
  <c r="AL1210" i="3"/>
  <c r="AN1210" i="3"/>
  <c r="AP1210" i="3"/>
  <c r="AR1210" i="3"/>
  <c r="AT1210" i="3"/>
  <c r="AJ1211" i="3"/>
  <c r="AL1211" i="3"/>
  <c r="AN1211" i="3"/>
  <c r="AP1211" i="3"/>
  <c r="AR1211" i="3"/>
  <c r="AT1211" i="3"/>
  <c r="AH1212"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H1217"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N1221" i="3"/>
  <c r="AP1221" i="3"/>
  <c r="AR1221" i="3"/>
  <c r="AT1221" i="3"/>
  <c r="AN1222" i="3"/>
  <c r="AP1222" i="3"/>
  <c r="AR1222" i="3"/>
  <c r="AT1222" i="3"/>
  <c r="AJ1223" i="3"/>
  <c r="AL1223" i="3"/>
  <c r="AN1223" i="3"/>
  <c r="AP1223" i="3"/>
  <c r="AR1223" i="3"/>
  <c r="AT1223" i="3"/>
  <c r="AH1224" i="3"/>
  <c r="AJ1224" i="3"/>
  <c r="AL1224" i="3"/>
  <c r="AN1224" i="3"/>
  <c r="AP1224" i="3"/>
  <c r="AR1224" i="3"/>
  <c r="AT1224" i="3"/>
  <c r="AJ1225" i="3"/>
  <c r="AL1225" i="3"/>
  <c r="AN1225" i="3"/>
  <c r="AP1225" i="3"/>
  <c r="AR1225" i="3"/>
  <c r="AT1225" i="3"/>
  <c r="AJ1226" i="3"/>
  <c r="AL1226" i="3"/>
  <c r="AN1226" i="3"/>
  <c r="AP1226" i="3"/>
  <c r="AR1226" i="3"/>
  <c r="AT1226" i="3"/>
  <c r="AN1227" i="3"/>
  <c r="AP1227" i="3"/>
  <c r="AR1227" i="3"/>
  <c r="AT1227" i="3"/>
  <c r="AJ1228" i="3"/>
  <c r="AL1228" i="3"/>
  <c r="AN1228" i="3"/>
  <c r="AP1228" i="3"/>
  <c r="AR1228" i="3"/>
  <c r="AT1228" i="3"/>
  <c r="AJ1229" i="3"/>
  <c r="AL1229" i="3"/>
  <c r="AN1229" i="3"/>
  <c r="AP1229" i="3"/>
  <c r="AR1229" i="3"/>
  <c r="AT1229" i="3"/>
  <c r="AN1230" i="3"/>
  <c r="AP1230" i="3"/>
  <c r="AR1230" i="3"/>
  <c r="AT1230" i="3"/>
  <c r="AJ1231" i="3"/>
  <c r="AL1231" i="3"/>
  <c r="AN1231" i="3"/>
  <c r="AP1231" i="3"/>
  <c r="AR1231" i="3"/>
  <c r="AT1231" i="3"/>
  <c r="AJ1232" i="3"/>
  <c r="AN1232" i="3"/>
  <c r="AP1232" i="3"/>
  <c r="AR1232" i="3"/>
  <c r="AT1232" i="3"/>
  <c r="AJ1233" i="3"/>
  <c r="AL1233" i="3"/>
  <c r="AN1233" i="3"/>
  <c r="AP1233" i="3"/>
  <c r="AR1233" i="3"/>
  <c r="AT1233" i="3"/>
  <c r="AJ1234" i="3"/>
  <c r="AL1234" i="3"/>
  <c r="AN1234" i="3"/>
  <c r="AP1234" i="3"/>
  <c r="AR1234" i="3"/>
  <c r="AT1234" i="3"/>
  <c r="AJ1235" i="3"/>
  <c r="AL1235" i="3"/>
  <c r="AN1235" i="3"/>
  <c r="AP1235" i="3"/>
  <c r="AR1235" i="3"/>
  <c r="AT1235"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H1240" i="3"/>
  <c r="AJ1240" i="3"/>
  <c r="AL1240" i="3"/>
  <c r="AN1240" i="3"/>
  <c r="AP1240" i="3"/>
  <c r="AR1240" i="3"/>
  <c r="AT1240" i="3"/>
  <c r="AJ1241" i="3"/>
  <c r="AL1241" i="3"/>
  <c r="AN1241" i="3"/>
  <c r="AP1241" i="3"/>
  <c r="AR1241" i="3"/>
  <c r="AT1241" i="3"/>
  <c r="AJ1242" i="3"/>
  <c r="AL1242" i="3"/>
  <c r="AN1242" i="3"/>
  <c r="AP1242" i="3"/>
  <c r="AR1242" i="3"/>
  <c r="AT1242" i="3"/>
  <c r="AJ1243" i="3"/>
  <c r="AN1243" i="3"/>
  <c r="AP1243" i="3"/>
  <c r="AR1243" i="3"/>
  <c r="AT1243" i="3"/>
  <c r="AJ1244" i="3"/>
  <c r="AN1244" i="3"/>
  <c r="AP1244" i="3"/>
  <c r="AR1244" i="3"/>
  <c r="AT1244" i="3"/>
  <c r="AJ1245" i="3"/>
  <c r="AL1245" i="3"/>
  <c r="AN1245" i="3"/>
  <c r="AP1245" i="3"/>
  <c r="AR1245" i="3"/>
  <c r="AT1245" i="3"/>
  <c r="AJ1246" i="3"/>
  <c r="AN1246" i="3"/>
  <c r="AP1246" i="3"/>
  <c r="AR1246" i="3"/>
  <c r="AT1246" i="3"/>
  <c r="AJ1247" i="3"/>
  <c r="AL1247" i="3"/>
  <c r="AN1247" i="3"/>
  <c r="AP1247" i="3"/>
  <c r="AR1247" i="3"/>
  <c r="AT1247" i="3"/>
  <c r="AJ1248" i="3"/>
  <c r="AL1248" i="3"/>
  <c r="AN1248" i="3"/>
  <c r="AP1248" i="3"/>
  <c r="AR1248" i="3"/>
  <c r="AT1248" i="3"/>
  <c r="AJ1249" i="3"/>
  <c r="AL1249" i="3"/>
  <c r="AN1249" i="3"/>
  <c r="AP1249" i="3"/>
  <c r="AR1249" i="3"/>
  <c r="AT1249" i="3"/>
  <c r="AJ1250" i="3"/>
  <c r="AN1250" i="3"/>
  <c r="AP1250" i="3"/>
  <c r="AR1250" i="3"/>
  <c r="AT1250" i="3"/>
  <c r="AJ1251" i="3"/>
  <c r="AL1251" i="3"/>
  <c r="AN1251" i="3"/>
  <c r="AP1251" i="3"/>
  <c r="AR1251" i="3"/>
  <c r="AT1251" i="3"/>
  <c r="AH1252" i="3"/>
  <c r="AJ1252" i="3"/>
  <c r="AL1252" i="3"/>
  <c r="AN1252" i="3"/>
  <c r="AP1252" i="3"/>
  <c r="AR1252" i="3"/>
  <c r="AT1252" i="3"/>
  <c r="AJ1253" i="3"/>
  <c r="AN1253" i="3"/>
  <c r="AP1253" i="3"/>
  <c r="AR1253" i="3"/>
  <c r="AT1253" i="3"/>
  <c r="AJ1254" i="3"/>
  <c r="AN1254" i="3"/>
  <c r="AP1254" i="3"/>
  <c r="AR1254" i="3"/>
  <c r="AT1254" i="3"/>
  <c r="AJ1255" i="3"/>
  <c r="AL1255" i="3"/>
  <c r="AN1255" i="3"/>
  <c r="AP1255" i="3"/>
  <c r="AR1255" i="3"/>
  <c r="AT1255" i="3"/>
  <c r="AH1256"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J1262" i="3"/>
  <c r="AL1262" i="3"/>
  <c r="AN1262" i="3"/>
  <c r="AP1262" i="3"/>
  <c r="AR1262" i="3"/>
  <c r="AT1262" i="3"/>
  <c r="AJ1263" i="3"/>
  <c r="AL1263" i="3"/>
  <c r="AN1263" i="3"/>
  <c r="AP1263" i="3"/>
  <c r="AR1263" i="3"/>
  <c r="AT1263" i="3"/>
  <c r="AH1264" i="3"/>
  <c r="AJ1264" i="3"/>
  <c r="AL1264" i="3"/>
  <c r="AN1264" i="3"/>
  <c r="AP1264" i="3"/>
  <c r="AR1264" i="3"/>
  <c r="AT1264" i="3"/>
  <c r="AJ1265" i="3"/>
  <c r="AL1265" i="3"/>
  <c r="AN1265" i="3"/>
  <c r="AP1265" i="3"/>
  <c r="AR1265" i="3"/>
  <c r="AT1265" i="3"/>
  <c r="AJ1266" i="3"/>
  <c r="AL1266" i="3"/>
  <c r="AN1266" i="3"/>
  <c r="AP1266" i="3"/>
  <c r="AR1266" i="3"/>
  <c r="AT1266" i="3"/>
  <c r="AJ1267" i="3"/>
  <c r="AN1267" i="3"/>
  <c r="AP1267" i="3"/>
  <c r="AR1267" i="3"/>
  <c r="AT1267" i="3"/>
  <c r="AN1268" i="3"/>
  <c r="AP1268" i="3"/>
  <c r="AR1268" i="3"/>
  <c r="AT1268" i="3"/>
  <c r="AN1269" i="3"/>
  <c r="AP1269" i="3"/>
  <c r="AR1269" i="3"/>
  <c r="AT1269" i="3"/>
  <c r="AJ1271" i="3"/>
  <c r="AN1271" i="3"/>
  <c r="AP1271" i="3"/>
  <c r="AR1271" i="3"/>
  <c r="AT1271" i="3"/>
  <c r="AN1272" i="3"/>
  <c r="AP1272" i="3"/>
  <c r="AR1272" i="3"/>
  <c r="AT1272" i="3"/>
  <c r="AJ1273" i="3"/>
  <c r="AL1273" i="3"/>
  <c r="AN1273" i="3"/>
  <c r="AP1273" i="3"/>
  <c r="AR1273" i="3"/>
  <c r="AT1273" i="3"/>
  <c r="AJ1274" i="3"/>
  <c r="AL1274" i="3"/>
  <c r="AN1274" i="3"/>
  <c r="AP1274" i="3"/>
  <c r="AR1274" i="3"/>
  <c r="AT1274" i="3"/>
  <c r="AJ1275" i="3"/>
  <c r="AN1275" i="3"/>
  <c r="AP1275" i="3"/>
  <c r="AR1275" i="3"/>
  <c r="AT1275" i="3"/>
  <c r="AJ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J1290" i="3"/>
  <c r="AN1290" i="3"/>
  <c r="AP1290" i="3"/>
  <c r="AR1290" i="3"/>
  <c r="AT1290" i="3"/>
  <c r="AN1291" i="3"/>
  <c r="AP1291" i="3"/>
  <c r="AR1291" i="3"/>
  <c r="AT1291" i="3"/>
  <c r="AJ1292" i="3"/>
  <c r="AL1292" i="3"/>
  <c r="AN1292" i="3"/>
  <c r="AP1292" i="3"/>
  <c r="AR1292" i="3"/>
  <c r="AT1292" i="3"/>
  <c r="AJ1293" i="3"/>
  <c r="AL1293" i="3"/>
  <c r="AN1293" i="3"/>
  <c r="AP1293" i="3"/>
  <c r="AR1293" i="3"/>
  <c r="AT1293" i="3"/>
  <c r="AL1294" i="3"/>
  <c r="AN1294" i="3"/>
  <c r="AP1294" i="3"/>
  <c r="AR1294" i="3"/>
  <c r="AT1294" i="3"/>
  <c r="AJ1295" i="3"/>
  <c r="AN1295" i="3"/>
  <c r="AP1295" i="3"/>
  <c r="AR1295" i="3"/>
  <c r="AT1295" i="3"/>
  <c r="AJ1296" i="3"/>
  <c r="AL1296" i="3"/>
  <c r="AN1296" i="3"/>
  <c r="AP1296" i="3"/>
  <c r="AR1296" i="3"/>
  <c r="AT1296" i="3"/>
  <c r="AH1297" i="3"/>
  <c r="AJ1297" i="3"/>
  <c r="AL1297" i="3"/>
  <c r="AN1297" i="3"/>
  <c r="AP1297" i="3"/>
  <c r="AR1297" i="3"/>
  <c r="AT1297" i="3"/>
  <c r="AJ1298" i="3"/>
  <c r="AN1298" i="3"/>
  <c r="AP1298" i="3"/>
  <c r="AR1298" i="3"/>
  <c r="AT1298" i="3"/>
  <c r="AJ1299" i="3"/>
  <c r="AN1299" i="3"/>
  <c r="AP1299" i="3"/>
  <c r="AR1299" i="3"/>
  <c r="AT1299" i="3"/>
  <c r="AJ1300" i="3"/>
  <c r="AL1300" i="3"/>
  <c r="AN1300" i="3"/>
  <c r="AP1300" i="3"/>
  <c r="AR1300" i="3"/>
  <c r="AT1300" i="3"/>
  <c r="AN1301" i="3"/>
  <c r="AP1301" i="3"/>
  <c r="AR1301" i="3"/>
  <c r="AT1301" i="3"/>
  <c r="AJ1302" i="3"/>
  <c r="AL1302" i="3"/>
  <c r="AN1302" i="3"/>
  <c r="AP1302" i="3"/>
  <c r="AR1302" i="3"/>
  <c r="AT1302" i="3"/>
  <c r="AJ1303" i="3"/>
  <c r="AL1303" i="3"/>
  <c r="AN1303" i="3"/>
  <c r="AP1303" i="3"/>
  <c r="AR1303" i="3"/>
  <c r="AT1303" i="3"/>
  <c r="AN1304" i="3"/>
  <c r="AP1304" i="3"/>
  <c r="AR1304" i="3"/>
  <c r="AT1304" i="3"/>
  <c r="AH1305" i="3"/>
  <c r="AJ1305" i="3"/>
  <c r="AN1305" i="3"/>
  <c r="AP1305" i="3"/>
  <c r="AR1305" i="3"/>
  <c r="AT1305" i="3"/>
  <c r="AJ1307" i="3"/>
  <c r="AN1307" i="3"/>
  <c r="AP1307" i="3"/>
  <c r="AR1307" i="3"/>
  <c r="AT1307" i="3"/>
  <c r="AJ1308" i="3"/>
  <c r="AL1308" i="3"/>
  <c r="AN1308" i="3"/>
  <c r="AP1308" i="3"/>
  <c r="AR1308" i="3"/>
  <c r="AT1308" i="3"/>
  <c r="AN1309" i="3"/>
  <c r="AP1309" i="3"/>
  <c r="AR1309" i="3"/>
  <c r="AT1309" i="3"/>
  <c r="AN1310" i="3"/>
  <c r="AP1310" i="3"/>
  <c r="AR1310" i="3"/>
  <c r="AT1310" i="3"/>
  <c r="AJ1311" i="3"/>
  <c r="AL1311" i="3"/>
  <c r="AN1311" i="3"/>
  <c r="AP1311" i="3"/>
  <c r="AR1311" i="3"/>
  <c r="AT1311" i="3"/>
  <c r="AJ1312" i="3"/>
  <c r="AL1312" i="3"/>
  <c r="AN1312" i="3"/>
  <c r="AP1312" i="3"/>
  <c r="AR1312" i="3"/>
  <c r="AT1312" i="3"/>
  <c r="AN1313" i="3"/>
  <c r="AP1313" i="3"/>
  <c r="AR1313" i="3"/>
  <c r="AT1313" i="3"/>
  <c r="AN1314" i="3"/>
  <c r="AP1314" i="3"/>
  <c r="AR1314" i="3"/>
  <c r="AT1314" i="3"/>
  <c r="AJ1315" i="3"/>
  <c r="AL1315" i="3"/>
  <c r="AN1315" i="3"/>
  <c r="AP1315" i="3"/>
  <c r="AR1315" i="3"/>
  <c r="AT1315" i="3"/>
  <c r="AN1316" i="3"/>
  <c r="AP1316" i="3"/>
  <c r="AR1316" i="3"/>
  <c r="AT1316" i="3"/>
  <c r="AJ1317" i="3"/>
  <c r="AL1317" i="3"/>
  <c r="AN1317" i="3"/>
  <c r="AP1317" i="3"/>
  <c r="AR1317" i="3"/>
  <c r="AT1317" i="3"/>
  <c r="AJ1318" i="3"/>
  <c r="AL1318" i="3"/>
  <c r="AN1318" i="3"/>
  <c r="AP1318" i="3"/>
  <c r="AR1318" i="3"/>
  <c r="AT1318" i="3"/>
  <c r="AN1319" i="3"/>
  <c r="AP1319" i="3"/>
  <c r="AR1319" i="3"/>
  <c r="AT1319" i="3"/>
  <c r="AJ1320" i="3"/>
  <c r="AL1320" i="3"/>
  <c r="AN1320" i="3"/>
  <c r="AP1320" i="3"/>
  <c r="AR1320" i="3"/>
  <c r="AT1320" i="3"/>
  <c r="AN1321" i="3"/>
  <c r="AP1321" i="3"/>
  <c r="AR1321" i="3"/>
  <c r="AT1321" i="3"/>
  <c r="AN1322" i="3"/>
  <c r="AP1322" i="3"/>
  <c r="AR1322" i="3"/>
  <c r="AT1322" i="3"/>
  <c r="AJ1323" i="3"/>
  <c r="AL1323" i="3"/>
  <c r="AN1323" i="3"/>
  <c r="AP1323" i="3"/>
  <c r="AR1323" i="3"/>
  <c r="AT1323" i="3"/>
  <c r="AN1324" i="3"/>
  <c r="AP1324" i="3"/>
  <c r="AR1324" i="3"/>
  <c r="AT1324" i="3"/>
  <c r="AJ1325" i="3"/>
  <c r="AL1325" i="3"/>
  <c r="AN1325" i="3"/>
  <c r="AP1325" i="3"/>
  <c r="AR1325" i="3"/>
  <c r="AT1325" i="3"/>
  <c r="AN1326" i="3"/>
  <c r="AP1326" i="3"/>
  <c r="AR1326" i="3"/>
  <c r="AT1326" i="3"/>
  <c r="AJ1328" i="3"/>
  <c r="AN1328" i="3"/>
  <c r="AP1328" i="3"/>
  <c r="AR1328" i="3"/>
  <c r="AT1328" i="3"/>
  <c r="AJ1329" i="3"/>
  <c r="AN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J1333" i="3"/>
  <c r="AN1333" i="3"/>
  <c r="AP1333" i="3"/>
  <c r="AR1333" i="3"/>
  <c r="AT1333" i="3"/>
  <c r="AJ1334" i="3"/>
  <c r="AL1334" i="3"/>
  <c r="AN1334" i="3"/>
  <c r="AP1334" i="3"/>
  <c r="AR1334" i="3"/>
  <c r="AT1334" i="3"/>
  <c r="AH1335" i="3"/>
  <c r="AJ1335" i="3"/>
  <c r="AL1335" i="3"/>
  <c r="AN1335" i="3"/>
  <c r="AP1335" i="3"/>
  <c r="AR1335" i="3"/>
  <c r="AT1335" i="3"/>
  <c r="AJ1336" i="3"/>
  <c r="AL1336" i="3"/>
  <c r="AN1336" i="3"/>
  <c r="AP1336" i="3"/>
  <c r="AR1336" i="3"/>
  <c r="AT1336" i="3"/>
  <c r="AJ1337" i="3"/>
  <c r="AL1337" i="3"/>
  <c r="AN1337" i="3"/>
  <c r="AP1337" i="3"/>
  <c r="AR1337" i="3"/>
  <c r="AT1337" i="3"/>
  <c r="AJ1338" i="3"/>
  <c r="AL1338" i="3"/>
  <c r="AN1338" i="3"/>
  <c r="AP1338" i="3"/>
  <c r="AR1338" i="3"/>
  <c r="AT1338" i="3"/>
  <c r="AH1339"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N1343" i="3"/>
  <c r="AP1343" i="3"/>
  <c r="AR1343" i="3"/>
  <c r="AT1343" i="3"/>
  <c r="AN1344" i="3"/>
  <c r="AP1344" i="3"/>
  <c r="AR1344" i="3"/>
  <c r="AT1344" i="3"/>
  <c r="AN1345" i="3"/>
  <c r="AP1345" i="3"/>
  <c r="AR1345" i="3"/>
  <c r="AT1345" i="3"/>
  <c r="AN1346" i="3"/>
  <c r="AP1346" i="3"/>
  <c r="AR1346" i="3"/>
  <c r="AT1346" i="3"/>
  <c r="AJ1347" i="3"/>
  <c r="AN1347" i="3"/>
  <c r="AP1347" i="3"/>
  <c r="AR1347" i="3"/>
  <c r="AT1347" i="3"/>
  <c r="AJ1348" i="3"/>
  <c r="AN1348" i="3"/>
  <c r="AP1348" i="3"/>
  <c r="AR1348" i="3"/>
  <c r="AT1348" i="3"/>
  <c r="AJ1349" i="3"/>
  <c r="AL1349" i="3"/>
  <c r="AN1349" i="3"/>
  <c r="AP1349" i="3"/>
  <c r="AR1349" i="3"/>
  <c r="AT1349" i="3"/>
  <c r="AJ1350" i="3"/>
  <c r="AN1350" i="3"/>
  <c r="AP1350" i="3"/>
  <c r="AR1350" i="3"/>
  <c r="AT1350" i="3"/>
  <c r="AH1351" i="3"/>
  <c r="AJ1351" i="3"/>
  <c r="AN1351" i="3"/>
  <c r="AP1351" i="3"/>
  <c r="AR1351" i="3"/>
  <c r="AT1351" i="3"/>
  <c r="AJ1352" i="3"/>
  <c r="AL1352" i="3"/>
  <c r="AN1352" i="3"/>
  <c r="AP1352" i="3"/>
  <c r="AR1352" i="3"/>
  <c r="AT1352" i="3"/>
  <c r="AN1353" i="3"/>
  <c r="AP1353" i="3"/>
  <c r="AR1353" i="3"/>
  <c r="AT1353" i="3"/>
  <c r="AJ1354" i="3"/>
  <c r="AL1354" i="3"/>
  <c r="AN1354" i="3"/>
  <c r="AP1354" i="3"/>
  <c r="AR1354" i="3"/>
  <c r="AT1354" i="3"/>
  <c r="AJ1355" i="3"/>
  <c r="AN1355" i="3"/>
  <c r="AP1355" i="3"/>
  <c r="AR1355" i="3"/>
  <c r="AT1355" i="3"/>
  <c r="AN1356" i="3"/>
  <c r="AP1356" i="3"/>
  <c r="AR1356" i="3"/>
  <c r="AT1356" i="3"/>
  <c r="AJ1357" i="3"/>
  <c r="AL1357" i="3"/>
  <c r="AN1357" i="3"/>
  <c r="AP1357" i="3"/>
  <c r="AR1357" i="3"/>
  <c r="AT1357" i="3"/>
  <c r="AN1358" i="3"/>
  <c r="AP1358" i="3"/>
  <c r="AR1358" i="3"/>
  <c r="AT1358" i="3"/>
  <c r="AH1359" i="3"/>
  <c r="AN1359" i="3"/>
  <c r="AP1359" i="3"/>
  <c r="AR1359" i="3"/>
  <c r="AT1359" i="3"/>
  <c r="AJ1360" i="3"/>
  <c r="AN1360" i="3"/>
  <c r="AP1360" i="3"/>
  <c r="AR1360" i="3"/>
  <c r="AT1360" i="3"/>
  <c r="AJ1361" i="3"/>
  <c r="AN1361" i="3"/>
  <c r="AP1361" i="3"/>
  <c r="AR1361" i="3"/>
  <c r="AT1361" i="3"/>
  <c r="AN1362" i="3"/>
  <c r="AP1362" i="3"/>
  <c r="AR1362" i="3"/>
  <c r="AT1362" i="3"/>
  <c r="AH1363" i="3"/>
  <c r="AJ1363" i="3"/>
  <c r="AN1363" i="3"/>
  <c r="AP1363" i="3"/>
  <c r="AR1363" i="3"/>
  <c r="AT1363" i="3"/>
  <c r="AJ1364" i="3"/>
  <c r="AL1364" i="3"/>
  <c r="AN1364" i="3"/>
  <c r="AP1364" i="3"/>
  <c r="AR1364" i="3"/>
  <c r="AT1364" i="3"/>
  <c r="AJ1365" i="3"/>
  <c r="AL1365" i="3"/>
  <c r="AN1365" i="3"/>
  <c r="AP1365" i="3"/>
  <c r="AR1365" i="3"/>
  <c r="AT1365" i="3"/>
  <c r="AJ1366" i="3"/>
  <c r="AN1366" i="3"/>
  <c r="AP1366" i="3"/>
  <c r="AR1366" i="3"/>
  <c r="AT1366" i="3"/>
  <c r="AN1367" i="3"/>
  <c r="AP1367" i="3"/>
  <c r="AR1367" i="3"/>
  <c r="AT1367" i="3"/>
  <c r="AJ1368" i="3"/>
  <c r="AN1368" i="3"/>
  <c r="AP1368" i="3"/>
  <c r="AR1368" i="3"/>
  <c r="AT1368" i="3"/>
  <c r="AJ1369" i="3"/>
  <c r="AN1369" i="3"/>
  <c r="AP1369" i="3"/>
  <c r="AR1369" i="3"/>
  <c r="AT1369" i="3"/>
  <c r="AJ1371" i="3"/>
  <c r="AN1371" i="3"/>
  <c r="AP1371" i="3"/>
  <c r="AR1371" i="3"/>
  <c r="AT1371" i="3"/>
  <c r="AH1372" i="3"/>
  <c r="AJ1372" i="3"/>
  <c r="AN1372" i="3"/>
  <c r="AP1372" i="3"/>
  <c r="AR1372" i="3"/>
  <c r="AT1372" i="3"/>
  <c r="AJ1373" i="3"/>
  <c r="AL1373" i="3"/>
  <c r="AN1373" i="3"/>
  <c r="AP1373" i="3"/>
  <c r="AR1373" i="3"/>
  <c r="AT1373" i="3"/>
  <c r="AH1374" i="3"/>
  <c r="AJ1374" i="3"/>
  <c r="AN1374" i="3"/>
  <c r="AP1374" i="3"/>
  <c r="AR1374" i="3"/>
  <c r="AT1374" i="3"/>
  <c r="AH1375" i="3"/>
  <c r="AJ1375" i="3"/>
  <c r="AN1375" i="3"/>
  <c r="AP1375" i="3"/>
  <c r="AR1375" i="3"/>
  <c r="AT1375" i="3"/>
  <c r="AN1376" i="3"/>
  <c r="AP1376" i="3"/>
  <c r="AR1376" i="3"/>
  <c r="AT1376" i="3"/>
  <c r="AJ1377" i="3"/>
  <c r="AN1377" i="3"/>
  <c r="AP1377" i="3"/>
  <c r="AR1377" i="3"/>
  <c r="AT1377" i="3"/>
  <c r="AJ1378" i="3"/>
  <c r="AN1378" i="3"/>
  <c r="AP1378" i="3"/>
  <c r="AR1378" i="3"/>
  <c r="AT1378" i="3"/>
  <c r="AN1379" i="3"/>
  <c r="AP1379" i="3"/>
  <c r="AR1379" i="3"/>
  <c r="AT1379" i="3"/>
  <c r="AJ1380" i="3"/>
  <c r="AL1380" i="3"/>
  <c r="AN1380" i="3"/>
  <c r="AP1380" i="3"/>
  <c r="AR1380" i="3"/>
  <c r="AT1380" i="3"/>
  <c r="AJ1381" i="3"/>
  <c r="AN1381" i="3"/>
  <c r="AP1381" i="3"/>
  <c r="AR1381" i="3"/>
  <c r="AT1381" i="3"/>
  <c r="AJ1382" i="3"/>
  <c r="AN1382" i="3"/>
  <c r="AP1382" i="3"/>
  <c r="AR1382" i="3"/>
  <c r="AT1382" i="3"/>
  <c r="AN1383" i="3"/>
  <c r="AP1383" i="3"/>
  <c r="AR1383" i="3"/>
  <c r="AT1383" i="3"/>
  <c r="AJ1384" i="3"/>
  <c r="AL1384" i="3"/>
  <c r="AN1384" i="3"/>
  <c r="AP1384" i="3"/>
  <c r="AR1384" i="3"/>
  <c r="AT1384" i="3"/>
  <c r="AN1385" i="3"/>
  <c r="AP1385" i="3"/>
  <c r="AR1385" i="3"/>
  <c r="AT1385" i="3"/>
  <c r="AJ1386" i="3"/>
  <c r="AN1386" i="3"/>
  <c r="AP1386" i="3"/>
  <c r="AR1386" i="3"/>
  <c r="AT1386" i="3"/>
  <c r="AN1387" i="3"/>
  <c r="AP1387" i="3"/>
  <c r="AR1387" i="3"/>
  <c r="AT1387" i="3"/>
  <c r="AH1388" i="3"/>
  <c r="AN1388" i="3"/>
  <c r="AP1388" i="3"/>
  <c r="AR1388" i="3"/>
  <c r="AT1388" i="3"/>
  <c r="AJ1389" i="3"/>
  <c r="AN1389" i="3"/>
  <c r="AP1389" i="3"/>
  <c r="AR1389" i="3"/>
  <c r="AT1389" i="3"/>
  <c r="AJ1390" i="3"/>
  <c r="AL1390" i="3"/>
  <c r="AN1390" i="3"/>
  <c r="AP1390" i="3"/>
  <c r="AR1390" i="3"/>
  <c r="AT1390" i="3"/>
  <c r="AH1391" i="3"/>
  <c r="AJ1391" i="3"/>
  <c r="AL1391" i="3"/>
  <c r="AN1391" i="3"/>
  <c r="AP1391" i="3"/>
  <c r="AR1391" i="3"/>
  <c r="AT1391" i="3"/>
  <c r="AH1392" i="3"/>
  <c r="AJ1392" i="3"/>
  <c r="AL1392" i="3"/>
  <c r="AN1392" i="3"/>
  <c r="AP1392" i="3"/>
  <c r="AR1392" i="3"/>
  <c r="AT1392" i="3"/>
  <c r="AJ1393" i="3"/>
  <c r="AL1393" i="3"/>
  <c r="AN1393" i="3"/>
  <c r="AP1393" i="3"/>
  <c r="AR1393" i="3"/>
  <c r="AT1393" i="3"/>
  <c r="AN1394" i="3"/>
  <c r="AP1394" i="3"/>
  <c r="AR1394" i="3"/>
  <c r="AT1394" i="3"/>
  <c r="AL1395" i="3"/>
  <c r="AN1395" i="3"/>
  <c r="AP1395" i="3"/>
  <c r="AR1395" i="3"/>
  <c r="AT1395" i="3"/>
  <c r="AN1396" i="3"/>
  <c r="AP1396" i="3"/>
  <c r="AR1396" i="3"/>
  <c r="AT1396" i="3"/>
  <c r="AN1397" i="3"/>
  <c r="AP1397" i="3"/>
  <c r="AR1397" i="3"/>
  <c r="AT1397" i="3"/>
  <c r="AN1398" i="3"/>
  <c r="AP1398" i="3"/>
  <c r="AR1398" i="3"/>
  <c r="AT1398" i="3"/>
  <c r="AJ1399" i="3"/>
  <c r="AL1399" i="3"/>
  <c r="AN1399" i="3"/>
  <c r="AP1399" i="3"/>
  <c r="AR1399" i="3"/>
  <c r="AT1399" i="3"/>
  <c r="AH1400" i="3"/>
  <c r="AJ1400" i="3"/>
  <c r="AL1400" i="3"/>
  <c r="AN1400" i="3"/>
  <c r="AP1400" i="3"/>
  <c r="AR1400" i="3"/>
  <c r="AT1400" i="3"/>
  <c r="AJ1401" i="3"/>
  <c r="AN1401" i="3"/>
  <c r="AP1401" i="3"/>
  <c r="AR1401" i="3"/>
  <c r="AT1401" i="3"/>
  <c r="AN1402" i="3"/>
  <c r="AP1402" i="3"/>
  <c r="AR1402" i="3"/>
  <c r="AT1402" i="3"/>
  <c r="AJ1403" i="3"/>
  <c r="AL1403" i="3"/>
  <c r="AN1403" i="3"/>
  <c r="AP1403" i="3"/>
  <c r="AR1403" i="3"/>
  <c r="AT1403" i="3"/>
  <c r="AH1404" i="3"/>
  <c r="AJ1404" i="3"/>
  <c r="AL1404" i="3"/>
  <c r="AN1404" i="3"/>
  <c r="AP1404" i="3"/>
  <c r="AR1404" i="3"/>
  <c r="AT1404" i="3"/>
  <c r="AJ1405" i="3"/>
  <c r="AL1405" i="3"/>
  <c r="AN1405" i="3"/>
  <c r="AP1405" i="3"/>
  <c r="AR1405" i="3"/>
  <c r="AT1405" i="3"/>
  <c r="AN1406" i="3"/>
  <c r="AP1406" i="3"/>
  <c r="AR1406" i="3"/>
  <c r="AT1406" i="3"/>
  <c r="AH1407" i="3"/>
  <c r="AJ1407" i="3"/>
  <c r="AL1407" i="3"/>
  <c r="AN1407" i="3"/>
  <c r="AP1407" i="3"/>
  <c r="AR1407" i="3"/>
  <c r="AT1407" i="3"/>
  <c r="AJ1408" i="3"/>
  <c r="AL1408" i="3"/>
  <c r="AN1408" i="3"/>
  <c r="AP1408" i="3"/>
  <c r="AR1408" i="3"/>
  <c r="AT1408" i="3"/>
  <c r="AJ1409" i="3"/>
  <c r="AN1409" i="3"/>
  <c r="AP1409" i="3"/>
  <c r="AR1409" i="3"/>
  <c r="AT1409" i="3"/>
  <c r="AJ1410" i="3"/>
  <c r="AN1410" i="3"/>
  <c r="AP1410" i="3"/>
  <c r="AR1410" i="3"/>
  <c r="AT1410" i="3"/>
  <c r="AN1411" i="3"/>
  <c r="AP1411" i="3"/>
  <c r="AR1411" i="3"/>
  <c r="AT1411" i="3"/>
  <c r="AJ1412" i="3"/>
  <c r="AL1412" i="3"/>
  <c r="AN1412" i="3"/>
  <c r="AP1412" i="3"/>
  <c r="AR1412" i="3"/>
  <c r="AT1412" i="3"/>
  <c r="AJ1413" i="3"/>
  <c r="AL1413" i="3"/>
  <c r="AN1413" i="3"/>
  <c r="AP1413" i="3"/>
  <c r="AR1413" i="3"/>
  <c r="AT1413" i="3"/>
  <c r="AJ1414" i="3"/>
  <c r="AN1414" i="3"/>
  <c r="AP1414" i="3"/>
  <c r="AR1414" i="3"/>
  <c r="AT1414" i="3"/>
  <c r="AJ1415" i="3"/>
  <c r="AL1415" i="3"/>
  <c r="AN1415" i="3"/>
  <c r="AP1415" i="3"/>
  <c r="AR1415" i="3"/>
  <c r="AT1415" i="3"/>
  <c r="AH1416" i="3"/>
  <c r="AN1416" i="3"/>
  <c r="AP1416" i="3"/>
  <c r="AR1416" i="3"/>
  <c r="AT1416" i="3"/>
  <c r="AN1417" i="3"/>
  <c r="AP1417" i="3"/>
  <c r="AR1417" i="3"/>
  <c r="AT1417" i="3"/>
  <c r="AJ1418" i="3"/>
  <c r="AN1418" i="3"/>
  <c r="AP1418" i="3"/>
  <c r="AR1418" i="3"/>
  <c r="AT1418" i="3"/>
  <c r="AN1419" i="3"/>
  <c r="AP1419" i="3"/>
  <c r="AR1419" i="3"/>
  <c r="AT1419" i="3"/>
  <c r="AN1420" i="3"/>
  <c r="AP1420" i="3"/>
  <c r="AR1420" i="3"/>
  <c r="AT1420" i="3"/>
  <c r="AJ1421" i="3"/>
  <c r="AL1421" i="3"/>
  <c r="AN1421" i="3"/>
  <c r="AP1421" i="3"/>
  <c r="AR1421" i="3"/>
  <c r="AT1421" i="3"/>
  <c r="AN1422" i="3"/>
  <c r="AP1422" i="3"/>
  <c r="AR1422" i="3"/>
  <c r="AT1422" i="3"/>
  <c r="AH1423" i="3"/>
  <c r="AJ1423" i="3"/>
  <c r="AL1423" i="3"/>
  <c r="AN1423" i="3"/>
  <c r="AP1423" i="3"/>
  <c r="AR1423" i="3"/>
  <c r="AT1423" i="3"/>
  <c r="AJ1424" i="3"/>
  <c r="AN1424" i="3"/>
  <c r="AP1424" i="3"/>
  <c r="AR1424" i="3"/>
  <c r="AT1424" i="3"/>
  <c r="AJ1425" i="3"/>
  <c r="AN1425" i="3"/>
  <c r="AP1425" i="3"/>
  <c r="AR1425" i="3"/>
  <c r="AT1425" i="3"/>
  <c r="AN1426" i="3"/>
  <c r="AP1426" i="3"/>
  <c r="AR1426" i="3"/>
  <c r="AT1426" i="3"/>
  <c r="AN1427" i="3"/>
  <c r="AP1427" i="3"/>
  <c r="AR1427" i="3"/>
  <c r="AT1427" i="3"/>
  <c r="AN1428" i="3"/>
  <c r="AP1428" i="3"/>
  <c r="AR1428" i="3"/>
  <c r="AT1428" i="3"/>
  <c r="AN1429" i="3"/>
  <c r="AP1429" i="3"/>
  <c r="AR1429" i="3"/>
  <c r="AT1429" i="3"/>
  <c r="AJ1430" i="3"/>
  <c r="AN1430" i="3"/>
  <c r="AP1430" i="3"/>
  <c r="AR1430" i="3"/>
  <c r="AT1430" i="3"/>
  <c r="AN1431" i="3"/>
  <c r="AP1431" i="3"/>
  <c r="AR1431" i="3"/>
  <c r="AT1431" i="3"/>
  <c r="AN1432" i="3"/>
  <c r="AP1432" i="3"/>
  <c r="AR1432" i="3"/>
  <c r="AT1432" i="3"/>
  <c r="AN1433" i="3"/>
  <c r="AP1433" i="3"/>
  <c r="AR1433" i="3"/>
  <c r="AT1433" i="3"/>
  <c r="AN1434" i="3"/>
  <c r="AP1434" i="3"/>
  <c r="AR1434" i="3"/>
  <c r="AT1434" i="3"/>
  <c r="AJ1435" i="3"/>
  <c r="AL1435" i="3"/>
  <c r="AN1435" i="3"/>
  <c r="AP1435" i="3"/>
  <c r="AR1435" i="3"/>
  <c r="AT1435" i="3"/>
  <c r="AN1436" i="3"/>
  <c r="AP1436" i="3"/>
  <c r="AR1436" i="3"/>
  <c r="AT1436" i="3"/>
  <c r="AJ1437" i="3"/>
  <c r="AL1437" i="3"/>
  <c r="AN1437" i="3"/>
  <c r="AP1437" i="3"/>
  <c r="AR1437" i="3"/>
  <c r="AT1437" i="3"/>
  <c r="AN1438" i="3"/>
  <c r="AP1438" i="3"/>
  <c r="AR1438" i="3"/>
  <c r="AT1438" i="3"/>
  <c r="AJ1439" i="3"/>
  <c r="AL1439" i="3"/>
  <c r="AN1439" i="3"/>
  <c r="AP1439" i="3"/>
  <c r="AR1439" i="3"/>
  <c r="AT1439" i="3"/>
  <c r="AH1440" i="3"/>
  <c r="AJ1440" i="3"/>
  <c r="AN1440" i="3"/>
  <c r="AP1440" i="3"/>
  <c r="AR1440" i="3"/>
  <c r="AT1440" i="3"/>
  <c r="AN1441" i="3"/>
  <c r="AP1441" i="3"/>
  <c r="AR1441" i="3"/>
  <c r="AT1441" i="3"/>
  <c r="AN1442" i="3"/>
  <c r="AP1442" i="3"/>
  <c r="AR1442" i="3"/>
  <c r="AT1442" i="3"/>
  <c r="AJ1443" i="3"/>
  <c r="AL1443" i="3"/>
  <c r="AN1443" i="3"/>
  <c r="AP1443" i="3"/>
  <c r="AR1443" i="3"/>
  <c r="AT1443" i="3"/>
  <c r="AN1444" i="3"/>
  <c r="AP1444" i="3"/>
  <c r="AR1444" i="3"/>
  <c r="AT1444" i="3"/>
  <c r="AN1446" i="3"/>
  <c r="AP1446" i="3"/>
  <c r="AR1446" i="3"/>
  <c r="AT1446" i="3"/>
  <c r="AT3" i="3"/>
  <c r="AR3" i="3"/>
  <c r="AP3" i="3"/>
  <c r="AN3" i="3"/>
  <c r="AL3" i="3"/>
  <c r="AJ3" i="3"/>
  <c r="AB1446" i="3" l="1"/>
  <c r="P1446" i="3"/>
  <c r="AB1444" i="3"/>
  <c r="P1444" i="3"/>
  <c r="AB1443" i="3"/>
  <c r="P1443" i="3"/>
  <c r="AB1442" i="3"/>
  <c r="P1442" i="3"/>
  <c r="AB1441" i="3"/>
  <c r="P1441" i="3"/>
  <c r="AB1440" i="3"/>
  <c r="P1440" i="3"/>
  <c r="AB1439" i="3"/>
  <c r="P1439" i="3"/>
  <c r="AB1438" i="3"/>
  <c r="P1438" i="3"/>
  <c r="AB1437" i="3"/>
  <c r="P1437" i="3"/>
  <c r="AB1436" i="3"/>
  <c r="P1436" i="3"/>
  <c r="AB1435" i="3"/>
  <c r="P1435" i="3"/>
  <c r="AB1434" i="3"/>
  <c r="P1434" i="3"/>
  <c r="AB1433" i="3"/>
  <c r="P1433" i="3"/>
  <c r="AB1432" i="3"/>
  <c r="P1432" i="3"/>
  <c r="P1431" i="3"/>
  <c r="AB1430" i="3"/>
  <c r="P1430" i="3"/>
  <c r="AB1429" i="3"/>
  <c r="P1429" i="3"/>
  <c r="AB1428" i="3"/>
  <c r="P1428" i="3"/>
  <c r="AB1427" i="3"/>
  <c r="P1427" i="3"/>
  <c r="AB1426" i="3"/>
  <c r="P1426" i="3"/>
  <c r="AB1425" i="3"/>
  <c r="P1425" i="3"/>
  <c r="AB1424" i="3"/>
  <c r="P1424" i="3"/>
  <c r="AB1423" i="3"/>
  <c r="P1423" i="3"/>
  <c r="AB1422" i="3"/>
  <c r="P1422" i="3"/>
  <c r="AB1421" i="3"/>
  <c r="P1421" i="3"/>
  <c r="AB1420" i="3"/>
  <c r="P1420" i="3"/>
  <c r="AB1419" i="3"/>
  <c r="P1419" i="3"/>
  <c r="AB1418" i="3"/>
  <c r="P1418" i="3"/>
  <c r="AB1417" i="3"/>
  <c r="P1417" i="3"/>
  <c r="P1416" i="3"/>
  <c r="AB1415" i="3"/>
  <c r="P1415" i="3"/>
  <c r="AB1414" i="3"/>
  <c r="P1414" i="3"/>
  <c r="AB1413" i="3"/>
  <c r="P1413" i="3"/>
  <c r="AB1412" i="3"/>
  <c r="P1412" i="3"/>
  <c r="AB1411" i="3"/>
  <c r="P1411" i="3"/>
  <c r="AB1410" i="3"/>
  <c r="P1410" i="3"/>
  <c r="AB1409" i="3"/>
  <c r="P1409" i="3"/>
  <c r="AB1408" i="3"/>
  <c r="P1408" i="3"/>
  <c r="AB1407" i="3"/>
  <c r="P1407" i="3"/>
  <c r="T1407" i="3" s="1"/>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B1384" i="3"/>
  <c r="P1384" i="3"/>
  <c r="AB1383" i="3"/>
  <c r="P1383" i="3"/>
  <c r="AB1382" i="3"/>
  <c r="P1382" i="3"/>
  <c r="AB1381" i="3"/>
  <c r="P1381" i="3"/>
  <c r="AB1380" i="3"/>
  <c r="P1380" i="3"/>
  <c r="P1379" i="3"/>
  <c r="AB1378" i="3"/>
  <c r="P1378" i="3"/>
  <c r="AB1377" i="3"/>
  <c r="P1377" i="3"/>
  <c r="AB1376" i="3"/>
  <c r="P1376" i="3"/>
  <c r="AB1375" i="3"/>
  <c r="P1375" i="3"/>
  <c r="AB1374" i="3"/>
  <c r="P1374" i="3"/>
  <c r="AD1374" i="3" s="1"/>
  <c r="AB1373" i="3"/>
  <c r="P1373" i="3"/>
  <c r="T1373" i="3" s="1"/>
  <c r="AB1372" i="3"/>
  <c r="P1372" i="3"/>
  <c r="AB1371" i="3"/>
  <c r="P1371" i="3"/>
  <c r="AB1369" i="3"/>
  <c r="P1369" i="3"/>
  <c r="AB1368" i="3"/>
  <c r="P1368" i="3"/>
  <c r="AB1367" i="3"/>
  <c r="P1367" i="3"/>
  <c r="AB1366" i="3"/>
  <c r="P1366" i="3"/>
  <c r="AB1365" i="3"/>
  <c r="P1365" i="3"/>
  <c r="AD1365" i="3" s="1"/>
  <c r="AB1364" i="3"/>
  <c r="P1364" i="3"/>
  <c r="AB1363" i="3"/>
  <c r="P1363" i="3"/>
  <c r="AD1363" i="3" s="1"/>
  <c r="AB1362" i="3"/>
  <c r="P1362" i="3"/>
  <c r="AB1361" i="3"/>
  <c r="P1361" i="3"/>
  <c r="AB1360" i="3"/>
  <c r="P1360" i="3"/>
  <c r="AB1359" i="3"/>
  <c r="P1359" i="3"/>
  <c r="AB1358" i="3"/>
  <c r="P1358" i="3"/>
  <c r="AB1357" i="3"/>
  <c r="P1357" i="3"/>
  <c r="AB1356" i="3"/>
  <c r="P1356" i="3"/>
  <c r="AB1355" i="3"/>
  <c r="P1355" i="3"/>
  <c r="AB1354" i="3"/>
  <c r="P1354" i="3"/>
  <c r="AB1353" i="3"/>
  <c r="P1353" i="3"/>
  <c r="AB1352" i="3"/>
  <c r="P1352" i="3"/>
  <c r="AD1352" i="3" s="1"/>
  <c r="AB1351" i="3"/>
  <c r="P1351" i="3"/>
  <c r="AB1350" i="3"/>
  <c r="P1350" i="3"/>
  <c r="AB1349" i="3"/>
  <c r="P1349" i="3"/>
  <c r="AD1349" i="3" s="1"/>
  <c r="AB1348" i="3"/>
  <c r="P1348" i="3"/>
  <c r="AB1347" i="3"/>
  <c r="P1347" i="3"/>
  <c r="AB1346" i="3"/>
  <c r="P1346" i="3"/>
  <c r="AB1345" i="3"/>
  <c r="P1345" i="3"/>
  <c r="AB1344" i="3"/>
  <c r="P1344" i="3"/>
  <c r="AB1343" i="3"/>
  <c r="P1343" i="3"/>
  <c r="AB1342" i="3"/>
  <c r="P1342" i="3"/>
  <c r="AD1342" i="3" s="1"/>
  <c r="AB1341" i="3"/>
  <c r="P1341" i="3"/>
  <c r="Q1341" i="3" s="1"/>
  <c r="AB1340" i="3"/>
  <c r="P1340" i="3"/>
  <c r="AB1339" i="3"/>
  <c r="P1339" i="3"/>
  <c r="AB1338" i="3"/>
  <c r="P1338" i="3"/>
  <c r="Q1338" i="3" s="1"/>
  <c r="AB1337" i="3"/>
  <c r="P1337" i="3"/>
  <c r="AB1336" i="3"/>
  <c r="P1336" i="3"/>
  <c r="AB1335" i="3"/>
  <c r="P1335" i="3"/>
  <c r="AB1334" i="3"/>
  <c r="P1334" i="3"/>
  <c r="AD1334" i="3" s="1"/>
  <c r="AB1333" i="3"/>
  <c r="P1333" i="3"/>
  <c r="AB1332" i="3"/>
  <c r="P1332" i="3"/>
  <c r="AB1331" i="3"/>
  <c r="P1331" i="3"/>
  <c r="AB1330" i="3"/>
  <c r="P1330" i="3"/>
  <c r="AB1329" i="3"/>
  <c r="P1329" i="3"/>
  <c r="AB1328" i="3"/>
  <c r="P1328"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B1305" i="3"/>
  <c r="P1305" i="3"/>
  <c r="AB1304" i="3"/>
  <c r="P1304" i="3"/>
  <c r="AB1303" i="3"/>
  <c r="P1303" i="3"/>
  <c r="AB1302" i="3"/>
  <c r="P1302" i="3"/>
  <c r="AB1301" i="3"/>
  <c r="P1301" i="3"/>
  <c r="AB1300" i="3"/>
  <c r="P1300" i="3"/>
  <c r="AD1300" i="3" s="1"/>
  <c r="AB1299" i="3"/>
  <c r="P1299" i="3"/>
  <c r="AB1298" i="3"/>
  <c r="P1298" i="3"/>
  <c r="AB1297" i="3"/>
  <c r="P1297" i="3"/>
  <c r="AB1296" i="3"/>
  <c r="P1296" i="3"/>
  <c r="Q1296" i="3" s="1"/>
  <c r="AB1295" i="3"/>
  <c r="P1295" i="3"/>
  <c r="AB1294" i="3"/>
  <c r="P1294" i="3"/>
  <c r="AD1294" i="3" s="1"/>
  <c r="AB1293" i="3"/>
  <c r="P1293" i="3"/>
  <c r="AB1292" i="3"/>
  <c r="P1292" i="3"/>
  <c r="AB1291" i="3"/>
  <c r="P1291" i="3"/>
  <c r="AB1290" i="3"/>
  <c r="P1290" i="3"/>
  <c r="AB1289" i="3"/>
  <c r="P1289" i="3"/>
  <c r="AD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B1273" i="3"/>
  <c r="P1273" i="3"/>
  <c r="AB1272" i="3"/>
  <c r="P1272" i="3"/>
  <c r="AB1271" i="3"/>
  <c r="P1271" i="3"/>
  <c r="AB1269" i="3"/>
  <c r="P1269" i="3"/>
  <c r="AB1268" i="3"/>
  <c r="P1268" i="3"/>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P1254" i="3"/>
  <c r="AD1254" i="3" s="1"/>
  <c r="AB1253" i="3"/>
  <c r="P1253" i="3"/>
  <c r="AB1252" i="3"/>
  <c r="P1252" i="3"/>
  <c r="AB1251" i="3"/>
  <c r="P1251" i="3"/>
  <c r="Q1251" i="3" s="1"/>
  <c r="AB1250" i="3"/>
  <c r="P1250" i="3"/>
  <c r="AB1249" i="3"/>
  <c r="P1249" i="3"/>
  <c r="AB1248" i="3"/>
  <c r="P1248" i="3"/>
  <c r="AB1247" i="3"/>
  <c r="P1247" i="3"/>
  <c r="AB1246" i="3"/>
  <c r="P1246" i="3"/>
  <c r="AB1245" i="3"/>
  <c r="P1245" i="3"/>
  <c r="Q1245" i="3" s="1"/>
  <c r="AB1244" i="3"/>
  <c r="P1244" i="3"/>
  <c r="AB1243" i="3"/>
  <c r="P1243" i="3"/>
  <c r="AB1242" i="3"/>
  <c r="P1242" i="3"/>
  <c r="AB1241" i="3"/>
  <c r="P1241" i="3"/>
  <c r="Q1241" i="3" s="1"/>
  <c r="AB1240" i="3"/>
  <c r="P1240" i="3"/>
  <c r="AB1239" i="3"/>
  <c r="P1239" i="3"/>
  <c r="AB1238" i="3"/>
  <c r="P1238" i="3"/>
  <c r="AB1237" i="3"/>
  <c r="P1237" i="3"/>
  <c r="AD1237" i="3" s="1"/>
  <c r="AB1236" i="3"/>
  <c r="P1236" i="3"/>
  <c r="AB1235" i="3"/>
  <c r="P1235" i="3"/>
  <c r="AB1234" i="3"/>
  <c r="P1234" i="3"/>
  <c r="AB1233" i="3"/>
  <c r="P1233" i="3"/>
  <c r="AB1232" i="3"/>
  <c r="P1232" i="3"/>
  <c r="AD1232" i="3" s="1"/>
  <c r="AB1231" i="3"/>
  <c r="P1231" i="3"/>
  <c r="AB1230" i="3"/>
  <c r="P1230" i="3"/>
  <c r="AB1229" i="3"/>
  <c r="P1229" i="3"/>
  <c r="AB1228" i="3"/>
  <c r="P1228" i="3"/>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B1183" i="3"/>
  <c r="P1183" i="3"/>
  <c r="AB1182" i="3"/>
  <c r="P1182" i="3"/>
  <c r="AB1181" i="3"/>
  <c r="P1181" i="3"/>
  <c r="AD1181" i="3" s="1"/>
  <c r="AB1180" i="3"/>
  <c r="P1180" i="3"/>
  <c r="AB1179" i="3"/>
  <c r="P1179" i="3"/>
  <c r="Q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AB1170" i="3"/>
  <c r="P1170" i="3"/>
  <c r="AD1170" i="3" s="1"/>
  <c r="AB1169" i="3"/>
  <c r="P1169" i="3"/>
  <c r="AB1168" i="3"/>
  <c r="P1168" i="3"/>
  <c r="T1168" i="3" s="1"/>
  <c r="AB1167" i="3"/>
  <c r="P1167" i="3"/>
  <c r="AB1166" i="3"/>
  <c r="P1166" i="3"/>
  <c r="AB1165" i="3"/>
  <c r="P1165" i="3"/>
  <c r="AD1165" i="3" s="1"/>
  <c r="AB1164" i="3"/>
  <c r="P1164" i="3"/>
  <c r="AD1164" i="3" s="1"/>
  <c r="AB1163" i="3"/>
  <c r="P1163" i="3"/>
  <c r="Q1163" i="3" s="1"/>
  <c r="AB1162" i="3"/>
  <c r="P1162" i="3"/>
  <c r="T1162" i="3" s="1"/>
  <c r="AB1161" i="3"/>
  <c r="P1161" i="3"/>
  <c r="P1160" i="3"/>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AB1112" i="3"/>
  <c r="P1112" i="3"/>
  <c r="P1111" i="3"/>
  <c r="AB1110" i="3"/>
  <c r="P1110" i="3"/>
  <c r="AD1110" i="3" s="1"/>
  <c r="AB1109" i="3"/>
  <c r="P1109" i="3"/>
  <c r="AB1108" i="3"/>
  <c r="P1108" i="3"/>
  <c r="AB1107" i="3"/>
  <c r="P1107" i="3"/>
  <c r="AB1106" i="3"/>
  <c r="P1106" i="3"/>
  <c r="AB1105" i="3"/>
  <c r="P1105" i="3"/>
  <c r="AB1104" i="3"/>
  <c r="P1104" i="3"/>
  <c r="Q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AB1094" i="3"/>
  <c r="P1094" i="3"/>
  <c r="AB1093" i="3"/>
  <c r="P1093" i="3"/>
  <c r="T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AB1081" i="3"/>
  <c r="P1081" i="3"/>
  <c r="T1081" i="3" s="1"/>
  <c r="AB1080" i="3"/>
  <c r="P1080" i="3"/>
  <c r="Q1080" i="3" s="1"/>
  <c r="AB1079" i="3"/>
  <c r="P1079" i="3"/>
  <c r="T1079" i="3" s="1"/>
  <c r="AB1078" i="3"/>
  <c r="P1078" i="3"/>
  <c r="T1078" i="3" s="1"/>
  <c r="AB1077" i="3"/>
  <c r="P1077" i="3"/>
  <c r="Q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B1055" i="3"/>
  <c r="P1055" i="3"/>
  <c r="AB1054" i="3"/>
  <c r="P1054" i="3"/>
  <c r="AB1053" i="3"/>
  <c r="P1053" i="3"/>
  <c r="AB1052" i="3"/>
  <c r="P1052" i="3"/>
  <c r="AB1051" i="3"/>
  <c r="P1051" i="3"/>
  <c r="AD1051" i="3" s="1"/>
  <c r="AB1050" i="3"/>
  <c r="P1050" i="3"/>
  <c r="T1050" i="3" s="1"/>
  <c r="AB1049" i="3"/>
  <c r="P1049" i="3"/>
  <c r="T1049" i="3" s="1"/>
  <c r="AB1048" i="3"/>
  <c r="P1048" i="3"/>
  <c r="P1047" i="3"/>
  <c r="AB1046" i="3"/>
  <c r="P1046" i="3"/>
  <c r="AB1045" i="3"/>
  <c r="P1045" i="3"/>
  <c r="T1045" i="3" s="1"/>
  <c r="AB1044" i="3"/>
  <c r="P1044" i="3"/>
  <c r="AB1043" i="3"/>
  <c r="P1043" i="3"/>
  <c r="AB1042" i="3"/>
  <c r="P1042" i="3"/>
  <c r="AB1041" i="3"/>
  <c r="P1041" i="3"/>
  <c r="AB1040" i="3"/>
  <c r="P1040" i="3"/>
  <c r="AB1039" i="3"/>
  <c r="P1039" i="3"/>
  <c r="AB1038" i="3"/>
  <c r="P1038" i="3"/>
  <c r="AB1037" i="3"/>
  <c r="P1037" i="3"/>
  <c r="AD1037" i="3" s="1"/>
  <c r="AB1036" i="3"/>
  <c r="P1036" i="3"/>
  <c r="AB1035" i="3"/>
  <c r="P1035" i="3"/>
  <c r="AB1034" i="3"/>
  <c r="P1034" i="3"/>
  <c r="AB1033" i="3"/>
  <c r="P1033" i="3"/>
  <c r="AB1032" i="3"/>
  <c r="P1032" i="3"/>
  <c r="AD1032" i="3" s="1"/>
  <c r="AB1031" i="3"/>
  <c r="P1031" i="3"/>
  <c r="AB1030" i="3"/>
  <c r="P1030" i="3"/>
  <c r="AB1029" i="3"/>
  <c r="P1029" i="3"/>
  <c r="AB1028" i="3"/>
  <c r="P1028" i="3"/>
  <c r="AB1027" i="3"/>
  <c r="P1027" i="3"/>
  <c r="AB1026" i="3"/>
  <c r="P1026" i="3"/>
  <c r="AD1026" i="3" s="1"/>
  <c r="AB1025" i="3"/>
  <c r="P1025" i="3"/>
  <c r="AB1024" i="3"/>
  <c r="P1024" i="3"/>
  <c r="AB1023" i="3"/>
  <c r="P1023" i="3"/>
  <c r="AB1021" i="3"/>
  <c r="P1021" i="3"/>
  <c r="AB1020" i="3"/>
  <c r="P1020" i="3"/>
  <c r="AB1019" i="3"/>
  <c r="P1019" i="3"/>
  <c r="AD1019" i="3" s="1"/>
  <c r="AB1018" i="3"/>
  <c r="P1018" i="3"/>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AB1007" i="3"/>
  <c r="P1007" i="3"/>
  <c r="AB1006" i="3"/>
  <c r="P1006" i="3"/>
  <c r="Q1006" i="3" s="1"/>
  <c r="AB1005" i="3"/>
  <c r="P1005" i="3"/>
  <c r="AB1004" i="3"/>
  <c r="P1004" i="3"/>
  <c r="AB1003" i="3"/>
  <c r="P1003" i="3"/>
  <c r="AB1002" i="3"/>
  <c r="P1002" i="3"/>
  <c r="AB1001" i="3"/>
  <c r="P1001" i="3"/>
  <c r="AB1000" i="3"/>
  <c r="P1000" i="3"/>
  <c r="AB999" i="3"/>
  <c r="P999" i="3"/>
  <c r="T999" i="3" s="1"/>
  <c r="AB998" i="3"/>
  <c r="P998" i="3"/>
  <c r="Q998" i="3" s="1"/>
  <c r="AB997" i="3"/>
  <c r="P997" i="3"/>
  <c r="AB996" i="3"/>
  <c r="P996" i="3"/>
  <c r="AB995" i="3"/>
  <c r="P995" i="3"/>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Q946" i="3" s="1"/>
  <c r="AB945" i="3"/>
  <c r="P945" i="3"/>
  <c r="AB944" i="3"/>
  <c r="P944" i="3"/>
  <c r="T944" i="3" s="1"/>
  <c r="AB943" i="3"/>
  <c r="P943" i="3"/>
  <c r="AB942" i="3"/>
  <c r="P942" i="3"/>
  <c r="AB941" i="3"/>
  <c r="P941" i="3"/>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AD915" i="3" s="1"/>
  <c r="AB914" i="3"/>
  <c r="P914" i="3"/>
  <c r="T914" i="3" s="1"/>
  <c r="AB913" i="3"/>
  <c r="P913" i="3"/>
  <c r="AB912" i="3"/>
  <c r="P912" i="3"/>
  <c r="Q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T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Q750" i="3" s="1"/>
  <c r="AB749" i="3"/>
  <c r="P749" i="3"/>
  <c r="AB748" i="3"/>
  <c r="P748" i="3"/>
  <c r="Q748" i="3" s="1"/>
  <c r="AB747" i="3"/>
  <c r="P747" i="3"/>
  <c r="AD747" i="3" s="1"/>
  <c r="AB746" i="3"/>
  <c r="P746" i="3"/>
  <c r="T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AD599" i="3" s="1"/>
  <c r="AB598" i="3"/>
  <c r="P598" i="3"/>
  <c r="T598" i="3" s="1"/>
  <c r="AB597" i="3"/>
  <c r="P597" i="3"/>
  <c r="AB596" i="3"/>
  <c r="P596" i="3"/>
  <c r="AB595" i="3"/>
  <c r="P595" i="3"/>
  <c r="AB594" i="3"/>
  <c r="P594" i="3"/>
  <c r="AD594" i="3" s="1"/>
  <c r="AB593" i="3"/>
  <c r="P593" i="3"/>
  <c r="AD593" i="3" s="1"/>
  <c r="AB592" i="3"/>
  <c r="P592" i="3"/>
  <c r="T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Q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T551" i="3" s="1"/>
  <c r="AB550" i="3"/>
  <c r="P550" i="3"/>
  <c r="AB549" i="3"/>
  <c r="P549" i="3"/>
  <c r="Q549" i="3" s="1"/>
  <c r="AB548" i="3"/>
  <c r="P548" i="3"/>
  <c r="AB547" i="3"/>
  <c r="P547" i="3"/>
  <c r="AB546" i="3"/>
  <c r="P546" i="3"/>
  <c r="AB545" i="3"/>
  <c r="P545" i="3"/>
  <c r="AB544" i="3"/>
  <c r="P544" i="3"/>
  <c r="Q544" i="3" s="1"/>
  <c r="AB543" i="3"/>
  <c r="P543" i="3"/>
  <c r="AB542" i="3"/>
  <c r="P542" i="3"/>
  <c r="AB541" i="3"/>
  <c r="P541" i="3"/>
  <c r="T541" i="3" s="1"/>
  <c r="AB540" i="3"/>
  <c r="P540" i="3"/>
  <c r="AD540" i="3" s="1"/>
  <c r="AB539" i="3"/>
  <c r="P539" i="3"/>
  <c r="AB538" i="3"/>
  <c r="P538" i="3"/>
  <c r="AB537" i="3"/>
  <c r="P537" i="3"/>
  <c r="T537" i="3" s="1"/>
  <c r="AB536" i="3"/>
  <c r="P536" i="3"/>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T501" i="3" s="1"/>
  <c r="AB500" i="3"/>
  <c r="P500" i="3"/>
  <c r="AB499" i="3"/>
  <c r="P499" i="3"/>
  <c r="AB498" i="3"/>
  <c r="P498" i="3"/>
  <c r="T498" i="3" s="1"/>
  <c r="AB497" i="3"/>
  <c r="P497" i="3"/>
  <c r="AD497" i="3" s="1"/>
  <c r="AB496" i="3"/>
  <c r="P496" i="3"/>
  <c r="AB495" i="3"/>
  <c r="P495" i="3"/>
  <c r="AB494" i="3"/>
  <c r="P494" i="3"/>
  <c r="AB493" i="3"/>
  <c r="P493" i="3"/>
  <c r="AB492" i="3"/>
  <c r="P492" i="3"/>
  <c r="AB491" i="3"/>
  <c r="P491" i="3"/>
  <c r="AB490" i="3"/>
  <c r="P490" i="3"/>
  <c r="AB489" i="3"/>
  <c r="P489" i="3"/>
  <c r="AB488" i="3"/>
  <c r="P488" i="3"/>
  <c r="AB487" i="3"/>
  <c r="P487" i="3"/>
  <c r="AB486" i="3"/>
  <c r="P486" i="3"/>
  <c r="AB485" i="3"/>
  <c r="P485" i="3"/>
  <c r="AB484" i="3"/>
  <c r="P484" i="3"/>
  <c r="AB483" i="3"/>
  <c r="P483" i="3"/>
  <c r="AB482" i="3"/>
  <c r="P482" i="3"/>
  <c r="Q482" i="3" s="1"/>
  <c r="AB481" i="3"/>
  <c r="P481" i="3"/>
  <c r="AB480" i="3"/>
  <c r="P480" i="3"/>
  <c r="AB479" i="3"/>
  <c r="P479" i="3"/>
  <c r="Q479" i="3" s="1"/>
  <c r="AB478" i="3"/>
  <c r="P478" i="3"/>
  <c r="AB477" i="3"/>
  <c r="P477" i="3"/>
  <c r="AB476" i="3"/>
  <c r="P476" i="3"/>
  <c r="Q476" i="3" s="1"/>
  <c r="AB475" i="3"/>
  <c r="P475" i="3"/>
  <c r="Q475" i="3" s="1"/>
  <c r="AB474" i="3"/>
  <c r="P474" i="3"/>
  <c r="AB473" i="3"/>
  <c r="P473" i="3"/>
  <c r="AB472" i="3"/>
  <c r="P472" i="3"/>
  <c r="AB471" i="3"/>
  <c r="P471" i="3"/>
  <c r="AB470" i="3"/>
  <c r="P470" i="3"/>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Q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Q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AB288" i="3"/>
  <c r="P288" i="3"/>
  <c r="AB287" i="3"/>
  <c r="P287" i="3"/>
  <c r="AB286" i="3"/>
  <c r="P286" i="3"/>
  <c r="T286" i="3" s="1"/>
  <c r="AB285" i="3"/>
  <c r="P285" i="3"/>
  <c r="AB284" i="3"/>
  <c r="P284" i="3"/>
  <c r="AB283" i="3"/>
  <c r="P283" i="3"/>
  <c r="AB282" i="3"/>
  <c r="P282" i="3"/>
  <c r="T282" i="3" s="1"/>
  <c r="AB281" i="3"/>
  <c r="P281" i="3"/>
  <c r="T281" i="3" s="1"/>
  <c r="AB280" i="3"/>
  <c r="P280" i="3"/>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T63" i="3" s="1"/>
  <c r="AB62" i="3"/>
  <c r="P62" i="3"/>
  <c r="T62" i="3" s="1"/>
  <c r="AB61" i="3"/>
  <c r="P61" i="3"/>
  <c r="AB60" i="3"/>
  <c r="P60" i="3"/>
  <c r="AD60" i="3" s="1"/>
  <c r="AB59" i="3"/>
  <c r="P59" i="3"/>
  <c r="AB58" i="3"/>
  <c r="P58" i="3"/>
  <c r="AB57" i="3"/>
  <c r="P57" i="3"/>
  <c r="AB56" i="3"/>
  <c r="P56" i="3"/>
  <c r="AB55" i="3"/>
  <c r="P55" i="3"/>
  <c r="AB54" i="3"/>
  <c r="P54" i="3"/>
  <c r="AD54" i="3" s="1"/>
  <c r="AB53" i="3"/>
  <c r="P53" i="3"/>
  <c r="AB52" i="3"/>
  <c r="P52" i="3"/>
  <c r="AB51" i="3"/>
  <c r="P51" i="3"/>
  <c r="AB50" i="3"/>
  <c r="P50" i="3"/>
  <c r="AB49" i="3"/>
  <c r="P49" i="3"/>
  <c r="Q49" i="3" s="1"/>
  <c r="AB48" i="3"/>
  <c r="P48" i="3"/>
  <c r="AB47" i="3"/>
  <c r="P47" i="3"/>
  <c r="AD47" i="3" s="1"/>
  <c r="AB46" i="3"/>
  <c r="P46" i="3"/>
  <c r="T46" i="3" s="1"/>
  <c r="AB45" i="3"/>
  <c r="P45" i="3"/>
  <c r="AB44" i="3"/>
  <c r="P44" i="3"/>
  <c r="AB43" i="3"/>
  <c r="P43" i="3"/>
  <c r="T43" i="3" s="1"/>
  <c r="AB42" i="3"/>
  <c r="P42" i="3"/>
  <c r="AB41" i="3"/>
  <c r="P41" i="3"/>
  <c r="AD41" i="3" s="1"/>
  <c r="AB40" i="3"/>
  <c r="P40" i="3"/>
  <c r="AB39" i="3"/>
  <c r="P39" i="3"/>
  <c r="AB38" i="3"/>
  <c r="P38" i="3"/>
  <c r="AB37" i="3"/>
  <c r="P37" i="3"/>
  <c r="AB36" i="3"/>
  <c r="P36" i="3"/>
  <c r="AB35" i="3"/>
  <c r="P35" i="3"/>
  <c r="AB34" i="3"/>
  <c r="P34" i="3"/>
  <c r="AB33" i="3"/>
  <c r="P33" i="3"/>
  <c r="AB32" i="3"/>
  <c r="P32" i="3"/>
  <c r="AB31" i="3"/>
  <c r="P31" i="3"/>
  <c r="AB30" i="3"/>
  <c r="P30" i="3"/>
  <c r="AB29" i="3"/>
  <c r="P29" i="3"/>
  <c r="AD29" i="3" s="1"/>
  <c r="AB28" i="3"/>
  <c r="P28" i="3"/>
  <c r="AD28" i="3" s="1"/>
  <c r="AB27" i="3"/>
  <c r="P27" i="3"/>
  <c r="AB26" i="3"/>
  <c r="P26" i="3"/>
  <c r="AB25" i="3"/>
  <c r="P25" i="3"/>
  <c r="Q25" i="3" s="1"/>
  <c r="AB24" i="3"/>
  <c r="P24" i="3"/>
  <c r="AB23" i="3"/>
  <c r="P23" i="3"/>
  <c r="AB22" i="3"/>
  <c r="P22" i="3"/>
  <c r="AB21" i="3"/>
  <c r="P21" i="3"/>
  <c r="AB20" i="3"/>
  <c r="P20" i="3"/>
  <c r="AB19" i="3"/>
  <c r="P19" i="3"/>
  <c r="AB18" i="3"/>
  <c r="P18" i="3"/>
  <c r="AB17" i="3"/>
  <c r="P17" i="3"/>
  <c r="AD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B3" i="3"/>
  <c r="P3" i="3"/>
  <c r="H3" i="3"/>
  <c r="Q552" i="3" l="1"/>
  <c r="AD1364" i="3"/>
  <c r="AY1364" i="3"/>
  <c r="AZ1364" i="3" s="1"/>
  <c r="Q1063" i="3"/>
  <c r="T49" i="3"/>
  <c r="AD504" i="3"/>
  <c r="T454" i="3"/>
  <c r="AD746" i="3"/>
  <c r="T750" i="3"/>
  <c r="AY1029" i="3"/>
  <c r="T774" i="3"/>
  <c r="AD1168" i="3"/>
  <c r="T887" i="3"/>
  <c r="T301" i="3"/>
  <c r="Q523" i="3"/>
  <c r="I1022" i="3"/>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J1022" i="3"/>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Q556" i="3"/>
  <c r="K1022" i="3"/>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L1022" i="3"/>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M1022" i="3"/>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Q565" i="3"/>
  <c r="AD576" i="3"/>
  <c r="AD750" i="3"/>
  <c r="Q1237" i="3"/>
  <c r="N1022" i="3"/>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A1022" i="3"/>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T15" i="3"/>
  <c r="T406" i="3"/>
  <c r="T409" i="3"/>
  <c r="T552" i="3"/>
  <c r="AD998" i="3"/>
  <c r="T1104" i="3"/>
  <c r="Q1134" i="3"/>
  <c r="AD541" i="3"/>
  <c r="AD1104" i="3"/>
  <c r="Q746" i="3"/>
  <c r="Q458" i="3"/>
  <c r="T549" i="3"/>
  <c r="T599" i="3"/>
  <c r="AD766" i="3"/>
  <c r="Q900" i="3"/>
  <c r="T1237" i="3"/>
  <c r="AD1341" i="3"/>
  <c r="AD428" i="3"/>
  <c r="Q535" i="3"/>
  <c r="Q771" i="3"/>
  <c r="AD900" i="3"/>
  <c r="T946" i="3"/>
  <c r="Q433" i="3"/>
  <c r="Q532" i="3"/>
  <c r="T608" i="3"/>
  <c r="T742" i="3"/>
  <c r="AD904" i="3"/>
  <c r="Q908" i="3"/>
  <c r="Q1173" i="3"/>
  <c r="Q568" i="3"/>
  <c r="T762" i="3"/>
  <c r="AD1425" i="3"/>
  <c r="AZ1425" i="3" s="1"/>
  <c r="T41" i="3"/>
  <c r="Q295" i="3"/>
  <c r="AD417" i="3"/>
  <c r="AD479" i="3"/>
  <c r="AD592" i="3"/>
  <c r="AD770" i="3"/>
  <c r="AD790" i="3"/>
  <c r="Q794" i="3"/>
  <c r="AD927" i="3"/>
  <c r="Q981" i="3"/>
  <c r="Q991" i="3"/>
  <c r="T1077" i="3"/>
  <c r="Q1165" i="3"/>
  <c r="AD1276" i="3"/>
  <c r="AZ1276" i="3" s="1"/>
  <c r="AD549" i="3"/>
  <c r="T794" i="3"/>
  <c r="AD924" i="3"/>
  <c r="T991" i="3"/>
  <c r="T1165" i="3"/>
  <c r="T293" i="3"/>
  <c r="T322" i="3"/>
  <c r="Q514" i="3"/>
  <c r="Q574" i="3"/>
  <c r="Q622" i="3"/>
  <c r="T778" i="3"/>
  <c r="Q798" i="3"/>
  <c r="T908" i="3"/>
  <c r="T936" i="3"/>
  <c r="AD995" i="3"/>
  <c r="AZ995" i="3" s="1"/>
  <c r="T1006" i="3"/>
  <c r="T525" i="3"/>
  <c r="AD544" i="3"/>
  <c r="T574" i="3"/>
  <c r="T594" i="3"/>
  <c r="Q742" i="3"/>
  <c r="T798" i="3"/>
  <c r="T912" i="3"/>
  <c r="T915" i="3"/>
  <c r="T929" i="3"/>
  <c r="AD946" i="3"/>
  <c r="T1179" i="3"/>
  <c r="AD1228" i="3"/>
  <c r="AD1241" i="3"/>
  <c r="T1255" i="3"/>
  <c r="AD1377" i="3"/>
  <c r="AZ1377" i="3" s="1"/>
  <c r="T29" i="3"/>
  <c r="T320" i="3"/>
  <c r="Q417" i="3"/>
  <c r="T479" i="3"/>
  <c r="AD501" i="3"/>
  <c r="T512" i="3"/>
  <c r="Q601" i="3"/>
  <c r="T888" i="3"/>
  <c r="AD912" i="3"/>
  <c r="Q937" i="3"/>
  <c r="AD1029" i="3"/>
  <c r="T1173" i="3"/>
  <c r="AD1176" i="3"/>
  <c r="AD25" i="3"/>
  <c r="T54" i="3"/>
  <c r="AD64" i="3"/>
  <c r="AD499" i="3"/>
  <c r="T499" i="3"/>
  <c r="AD520" i="3"/>
  <c r="T520" i="3"/>
  <c r="Q520" i="3"/>
  <c r="T536" i="3"/>
  <c r="Q536" i="3"/>
  <c r="T289" i="3"/>
  <c r="Q289" i="3"/>
  <c r="AD470" i="3"/>
  <c r="T470" i="3"/>
  <c r="Q46" i="3"/>
  <c r="AD63" i="3"/>
  <c r="Q63" i="3"/>
  <c r="AD548" i="3"/>
  <c r="T548" i="3"/>
  <c r="Q548" i="3"/>
  <c r="AD55" i="3"/>
  <c r="T55" i="3"/>
  <c r="Q24" i="3"/>
  <c r="AD24" i="3"/>
  <c r="AD40" i="3"/>
  <c r="Q40" i="3"/>
  <c r="T411" i="3"/>
  <c r="Q411" i="3"/>
  <c r="AD490" i="3"/>
  <c r="T490" i="3"/>
  <c r="AD411" i="3"/>
  <c r="Q425" i="3"/>
  <c r="AD425" i="3"/>
  <c r="T425" i="3"/>
  <c r="T47" i="3"/>
  <c r="AD458" i="3"/>
  <c r="AD498" i="3"/>
  <c r="Q504" i="3"/>
  <c r="AD506" i="3"/>
  <c r="T533" i="3"/>
  <c r="T573" i="3"/>
  <c r="T609" i="3"/>
  <c r="Q762" i="3"/>
  <c r="T772" i="3"/>
  <c r="Q778" i="3"/>
  <c r="T800" i="3"/>
  <c r="T1088" i="3"/>
  <c r="AD1093" i="3"/>
  <c r="T1096" i="3"/>
  <c r="AD1440" i="3"/>
  <c r="AD533" i="3"/>
  <c r="T600" i="3"/>
  <c r="T602" i="3"/>
  <c r="Q768" i="3"/>
  <c r="Q914" i="3"/>
  <c r="Q916" i="3"/>
  <c r="Q954" i="3"/>
  <c r="AD1088" i="3"/>
  <c r="AD892" i="3"/>
  <c r="T916" i="3"/>
  <c r="T954" i="3"/>
  <c r="Q1144" i="3"/>
  <c r="T1192" i="3"/>
  <c r="Q1255" i="3"/>
  <c r="Q1365" i="3"/>
  <c r="C4" i="3"/>
  <c r="T433" i="3"/>
  <c r="Q498" i="3"/>
  <c r="AD529" i="3"/>
  <c r="Q540" i="3"/>
  <c r="Q551" i="3"/>
  <c r="T553" i="3"/>
  <c r="Q566" i="3"/>
  <c r="T593" i="3"/>
  <c r="Q752" i="3"/>
  <c r="AD884" i="3"/>
  <c r="T937" i="3"/>
  <c r="Q949" i="3"/>
  <c r="Q1045" i="3"/>
  <c r="T1063" i="3"/>
  <c r="Q1093" i="3"/>
  <c r="T1134" i="3"/>
  <c r="Q1174" i="3"/>
  <c r="Q1334" i="3"/>
  <c r="Q1352" i="3"/>
  <c r="AD758" i="3"/>
  <c r="Q609" i="3"/>
  <c r="Q1096" i="3"/>
  <c r="T13" i="3"/>
  <c r="BA20" i="3"/>
  <c r="BB20" i="3" s="1"/>
  <c r="AZ20" i="3"/>
  <c r="BA26" i="3"/>
  <c r="BB26" i="3" s="1"/>
  <c r="AY26" i="3"/>
  <c r="AZ26" i="3" s="1"/>
  <c r="BA35" i="3"/>
  <c r="BB35"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BA98" i="3"/>
  <c r="BB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AZ170" i="3"/>
  <c r="BA170" i="3"/>
  <c r="BB170" i="3" s="1"/>
  <c r="AD190" i="3"/>
  <c r="BA190" i="3"/>
  <c r="BB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BA163" i="3"/>
  <c r="BB163" i="3" s="1"/>
  <c r="BA174" i="3"/>
  <c r="BB174" i="3" s="1"/>
  <c r="AY174" i="3"/>
  <c r="AZ174" i="3" s="1"/>
  <c r="AZ177" i="3"/>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BA29" i="3"/>
  <c r="BB29" i="3" s="1"/>
  <c r="AY29" i="3"/>
  <c r="AZ29" i="3" s="1"/>
  <c r="BA44" i="3"/>
  <c r="BB44" i="3" s="1"/>
  <c r="AY44" i="3"/>
  <c r="AZ44" i="3" s="1"/>
  <c r="Q48" i="3"/>
  <c r="Q50" i="3"/>
  <c r="BA52" i="3"/>
  <c r="BB52" i="3" s="1"/>
  <c r="AY52" i="3"/>
  <c r="AZ52" i="3" s="1"/>
  <c r="Q59" i="3"/>
  <c r="BA61" i="3"/>
  <c r="BB61" i="3" s="1"/>
  <c r="AY61" i="3"/>
  <c r="AZ61" i="3" s="1"/>
  <c r="Q65" i="3"/>
  <c r="Q71" i="3"/>
  <c r="BA71" i="3"/>
  <c r="BB71" i="3" s="1"/>
  <c r="AY71" i="3"/>
  <c r="AZ71" i="3" s="1"/>
  <c r="AY75" i="3"/>
  <c r="AZ75" i="3" s="1"/>
  <c r="BA75" i="3"/>
  <c r="BB75" i="3" s="1"/>
  <c r="AD78" i="3"/>
  <c r="AY78" i="3"/>
  <c r="AZ78" i="3" s="1"/>
  <c r="BA78" i="3"/>
  <c r="BB78" i="3" s="1"/>
  <c r="Q81" i="3"/>
  <c r="AD92" i="3"/>
  <c r="AZ92" i="3" s="1"/>
  <c r="BA92" i="3"/>
  <c r="BB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BA160" i="3"/>
  <c r="BB160" i="3" s="1"/>
  <c r="AZ160" i="3"/>
  <c r="BA167" i="3"/>
  <c r="BB167" i="3" s="1"/>
  <c r="AY167" i="3"/>
  <c r="AZ167" i="3" s="1"/>
  <c r="BA171" i="3"/>
  <c r="BB171" i="3" s="1"/>
  <c r="AZ171" i="3"/>
  <c r="T174"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Z23" i="3"/>
  <c r="AY25" i="3"/>
  <c r="AZ25" i="3" s="1"/>
  <c r="BA25" i="3"/>
  <c r="BB25" i="3" s="1"/>
  <c r="Q29" i="3"/>
  <c r="BA40" i="3"/>
  <c r="BB40" i="3" s="1"/>
  <c r="AY40" i="3"/>
  <c r="AZ40" i="3" s="1"/>
  <c r="Q44" i="3"/>
  <c r="T59" i="3"/>
  <c r="T65" i="3"/>
  <c r="BA68" i="3"/>
  <c r="BB68" i="3" s="1"/>
  <c r="AZ68" i="3"/>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Z22" i="3"/>
  <c r="BA31" i="3"/>
  <c r="BB31" i="3" s="1"/>
  <c r="BA33" i="3"/>
  <c r="BB33" i="3" s="1"/>
  <c r="T3" i="3"/>
  <c r="BA3" i="3"/>
  <c r="BB3" i="3" s="1"/>
  <c r="AY3" i="3"/>
  <c r="AZ3" i="3" s="1"/>
  <c r="BA19" i="3"/>
  <c r="BB19" i="3" s="1"/>
  <c r="AY19" i="3"/>
  <c r="AZ19" i="3" s="1"/>
  <c r="BA21" i="3"/>
  <c r="BB21" i="3" s="1"/>
  <c r="AZ21" i="3"/>
  <c r="BA36" i="3"/>
  <c r="BB36" i="3" s="1"/>
  <c r="BA42" i="3"/>
  <c r="BB42" i="3" s="1"/>
  <c r="AY42" i="3"/>
  <c r="AZ42" i="3" s="1"/>
  <c r="BA47" i="3"/>
  <c r="BB47" i="3" s="1"/>
  <c r="AY47" i="3"/>
  <c r="AZ47" i="3" s="1"/>
  <c r="AD48" i="3"/>
  <c r="AD50" i="3"/>
  <c r="BA53" i="3"/>
  <c r="BB53" i="3" s="1"/>
  <c r="AY53" i="3"/>
  <c r="AZ53" i="3" s="1"/>
  <c r="BA55" i="3"/>
  <c r="BB55" i="3" s="1"/>
  <c r="AY55" i="3"/>
  <c r="AZ55" i="3" s="1"/>
  <c r="AD56" i="3"/>
  <c r="AZ56" i="3" s="1"/>
  <c r="BA62" i="3"/>
  <c r="BB62" i="3" s="1"/>
  <c r="AY62" i="3"/>
  <c r="AZ62" i="3" s="1"/>
  <c r="AD72" i="3"/>
  <c r="BA72" i="3"/>
  <c r="BB72" i="3" s="1"/>
  <c r="AY72" i="3"/>
  <c r="AZ72" i="3" s="1"/>
  <c r="BA79" i="3"/>
  <c r="BB79" i="3" s="1"/>
  <c r="AY79" i="3"/>
  <c r="AZ79" i="3" s="1"/>
  <c r="AD82" i="3"/>
  <c r="BA82" i="3"/>
  <c r="BB82" i="3" s="1"/>
  <c r="AY82" i="3"/>
  <c r="AZ82" i="3" s="1"/>
  <c r="BA93" i="3"/>
  <c r="BB93" i="3" s="1"/>
  <c r="AY93" i="3"/>
  <c r="AZ93" i="3" s="1"/>
  <c r="AZ100" i="3"/>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Z17" i="3"/>
  <c r="BA17" i="3"/>
  <c r="BB17" i="3" s="1"/>
  <c r="Q19" i="3"/>
  <c r="T25" i="3"/>
  <c r="BA32" i="3"/>
  <c r="BB32" i="3" s="1"/>
  <c r="AZ32" i="3"/>
  <c r="AD33" i="3"/>
  <c r="AZ33" i="3" s="1"/>
  <c r="BA38" i="3"/>
  <c r="BB38" i="3" s="1"/>
  <c r="AY38" i="3"/>
  <c r="AZ38" i="3" s="1"/>
  <c r="AD44" i="3"/>
  <c r="Q47" i="3"/>
  <c r="BA49" i="3"/>
  <c r="BB49" i="3" s="1"/>
  <c r="AY49" i="3"/>
  <c r="AZ49" i="3" s="1"/>
  <c r="BA51" i="3"/>
  <c r="BB51" i="3" s="1"/>
  <c r="AZ51" i="3"/>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D16" i="3"/>
  <c r="BA11" i="3"/>
  <c r="BB11" i="3" s="1"/>
  <c r="AY11" i="3"/>
  <c r="AZ11" i="3" s="1"/>
  <c r="BA13" i="3"/>
  <c r="BB13" i="3" s="1"/>
  <c r="AY13" i="3"/>
  <c r="AZ13" i="3" s="1"/>
  <c r="T19"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BA206" i="3"/>
  <c r="BB206" i="3" s="1"/>
  <c r="AZ206" i="3"/>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Q13" i="3"/>
  <c r="BA24" i="3"/>
  <c r="BB24" i="3" s="1"/>
  <c r="AY24" i="3"/>
  <c r="AZ24" i="3" s="1"/>
  <c r="Q28" i="3"/>
  <c r="BA30" i="3"/>
  <c r="BB30" i="3" s="1"/>
  <c r="AD36" i="3"/>
  <c r="AZ36" i="3" s="1"/>
  <c r="BA39" i="3"/>
  <c r="BB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Z934" i="3"/>
  <c r="BA934" i="3"/>
  <c r="BB934" i="3" s="1"/>
  <c r="AZ1041" i="3"/>
  <c r="BA1041" i="3"/>
  <c r="BB1041" i="3" s="1"/>
  <c r="BA1056" i="3"/>
  <c r="BB1056" i="3" s="1"/>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Z1188" i="3"/>
  <c r="BA1198" i="3"/>
  <c r="BB1198" i="3" s="1"/>
  <c r="AY1198" i="3"/>
  <c r="AZ1198" i="3" s="1"/>
  <c r="BA1233" i="3"/>
  <c r="BB1233" i="3" s="1"/>
  <c r="AD1233" i="3"/>
  <c r="AZ1233" i="3" s="1"/>
  <c r="BA1261" i="3"/>
  <c r="BB1261" i="3" s="1"/>
  <c r="AY1261" i="3"/>
  <c r="AZ1261" i="3" s="1"/>
  <c r="AD1273" i="3"/>
  <c r="BA1273" i="3"/>
  <c r="BB1273" i="3" s="1"/>
  <c r="AY1273" i="3"/>
  <c r="AZ1273" i="3" s="1"/>
  <c r="T1280" i="3"/>
  <c r="BA1280" i="3"/>
  <c r="BB1280" i="3" s="1"/>
  <c r="AY1280" i="3"/>
  <c r="AZ1280" i="3" s="1"/>
  <c r="T1284" i="3"/>
  <c r="BA1284" i="3"/>
  <c r="BB1284" i="3" s="1"/>
  <c r="AY1284" i="3"/>
  <c r="AZ1284" i="3" s="1"/>
  <c r="AY1288" i="3"/>
  <c r="AZ1288" i="3" s="1"/>
  <c r="BA1288" i="3"/>
  <c r="BB1288" i="3" s="1"/>
  <c r="AY1349" i="3"/>
  <c r="AZ1349" i="3" s="1"/>
  <c r="BA1349" i="3"/>
  <c r="BB1349" i="3" s="1"/>
  <c r="BA1373" i="3"/>
  <c r="BB1373" i="3" s="1"/>
  <c r="AY1373" i="3"/>
  <c r="AZ1373" i="3" s="1"/>
  <c r="Q1373" i="3"/>
  <c r="AD1373" i="3"/>
  <c r="AZ1376" i="3"/>
  <c r="BA1376" i="3"/>
  <c r="BB1376" i="3" s="1"/>
  <c r="BA1411" i="3"/>
  <c r="BB1411" i="3" s="1"/>
  <c r="BA1435" i="3"/>
  <c r="BB1435" i="3" s="1"/>
  <c r="AY1435" i="3"/>
  <c r="AZ1435" i="3" s="1"/>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D1031" i="3"/>
  <c r="AZ1031" i="3" s="1"/>
  <c r="BA1031" i="3"/>
  <c r="BB1031"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BA1153" i="3"/>
  <c r="BB1153" i="3" s="1"/>
  <c r="BA1182" i="3"/>
  <c r="BB1182" i="3" s="1"/>
  <c r="AZ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2" i="3"/>
  <c r="BB1292" i="3" s="1"/>
  <c r="AY1292" i="3"/>
  <c r="AZ1292" i="3" s="1"/>
  <c r="Q1292" i="3"/>
  <c r="AD1292" i="3"/>
  <c r="BA1332" i="3"/>
  <c r="BB1332" i="3" s="1"/>
  <c r="AY1332" i="3"/>
  <c r="AZ1332" i="3" s="1"/>
  <c r="BA1356" i="3"/>
  <c r="BB1356" i="3" s="1"/>
  <c r="AZ1356" i="3"/>
  <c r="BA1387" i="3"/>
  <c r="BB1387" i="3" s="1"/>
  <c r="AZ1387" i="3"/>
  <c r="BA1404" i="3"/>
  <c r="BB1404" i="3" s="1"/>
  <c r="AY1404" i="3"/>
  <c r="AZ1404"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BA1004" i="3"/>
  <c r="BB1004" i="3" s="1"/>
  <c r="AY1004" i="3"/>
  <c r="AZ1004" i="3" s="1"/>
  <c r="BA1009" i="3"/>
  <c r="BB1009" i="3" s="1"/>
  <c r="BA1048" i="3"/>
  <c r="BB1048" i="3" s="1"/>
  <c r="AY1048" i="3"/>
  <c r="AZ1048" i="3" s="1"/>
  <c r="AD1048" i="3"/>
  <c r="BA1065" i="3"/>
  <c r="BB1065" i="3" s="1"/>
  <c r="AY1065" i="3"/>
  <c r="AZ1065" i="3" s="1"/>
  <c r="AZ1071" i="3"/>
  <c r="BA1071" i="3"/>
  <c r="BB1071" i="3" s="1"/>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BA1157" i="3"/>
  <c r="BB1157" i="3" s="1"/>
  <c r="AY1157" i="3"/>
  <c r="AZ1157" i="3" s="1"/>
  <c r="Q1167" i="3"/>
  <c r="AY1167" i="3"/>
  <c r="AZ1167" i="3" s="1"/>
  <c r="BA1167" i="3"/>
  <c r="BB1167" i="3" s="1"/>
  <c r="AD1167" i="3"/>
  <c r="T1167" i="3"/>
  <c r="BA1199" i="3"/>
  <c r="BB1199" i="3" s="1"/>
  <c r="AY1199" i="3"/>
  <c r="AZ1199" i="3" s="1"/>
  <c r="BA1203" i="3"/>
  <c r="BB1203" i="3" s="1"/>
  <c r="AY1203" i="3"/>
  <c r="AZ1203" i="3" s="1"/>
  <c r="BA1222" i="3"/>
  <c r="BB1222" i="3" s="1"/>
  <c r="AZ1222" i="3"/>
  <c r="Q1231" i="3"/>
  <c r="BA1234" i="3"/>
  <c r="BB1234" i="3" s="1"/>
  <c r="AY1234" i="3"/>
  <c r="AZ1234" i="3" s="1"/>
  <c r="Q1240" i="3"/>
  <c r="BA1262" i="3"/>
  <c r="BB1262" i="3" s="1"/>
  <c r="AY1262" i="3"/>
  <c r="AZ1262" i="3" s="1"/>
  <c r="AD1262" i="3"/>
  <c r="BA1269" i="3"/>
  <c r="BB1269" i="3" s="1"/>
  <c r="AZ1269" i="3"/>
  <c r="BA1274" i="3"/>
  <c r="BB1274" i="3" s="1"/>
  <c r="AY1274" i="3"/>
  <c r="AZ1274" i="3" s="1"/>
  <c r="AD1274" i="3"/>
  <c r="T1292" i="3"/>
  <c r="T1320" i="3"/>
  <c r="BA1320" i="3"/>
  <c r="BB1320" i="3" s="1"/>
  <c r="AY1320" i="3"/>
  <c r="AZ1320" i="3" s="1"/>
  <c r="BA1324" i="3"/>
  <c r="BB1324" i="3" s="1"/>
  <c r="AZ1324" i="3"/>
  <c r="T1332" i="3"/>
  <c r="BA1335" i="3"/>
  <c r="BB1335" i="3" s="1"/>
  <c r="AY1335" i="3"/>
  <c r="AZ1335" i="3" s="1"/>
  <c r="BA1380" i="3"/>
  <c r="BB1380" i="3" s="1"/>
  <c r="AY1380" i="3"/>
  <c r="AZ1380" i="3" s="1"/>
  <c r="AD1380" i="3"/>
  <c r="BA1401" i="3"/>
  <c r="BB1401" i="3" s="1"/>
  <c r="AY1423" i="3"/>
  <c r="AZ1423" i="3" s="1"/>
  <c r="BA1423" i="3"/>
  <c r="BB1423" i="3" s="1"/>
  <c r="BA1442" i="3"/>
  <c r="BB1442" i="3" s="1"/>
  <c r="AZ1442"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AZ987" i="3" s="1"/>
  <c r="Q1004" i="3"/>
  <c r="AY1016" i="3"/>
  <c r="AZ1016" i="3" s="1"/>
  <c r="BA1016" i="3"/>
  <c r="BB1016" i="3" s="1"/>
  <c r="AD1016" i="3"/>
  <c r="Q1048" i="3"/>
  <c r="BA1054" i="3"/>
  <c r="BB1054" i="3" s="1"/>
  <c r="AY1054" i="3"/>
  <c r="AZ1054" i="3" s="1"/>
  <c r="AY1060" i="3"/>
  <c r="AZ1060" i="3" s="1"/>
  <c r="BA1060" i="3"/>
  <c r="BB1060" i="3" s="1"/>
  <c r="AD1060" i="3"/>
  <c r="T1065" i="3"/>
  <c r="BA1074" i="3"/>
  <c r="BB1074" i="3" s="1"/>
  <c r="AY1074" i="3"/>
  <c r="AZ1074" i="3" s="1"/>
  <c r="T1074" i="3"/>
  <c r="BA1107" i="3"/>
  <c r="BB1107" i="3" s="1"/>
  <c r="T1112" i="3"/>
  <c r="AD1121" i="3"/>
  <c r="BA1121" i="3"/>
  <c r="BB1121" i="3" s="1"/>
  <c r="AY1121" i="3"/>
  <c r="AZ1121" i="3" s="1"/>
  <c r="BA1131" i="3"/>
  <c r="BB1131" i="3" s="1"/>
  <c r="AY1131" i="3"/>
  <c r="AZ1131" i="3" s="1"/>
  <c r="AD1137" i="3"/>
  <c r="BA1137" i="3"/>
  <c r="BB1137" i="3" s="1"/>
  <c r="AY1137" i="3"/>
  <c r="AZ1137" i="3" s="1"/>
  <c r="Q1150" i="3"/>
  <c r="BA1160" i="3"/>
  <c r="BB1160" i="3" s="1"/>
  <c r="AZ1160" i="3"/>
  <c r="BA1177" i="3"/>
  <c r="BB1177" i="3" s="1"/>
  <c r="AY1177" i="3"/>
  <c r="AZ1177" i="3" s="1"/>
  <c r="AD1177" i="3"/>
  <c r="BA1183" i="3"/>
  <c r="BB1183" i="3" s="1"/>
  <c r="AY1183" i="3"/>
  <c r="AZ1183" i="3" s="1"/>
  <c r="Q1183" i="3"/>
  <c r="AD1183" i="3"/>
  <c r="T1186" i="3"/>
  <c r="BA1186" i="3"/>
  <c r="BB1186" i="3" s="1"/>
  <c r="AY1186" i="3"/>
  <c r="AZ1186" i="3" s="1"/>
  <c r="AD1186" i="3"/>
  <c r="Q1186" i="3"/>
  <c r="BA1246" i="3"/>
  <c r="BB1246" i="3" s="1"/>
  <c r="BA1253" i="3"/>
  <c r="BB1253" i="3" s="1"/>
  <c r="AZ1253" i="3"/>
  <c r="T1259" i="3"/>
  <c r="BA1259" i="3"/>
  <c r="BB1259" i="3" s="1"/>
  <c r="AY1259" i="3"/>
  <c r="AZ1259" i="3" s="1"/>
  <c r="BA1309" i="3"/>
  <c r="BB1309" i="3" s="1"/>
  <c r="AZ1309" i="3"/>
  <c r="AZ1313" i="3"/>
  <c r="BA1313" i="3"/>
  <c r="BB1313" i="3" s="1"/>
  <c r="BA1329" i="3"/>
  <c r="BB1329" i="3" s="1"/>
  <c r="BA1347" i="3"/>
  <c r="BB1347" i="3" s="1"/>
  <c r="AD1347" i="3"/>
  <c r="AZ1347" i="3" s="1"/>
  <c r="BA1350" i="3"/>
  <c r="BB1350" i="3" s="1"/>
  <c r="BA1357" i="3"/>
  <c r="BB1357" i="3" s="1"/>
  <c r="AD1361" i="3"/>
  <c r="AZ1361" i="3" s="1"/>
  <c r="BA1361" i="3"/>
  <c r="BB1361" i="3" s="1"/>
  <c r="AZ1420" i="3"/>
  <c r="BA1420" i="3"/>
  <c r="BB1420" i="3" s="1"/>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Z1007" i="3"/>
  <c r="BA1013" i="3"/>
  <c r="BB1013" i="3" s="1"/>
  <c r="BA1043" i="3"/>
  <c r="BB1043" i="3" s="1"/>
  <c r="BA1046" i="3"/>
  <c r="BB1046" i="3" s="1"/>
  <c r="AD1101" i="3"/>
  <c r="T1121" i="3"/>
  <c r="BA1128" i="3"/>
  <c r="BB1128" i="3" s="1"/>
  <c r="T1131" i="3"/>
  <c r="T1137" i="3"/>
  <c r="BA1141" i="3"/>
  <c r="BB1141" i="3" s="1"/>
  <c r="AY1141" i="3"/>
  <c r="AZ1141" i="3" s="1"/>
  <c r="BA1158" i="3"/>
  <c r="BB1158" i="3" s="1"/>
  <c r="AZ1158" i="3"/>
  <c r="Q1168" i="3"/>
  <c r="BA1168" i="3"/>
  <c r="BB1168" i="3" s="1"/>
  <c r="AY1168" i="3"/>
  <c r="AZ1168" i="3" s="1"/>
  <c r="BA1175" i="3"/>
  <c r="BB1175" i="3" s="1"/>
  <c r="AD1175" i="3"/>
  <c r="AZ1175" i="3" s="1"/>
  <c r="T1183" i="3"/>
  <c r="BA1190" i="3"/>
  <c r="BB1190" i="3" s="1"/>
  <c r="AZ1190" i="3"/>
  <c r="BA1196" i="3"/>
  <c r="BB1196" i="3" s="1"/>
  <c r="AY1196" i="3"/>
  <c r="AZ1196" i="3" s="1"/>
  <c r="BA1235" i="3"/>
  <c r="BB1235" i="3" s="1"/>
  <c r="AY1235" i="3"/>
  <c r="AZ1235" i="3" s="1"/>
  <c r="BA1301" i="3"/>
  <c r="BB1301" i="3" s="1"/>
  <c r="AY1325" i="3"/>
  <c r="AZ1325" i="3" s="1"/>
  <c r="BA1325" i="3"/>
  <c r="BB1325" i="3" s="1"/>
  <c r="Q1325" i="3"/>
  <c r="AD1325" i="3"/>
  <c r="BA1339" i="3"/>
  <c r="BB1339" i="3" s="1"/>
  <c r="AY1339" i="3"/>
  <c r="AZ1339" i="3" s="1"/>
  <c r="AD1339" i="3"/>
  <c r="BA1398" i="3"/>
  <c r="BB1398" i="3" s="1"/>
  <c r="AZ1398" i="3"/>
  <c r="BA1433" i="3"/>
  <c r="BB1433" i="3" s="1"/>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AZ1055" i="3"/>
  <c r="BA1055" i="3"/>
  <c r="BB1055" i="3" s="1"/>
  <c r="BA1058" i="3"/>
  <c r="BB1058" i="3" s="1"/>
  <c r="AZ1058" i="3"/>
  <c r="AY1061" i="3"/>
  <c r="AZ1061" i="3" s="1"/>
  <c r="BA1061" i="3"/>
  <c r="BB1061" i="3" s="1"/>
  <c r="T1061" i="3"/>
  <c r="AY1069" i="3"/>
  <c r="AZ1069" i="3" s="1"/>
  <c r="BA1069" i="3"/>
  <c r="BB1069" i="3" s="1"/>
  <c r="Q1069" i="3"/>
  <c r="BA1091" i="3"/>
  <c r="BB1091" i="3" s="1"/>
  <c r="AY1091" i="3"/>
  <c r="AZ1091" i="3" s="1"/>
  <c r="Q1091" i="3"/>
  <c r="BA1099" i="3"/>
  <c r="BB1099" i="3" s="1"/>
  <c r="AY1099" i="3"/>
  <c r="AZ1099" i="3" s="1"/>
  <c r="AY1102" i="3"/>
  <c r="AZ1102" i="3" s="1"/>
  <c r="BA1102" i="3"/>
  <c r="BB1102" i="3" s="1"/>
  <c r="BA1108" i="3"/>
  <c r="BB1108" i="3" s="1"/>
  <c r="AZ1108" i="3"/>
  <c r="BA1110" i="3"/>
  <c r="BB1110" i="3" s="1"/>
  <c r="AY1110" i="3"/>
  <c r="AZ1110" i="3" s="1"/>
  <c r="T1110" i="3"/>
  <c r="Q1110" i="3"/>
  <c r="BA1116" i="3"/>
  <c r="BB1116" i="3" s="1"/>
  <c r="AZ1116" i="3"/>
  <c r="BA1220" i="3"/>
  <c r="BB1220" i="3" s="1"/>
  <c r="AY1220" i="3"/>
  <c r="AZ1220" i="3" s="1"/>
  <c r="Q1220" i="3"/>
  <c r="BA1229" i="3"/>
  <c r="BB1229" i="3" s="1"/>
  <c r="AY1229" i="3"/>
  <c r="AZ1229" i="3" s="1"/>
  <c r="AD1229" i="3"/>
  <c r="T1229" i="3"/>
  <c r="Q1229" i="3"/>
  <c r="BA1244" i="3"/>
  <c r="BB1244" i="3" s="1"/>
  <c r="AD1244" i="3"/>
  <c r="AD1259" i="3"/>
  <c r="BA1267" i="3"/>
  <c r="BB1267" i="3" s="1"/>
  <c r="T1325" i="3"/>
  <c r="BA1354" i="3"/>
  <c r="BB1354" i="3" s="1"/>
  <c r="AY1354" i="3"/>
  <c r="AZ1354" i="3" s="1"/>
  <c r="BA1368" i="3"/>
  <c r="BB1368" i="3" s="1"/>
  <c r="AD1368" i="3"/>
  <c r="AZ1368" i="3" s="1"/>
  <c r="AZ1385" i="3"/>
  <c r="BA1385" i="3"/>
  <c r="BB1385" i="3" s="1"/>
  <c r="AY1391" i="3"/>
  <c r="AZ1391" i="3" s="1"/>
  <c r="BA1391" i="3"/>
  <c r="BB1391" i="3" s="1"/>
  <c r="Q1395" i="3"/>
  <c r="BA1395" i="3"/>
  <c r="BB1395" i="3" s="1"/>
  <c r="AY1395" i="3"/>
  <c r="AZ1395"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BA1025" i="3"/>
  <c r="BB1025" i="3" s="1"/>
  <c r="AD1025" i="3"/>
  <c r="AZ1025" i="3" s="1"/>
  <c r="BA1038" i="3"/>
  <c r="BB1038" i="3" s="1"/>
  <c r="BA1044" i="3"/>
  <c r="BB1044" i="3" s="1"/>
  <c r="AY1044" i="3"/>
  <c r="AZ1044" i="3" s="1"/>
  <c r="AD1044" i="3"/>
  <c r="Q1061" i="3"/>
  <c r="T1069" i="3"/>
  <c r="BA1080" i="3"/>
  <c r="BB1080" i="3" s="1"/>
  <c r="AY1080" i="3"/>
  <c r="AZ1080" i="3" s="1"/>
  <c r="AD1080" i="3"/>
  <c r="T1091"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T1220"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9" i="3"/>
  <c r="BB1279" i="3" s="1"/>
  <c r="AY1279" i="3"/>
  <c r="AZ1279" i="3" s="1"/>
  <c r="BA1283" i="3"/>
  <c r="BB1283" i="3" s="1"/>
  <c r="AY1283" i="3"/>
  <c r="AZ1283" i="3" s="1"/>
  <c r="BA1287" i="3"/>
  <c r="BB1287" i="3" s="1"/>
  <c r="AY1287" i="3"/>
  <c r="AZ1287" i="3" s="1"/>
  <c r="T1287" i="3"/>
  <c r="AY1297" i="3"/>
  <c r="AZ1297" i="3" s="1"/>
  <c r="BA1297" i="3"/>
  <c r="BB1297" i="3" s="1"/>
  <c r="AY1337" i="3"/>
  <c r="AZ1337" i="3" s="1"/>
  <c r="BA1337" i="3"/>
  <c r="BB1337" i="3" s="1"/>
  <c r="AD1337" i="3"/>
  <c r="BA1382" i="3"/>
  <c r="BB1382" i="3" s="1"/>
  <c r="AD1382" i="3"/>
  <c r="AZ1382" i="3" s="1"/>
  <c r="T1395" i="3"/>
  <c r="AZ1414" i="3"/>
  <c r="BA1414" i="3"/>
  <c r="BB1414" i="3" s="1"/>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Z942" i="3"/>
  <c r="BA942" i="3"/>
  <c r="BB942" i="3" s="1"/>
  <c r="AY972" i="3"/>
  <c r="AZ972" i="3" s="1"/>
  <c r="BA972" i="3"/>
  <c r="BB972" i="3" s="1"/>
  <c r="BA989" i="3"/>
  <c r="BB989" i="3" s="1"/>
  <c r="AZ989" i="3"/>
  <c r="BA995" i="3"/>
  <c r="BB995" i="3" s="1"/>
  <c r="BA1000" i="3"/>
  <c r="BB1000" i="3" s="1"/>
  <c r="BA1003" i="3"/>
  <c r="BB1003" i="3" s="1"/>
  <c r="AY1003" i="3"/>
  <c r="AZ1003" i="3" s="1"/>
  <c r="AD1003" i="3"/>
  <c r="AZ1008" i="3"/>
  <c r="BA1008" i="3"/>
  <c r="BB1008" i="3" s="1"/>
  <c r="AY1011" i="3"/>
  <c r="AZ1011" i="3" s="1"/>
  <c r="BA1011" i="3"/>
  <c r="BB1011" i="3" s="1"/>
  <c r="Q1011" i="3"/>
  <c r="AD1011" i="3"/>
  <c r="BA1018" i="3"/>
  <c r="BB1018" i="3" s="1"/>
  <c r="AZ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BA1149" i="3"/>
  <c r="BB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BA1230" i="3"/>
  <c r="BB1230" i="3" s="1"/>
  <c r="AZ1230" i="3"/>
  <c r="BA1239" i="3"/>
  <c r="BB1239" i="3" s="1"/>
  <c r="AY1239" i="3"/>
  <c r="AZ1239" i="3" s="1"/>
  <c r="AY1248" i="3"/>
  <c r="AZ1248" i="3" s="1"/>
  <c r="BA1248" i="3"/>
  <c r="BB1248" i="3" s="1"/>
  <c r="AD1248" i="3"/>
  <c r="AZ1291" i="3"/>
  <c r="BA1291" i="3"/>
  <c r="BB1291" i="3" s="1"/>
  <c r="BA1331" i="3"/>
  <c r="BB1331" i="3" s="1"/>
  <c r="AY1331" i="3"/>
  <c r="AZ1331" i="3" s="1"/>
  <c r="BA1355" i="3"/>
  <c r="BB1355" i="3" s="1"/>
  <c r="AD1355" i="3"/>
  <c r="AZ1355" i="3" s="1"/>
  <c r="BA1438" i="3"/>
  <c r="BB1438" i="3" s="1"/>
  <c r="AZ1438"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AZ933" i="3" s="1"/>
  <c r="BA933" i="3"/>
  <c r="BB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Z994" i="3"/>
  <c r="BA994" i="3"/>
  <c r="BB994" i="3" s="1"/>
  <c r="BA996" i="3"/>
  <c r="BB996" i="3" s="1"/>
  <c r="BA1010" i="3"/>
  <c r="BB1010" i="3" s="1"/>
  <c r="AZ1010" i="3"/>
  <c r="AZ1019" i="3"/>
  <c r="BA1019" i="3"/>
  <c r="BB1019" i="3" s="1"/>
  <c r="BA1021" i="3"/>
  <c r="BB1021" i="3" s="1"/>
  <c r="BA1023" i="3"/>
  <c r="BB1023" i="3" s="1"/>
  <c r="AZ1023" i="3"/>
  <c r="BA1032" i="3"/>
  <c r="BB1032" i="3" s="1"/>
  <c r="AY1032" i="3"/>
  <c r="AZ1032" i="3" s="1"/>
  <c r="BA1034" i="3"/>
  <c r="BB1034" i="3" s="1"/>
  <c r="BA1039" i="3"/>
  <c r="BB1039" i="3" s="1"/>
  <c r="AZ1051" i="3"/>
  <c r="BA1051" i="3"/>
  <c r="BB1051" i="3" s="1"/>
  <c r="BA1053" i="3"/>
  <c r="BB1053"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AZ1148" i="3" s="1"/>
  <c r="BA1148" i="3"/>
  <c r="BB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BA1223" i="3"/>
  <c r="BB1223" i="3" s="1"/>
  <c r="AY1223" i="3"/>
  <c r="AZ1223" i="3" s="1"/>
  <c r="BA1225" i="3"/>
  <c r="BB1225" i="3" s="1"/>
  <c r="AY1225" i="3"/>
  <c r="AZ1225" i="3" s="1"/>
  <c r="BA1236" i="3"/>
  <c r="BB1236" i="3" s="1"/>
  <c r="BA1242" i="3"/>
  <c r="BB1242" i="3" s="1"/>
  <c r="AY1242" i="3"/>
  <c r="AZ1242" i="3" s="1"/>
  <c r="BA1254" i="3"/>
  <c r="BB1254" i="3" s="1"/>
  <c r="AZ1254" i="3"/>
  <c r="BA1265" i="3"/>
  <c r="BB1265" i="3" s="1"/>
  <c r="AY1265" i="3"/>
  <c r="AZ1265" i="3" s="1"/>
  <c r="BA1271" i="3"/>
  <c r="BB1271" i="3" s="1"/>
  <c r="BA1277" i="3"/>
  <c r="BB1277" i="3" s="1"/>
  <c r="AY1277" i="3"/>
  <c r="AZ1277" i="3" s="1"/>
  <c r="T1281" i="3"/>
  <c r="AY1281" i="3"/>
  <c r="AZ1281" i="3" s="1"/>
  <c r="BA1281" i="3"/>
  <c r="BB1281" i="3" s="1"/>
  <c r="BA1285" i="3"/>
  <c r="BB1285" i="3" s="1"/>
  <c r="BA1295" i="3"/>
  <c r="BB1295" i="3" s="1"/>
  <c r="BA1305" i="3"/>
  <c r="BB1305" i="3" s="1"/>
  <c r="BA1317" i="3"/>
  <c r="BB1317" i="3" s="1"/>
  <c r="BA1330" i="3"/>
  <c r="BB1330" i="3" s="1"/>
  <c r="AY1330" i="3"/>
  <c r="AZ1330" i="3" s="1"/>
  <c r="BA1344" i="3"/>
  <c r="BB1344" i="3" s="1"/>
  <c r="AZ1344" i="3"/>
  <c r="BA1353" i="3"/>
  <c r="BB1353" i="3" s="1"/>
  <c r="AZ1353" i="3"/>
  <c r="BA1364" i="3"/>
  <c r="BB1364" i="3" s="1"/>
  <c r="BA1378" i="3"/>
  <c r="BB1378" i="3" s="1"/>
  <c r="AZ1378" i="3"/>
  <c r="BA1392" i="3"/>
  <c r="BB1392" i="3" s="1"/>
  <c r="AY1392" i="3"/>
  <c r="AZ1392" i="3" s="1"/>
  <c r="BA1405" i="3"/>
  <c r="BB1405" i="3" s="1"/>
  <c r="AY1405" i="3"/>
  <c r="AZ1405" i="3" s="1"/>
  <c r="BA1408" i="3"/>
  <c r="BB1408" i="3" s="1"/>
  <c r="AZ1417" i="3"/>
  <c r="BA1417" i="3"/>
  <c r="BB1417" i="3" s="1"/>
  <c r="BA1424" i="3"/>
  <c r="BB1424" i="3" s="1"/>
  <c r="BA1431" i="3"/>
  <c r="BB1431" i="3" s="1"/>
  <c r="AZ1431" i="3"/>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Z931"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BA999" i="3"/>
  <c r="BB999" i="3" s="1"/>
  <c r="AY999" i="3"/>
  <c r="AZ999" i="3" s="1"/>
  <c r="AY1001" i="3"/>
  <c r="AZ1001" i="3" s="1"/>
  <c r="BA1001" i="3"/>
  <c r="BB1001" i="3" s="1"/>
  <c r="AZ1012" i="3"/>
  <c r="BA1012" i="3"/>
  <c r="BB1012" i="3" s="1"/>
  <c r="BA1015" i="3"/>
  <c r="BB1015" i="3" s="1"/>
  <c r="AY1015" i="3"/>
  <c r="AZ1015" i="3" s="1"/>
  <c r="AZ1017" i="3"/>
  <c r="BA1017" i="3"/>
  <c r="BB1017" i="3" s="1"/>
  <c r="BA1030" i="3"/>
  <c r="BB1030" i="3" s="1"/>
  <c r="Q1032" i="3"/>
  <c r="BA1037" i="3"/>
  <c r="BB1037" i="3" s="1"/>
  <c r="AZ1037" i="3"/>
  <c r="BA1042" i="3"/>
  <c r="BB1042" i="3" s="1"/>
  <c r="AZ1042" i="3"/>
  <c r="BA1047" i="3"/>
  <c r="BB1047" i="3" s="1"/>
  <c r="AZ104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Z1113" i="3"/>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AZ1151" i="3"/>
  <c r="BA1151" i="3"/>
  <c r="BB1151" i="3" s="1"/>
  <c r="BA1154" i="3"/>
  <c r="BB1154" i="3" s="1"/>
  <c r="AZ1154" i="3"/>
  <c r="T1159" i="3"/>
  <c r="AD1162" i="3"/>
  <c r="BA1162" i="3"/>
  <c r="BB1162" i="3" s="1"/>
  <c r="AY1162" i="3"/>
  <c r="AZ1162" i="3" s="1"/>
  <c r="Q1164" i="3"/>
  <c r="BA1172" i="3"/>
  <c r="BB1172" i="3" s="1"/>
  <c r="AY1172" i="3"/>
  <c r="AZ1172" i="3" s="1"/>
  <c r="BA1180" i="3"/>
  <c r="BB1180" i="3" s="1"/>
  <c r="BA1184" i="3"/>
  <c r="BB1184" i="3" s="1"/>
  <c r="AZ1184" i="3"/>
  <c r="Q1189" i="3"/>
  <c r="Q1191" i="3"/>
  <c r="BA1193" i="3"/>
  <c r="BB1193" i="3" s="1"/>
  <c r="AZ1193" i="3"/>
  <c r="BA1197" i="3"/>
  <c r="BB1197" i="3" s="1"/>
  <c r="AY1197" i="3"/>
  <c r="AZ1197" i="3" s="1"/>
  <c r="BA1204" i="3"/>
  <c r="BB1204" i="3" s="1"/>
  <c r="AY1204" i="3"/>
  <c r="AZ1204" i="3" s="1"/>
  <c r="Q1219" i="3"/>
  <c r="Q1223" i="3"/>
  <c r="Q1225" i="3"/>
  <c r="AY1247" i="3"/>
  <c r="AZ1247" i="3" s="1"/>
  <c r="BA1247" i="3"/>
  <c r="BB1247" i="3" s="1"/>
  <c r="BA1249" i="3"/>
  <c r="BB1249" i="3" s="1"/>
  <c r="AY1249" i="3"/>
  <c r="AZ1249" i="3" s="1"/>
  <c r="BA1258" i="3"/>
  <c r="BB1258" i="3" s="1"/>
  <c r="AY1258" i="3"/>
  <c r="AZ1258" i="3" s="1"/>
  <c r="AY1263" i="3"/>
  <c r="AZ1263" i="3" s="1"/>
  <c r="BA1263" i="3"/>
  <c r="BB1263" i="3" s="1"/>
  <c r="Q1265" i="3"/>
  <c r="BA1275" i="3"/>
  <c r="BB1275" i="3" s="1"/>
  <c r="BA1289" i="3"/>
  <c r="BB1289" i="3" s="1"/>
  <c r="AY1289" i="3"/>
  <c r="AZ1289" i="3" s="1"/>
  <c r="BA1293" i="3"/>
  <c r="BB1293" i="3" s="1"/>
  <c r="AY1293" i="3"/>
  <c r="AZ1293" i="3" s="1"/>
  <c r="BA1298" i="3"/>
  <c r="BB1298" i="3" s="1"/>
  <c r="AZ1298" i="3"/>
  <c r="BA1302" i="3"/>
  <c r="BB1302" i="3" s="1"/>
  <c r="AY1302" i="3"/>
  <c r="AZ1302" i="3" s="1"/>
  <c r="AZ1310" i="3"/>
  <c r="BA1310" i="3"/>
  <c r="BB1310" i="3" s="1"/>
  <c r="BA1314" i="3"/>
  <c r="BB1314" i="3" s="1"/>
  <c r="BA1321" i="3"/>
  <c r="BB1321" i="3" s="1"/>
  <c r="BA1326" i="3"/>
  <c r="BB1326" i="3" s="1"/>
  <c r="AZ1326" i="3"/>
  <c r="Q1330" i="3"/>
  <c r="BA1333" i="3"/>
  <c r="BB1333" i="3" s="1"/>
  <c r="AZ1333" i="3"/>
  <c r="BA1336" i="3"/>
  <c r="BB1336" i="3" s="1"/>
  <c r="AY1336" i="3"/>
  <c r="AZ1336" i="3" s="1"/>
  <c r="BA1342" i="3"/>
  <c r="BB1342" i="3" s="1"/>
  <c r="AY1342" i="3"/>
  <c r="AZ1342" i="3" s="1"/>
  <c r="AZ1346" i="3"/>
  <c r="BA1346" i="3"/>
  <c r="BB1346" i="3" s="1"/>
  <c r="BA1348" i="3"/>
  <c r="BB1348" i="3" s="1"/>
  <c r="BA1351" i="3"/>
  <c r="BB1351" i="3" s="1"/>
  <c r="AZ1358" i="3"/>
  <c r="BA1358" i="3"/>
  <c r="BB1358" i="3" s="1"/>
  <c r="BA1362" i="3"/>
  <c r="BB1362" i="3" s="1"/>
  <c r="AZ1362" i="3"/>
  <c r="BA1366" i="3"/>
  <c r="BB1366" i="3" s="1"/>
  <c r="BA1372" i="3"/>
  <c r="BB1372" i="3" s="1"/>
  <c r="BA1374" i="3"/>
  <c r="BB1374" i="3" s="1"/>
  <c r="AZ1374" i="3"/>
  <c r="BA1381" i="3"/>
  <c r="BB1381" i="3" s="1"/>
  <c r="BA1396" i="3"/>
  <c r="BB1396" i="3" s="1"/>
  <c r="AZ1396" i="3"/>
  <c r="BA1399" i="3"/>
  <c r="BB1399" i="3" s="1"/>
  <c r="AY1399" i="3"/>
  <c r="AZ1399" i="3" s="1"/>
  <c r="BA1402" i="3"/>
  <c r="BB1402" i="3" s="1"/>
  <c r="T1405" i="3"/>
  <c r="BA1421" i="3"/>
  <c r="BB1421" i="3" s="1"/>
  <c r="AY1421" i="3"/>
  <c r="AZ1421" i="3" s="1"/>
  <c r="BA1426" i="3"/>
  <c r="BB1426" i="3" s="1"/>
  <c r="BA1428" i="3"/>
  <c r="BB1428" i="3" s="1"/>
  <c r="AZ1428" i="3"/>
  <c r="AY938" i="3"/>
  <c r="AZ938" i="3" s="1"/>
  <c r="BA938" i="3"/>
  <c r="BB938" i="3" s="1"/>
  <c r="AZ941" i="3"/>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Z979" i="3"/>
  <c r="BA981" i="3"/>
  <c r="BB981" i="3" s="1"/>
  <c r="AY981" i="3"/>
  <c r="AZ981" i="3" s="1"/>
  <c r="Q983" i="3"/>
  <c r="T990" i="3"/>
  <c r="BA990" i="3"/>
  <c r="BB990" i="3" s="1"/>
  <c r="AY990" i="3"/>
  <c r="AZ990" i="3" s="1"/>
  <c r="BA992" i="3"/>
  <c r="BB992" i="3" s="1"/>
  <c r="BA997" i="3"/>
  <c r="BB997" i="3" s="1"/>
  <c r="Q999" i="3"/>
  <c r="BA1006" i="3"/>
  <c r="BB1006" i="3" s="1"/>
  <c r="AY1006" i="3"/>
  <c r="AZ1006" i="3" s="1"/>
  <c r="Q1015" i="3"/>
  <c r="BA1024" i="3"/>
  <c r="BB1024" i="3" s="1"/>
  <c r="BA1026" i="3"/>
  <c r="BB1026" i="3" s="1"/>
  <c r="AZ1026" i="3"/>
  <c r="AZ1028" i="3"/>
  <c r="BA1028" i="3"/>
  <c r="BB1028" i="3" s="1"/>
  <c r="T1032" i="3"/>
  <c r="AZ1035" i="3"/>
  <c r="BA1035" i="3"/>
  <c r="BB1035" i="3" s="1"/>
  <c r="AZ1040" i="3"/>
  <c r="BA1040" i="3"/>
  <c r="BB1040" i="3" s="1"/>
  <c r="BA1045" i="3"/>
  <c r="BB1045" i="3" s="1"/>
  <c r="AY1045" i="3"/>
  <c r="AZ1045" i="3" s="1"/>
  <c r="BA1049" i="3"/>
  <c r="BB1049" i="3" s="1"/>
  <c r="AY1049" i="3"/>
  <c r="AZ1049" i="3" s="1"/>
  <c r="BA1062" i="3"/>
  <c r="BB1062" i="3" s="1"/>
  <c r="AY1062" i="3"/>
  <c r="AZ1062" i="3" s="1"/>
  <c r="BA1064" i="3"/>
  <c r="BB1064" i="3" s="1"/>
  <c r="AY1064" i="3"/>
  <c r="AZ1064" i="3" s="1"/>
  <c r="T1066" i="3"/>
  <c r="BA1075" i="3"/>
  <c r="BB1075" i="3" s="1"/>
  <c r="AZ1075" i="3"/>
  <c r="AY1077" i="3"/>
  <c r="AZ1077" i="3" s="1"/>
  <c r="BA1077" i="3"/>
  <c r="BB1077" i="3" s="1"/>
  <c r="Q1079" i="3"/>
  <c r="BA1081" i="3"/>
  <c r="BB1081" i="3" s="1"/>
  <c r="AY1081" i="3"/>
  <c r="AZ1081" i="3" s="1"/>
  <c r="T1083" i="3"/>
  <c r="T1085" i="3"/>
  <c r="AY1088" i="3"/>
  <c r="AZ1088" i="3" s="1"/>
  <c r="BA1088" i="3"/>
  <c r="BB1088" i="3" s="1"/>
  <c r="AY1093" i="3"/>
  <c r="AZ1093" i="3" s="1"/>
  <c r="BA1093" i="3"/>
  <c r="BB1093" i="3" s="1"/>
  <c r="BA1095" i="3"/>
  <c r="BB1095" i="3" s="1"/>
  <c r="BA1097" i="3"/>
  <c r="BB1097" i="3" s="1"/>
  <c r="AY1097" i="3"/>
  <c r="AZ1097" i="3" s="1"/>
  <c r="BA1104" i="3"/>
  <c r="BB1104" i="3" s="1"/>
  <c r="AY1104" i="3"/>
  <c r="AZ1104" i="3" s="1"/>
  <c r="Q1106" i="3"/>
  <c r="BA1106" i="3"/>
  <c r="BB1106" i="3" s="1"/>
  <c r="AY1106" i="3"/>
  <c r="AZ1106" i="3" s="1"/>
  <c r="BA1109" i="3"/>
  <c r="BB1109" i="3" s="1"/>
  <c r="AZ1109" i="3"/>
  <c r="BA1118" i="3"/>
  <c r="BB1118" i="3" s="1"/>
  <c r="AY1118" i="3"/>
  <c r="AZ1118" i="3" s="1"/>
  <c r="Q1120" i="3"/>
  <c r="Q1122" i="3"/>
  <c r="BA1125" i="3"/>
  <c r="BB1125" i="3" s="1"/>
  <c r="AY1125" i="3"/>
  <c r="AZ1125" i="3" s="1"/>
  <c r="AD1130" i="3"/>
  <c r="BA1134" i="3"/>
  <c r="BB1134" i="3" s="1"/>
  <c r="AY1134" i="3"/>
  <c r="AZ1134" i="3" s="1"/>
  <c r="T1139" i="3"/>
  <c r="Q1162" i="3"/>
  <c r="T1164" i="3"/>
  <c r="BA1166" i="3"/>
  <c r="BB1166" i="3" s="1"/>
  <c r="AZ1166" i="3"/>
  <c r="BA1170" i="3"/>
  <c r="BB1170" i="3" s="1"/>
  <c r="AY1170" i="3"/>
  <c r="AZ1170" i="3" s="1"/>
  <c r="Q1172" i="3"/>
  <c r="BA1174" i="3"/>
  <c r="BB1174" i="3" s="1"/>
  <c r="AY1174" i="3"/>
  <c r="AZ1174" i="3" s="1"/>
  <c r="BA1178" i="3"/>
  <c r="BB1178" i="3" s="1"/>
  <c r="AY1178" i="3"/>
  <c r="AZ1178" i="3" s="1"/>
  <c r="T1189" i="3"/>
  <c r="T1191" i="3"/>
  <c r="T1197" i="3"/>
  <c r="AY1208" i="3"/>
  <c r="AZ1208" i="3" s="1"/>
  <c r="BA1208" i="3"/>
  <c r="BB1208" i="3" s="1"/>
  <c r="T1212" i="3"/>
  <c r="BA1212" i="3"/>
  <c r="BB1212" i="3" s="1"/>
  <c r="AY1212" i="3"/>
  <c r="AZ1212" i="3" s="1"/>
  <c r="T1216" i="3"/>
  <c r="BA1216" i="3"/>
  <c r="BB1216" i="3" s="1"/>
  <c r="AY1216" i="3"/>
  <c r="AZ1216" i="3" s="1"/>
  <c r="T1219" i="3"/>
  <c r="T1223" i="3"/>
  <c r="T1225" i="3"/>
  <c r="AY1228" i="3"/>
  <c r="AZ1228" i="3" s="1"/>
  <c r="BA1228" i="3"/>
  <c r="BB1228" i="3" s="1"/>
  <c r="BA1232" i="3"/>
  <c r="BB1232" i="3" s="1"/>
  <c r="AZ1232" i="3"/>
  <c r="BA1238" i="3"/>
  <c r="BB1238" i="3" s="1"/>
  <c r="AY1238" i="3"/>
  <c r="AZ1238" i="3" s="1"/>
  <c r="BA1243" i="3"/>
  <c r="BB1243" i="3" s="1"/>
  <c r="BA1256" i="3"/>
  <c r="BB1256" i="3" s="1"/>
  <c r="AY1256" i="3"/>
  <c r="AZ1256" i="3" s="1"/>
  <c r="T1258" i="3"/>
  <c r="Q1263" i="3"/>
  <c r="T1265" i="3"/>
  <c r="AZ1272" i="3"/>
  <c r="BA1272" i="3"/>
  <c r="BB1272" i="3" s="1"/>
  <c r="BA1278" i="3"/>
  <c r="BB1278" i="3" s="1"/>
  <c r="AY1278" i="3"/>
  <c r="AZ1278" i="3" s="1"/>
  <c r="BA1282" i="3"/>
  <c r="BB1282" i="3" s="1"/>
  <c r="AY1282" i="3"/>
  <c r="AZ1282" i="3" s="1"/>
  <c r="BA1286" i="3"/>
  <c r="BB1286" i="3" s="1"/>
  <c r="Q1289" i="3"/>
  <c r="Q1293" i="3"/>
  <c r="BA1300" i="3"/>
  <c r="BB1300" i="3" s="1"/>
  <c r="BA1318" i="3"/>
  <c r="BB1318" i="3" s="1"/>
  <c r="AY1318" i="3"/>
  <c r="AZ1318" i="3" s="1"/>
  <c r="T1330" i="3"/>
  <c r="Q1336" i="3"/>
  <c r="BA1340" i="3"/>
  <c r="BB1340" i="3" s="1"/>
  <c r="AY1340" i="3"/>
  <c r="AZ1340" i="3" s="1"/>
  <c r="T1342" i="3"/>
  <c r="AZ1379" i="3"/>
  <c r="BA1379" i="3"/>
  <c r="BB1379" i="3" s="1"/>
  <c r="BA1383" i="3"/>
  <c r="BB1383" i="3" s="1"/>
  <c r="AZ1383" i="3"/>
  <c r="AZ1388" i="3"/>
  <c r="BA1388" i="3"/>
  <c r="BB1388" i="3" s="1"/>
  <c r="BA1390" i="3"/>
  <c r="BB1390" i="3" s="1"/>
  <c r="AY1390" i="3"/>
  <c r="AZ1390" i="3" s="1"/>
  <c r="BA1393" i="3"/>
  <c r="BB1393" i="3" s="1"/>
  <c r="AY1393" i="3"/>
  <c r="AZ1393" i="3" s="1"/>
  <c r="T1399" i="3"/>
  <c r="BA1412" i="3"/>
  <c r="BB1412" i="3" s="1"/>
  <c r="AY1412" i="3"/>
  <c r="AZ1412" i="3" s="1"/>
  <c r="BA1415" i="3"/>
  <c r="BB1415" i="3" s="1"/>
  <c r="AY1415" i="3"/>
  <c r="AZ1415" i="3" s="1"/>
  <c r="BA1418" i="3"/>
  <c r="BB1418" i="3" s="1"/>
  <c r="BA1432" i="3"/>
  <c r="BB1432" i="3" s="1"/>
  <c r="BA1441" i="3"/>
  <c r="BB1441" i="3" s="1"/>
  <c r="AZ1441" i="3"/>
  <c r="T1443" i="3"/>
  <c r="AY1443" i="3"/>
  <c r="AZ1443" i="3" s="1"/>
  <c r="BA1443" i="3"/>
  <c r="BB1443" i="3" s="1"/>
  <c r="BA1446" i="3"/>
  <c r="BB1446" i="3" s="1"/>
  <c r="AZ1446" i="3"/>
  <c r="AD1187" i="3"/>
  <c r="BA1187" i="3"/>
  <c r="BB1187" i="3" s="1"/>
  <c r="AY1187" i="3"/>
  <c r="AZ1187" i="3" s="1"/>
  <c r="BA1194" i="3"/>
  <c r="BB1194" i="3" s="1"/>
  <c r="AZ1194" i="3"/>
  <c r="AY1201" i="3"/>
  <c r="AZ1201" i="3" s="1"/>
  <c r="BA1201" i="3"/>
  <c r="BB1201" i="3" s="1"/>
  <c r="BA1205" i="3"/>
  <c r="BB1205" i="3" s="1"/>
  <c r="AY1205" i="3"/>
  <c r="AZ1205" i="3" s="1"/>
  <c r="BA1241" i="3"/>
  <c r="BB1241" i="3" s="1"/>
  <c r="AY1241" i="3"/>
  <c r="AZ1241" i="3" s="1"/>
  <c r="BA1245" i="3"/>
  <c r="BB1245" i="3" s="1"/>
  <c r="AY1245" i="3"/>
  <c r="AZ1245" i="3" s="1"/>
  <c r="BA1250" i="3"/>
  <c r="BB1250" i="3" s="1"/>
  <c r="BA1252" i="3"/>
  <c r="BB1252" i="3" s="1"/>
  <c r="AY1252" i="3"/>
  <c r="AZ1252" i="3" s="1"/>
  <c r="T1263" i="3"/>
  <c r="AZ1268" i="3"/>
  <c r="BA1268" i="3"/>
  <c r="BB1268" i="3" s="1"/>
  <c r="BA1276" i="3"/>
  <c r="BB1276" i="3" s="1"/>
  <c r="T1293" i="3"/>
  <c r="BA1296" i="3"/>
  <c r="BB1296" i="3" s="1"/>
  <c r="AY1296" i="3"/>
  <c r="AZ1296" i="3" s="1"/>
  <c r="AY1303" i="3"/>
  <c r="AZ1303" i="3" s="1"/>
  <c r="BA1303" i="3"/>
  <c r="BB1303" i="3" s="1"/>
  <c r="BA1307" i="3"/>
  <c r="BB1307" i="3" s="1"/>
  <c r="AY1307" i="3"/>
  <c r="AZ1307" i="3" s="1"/>
  <c r="BA1311" i="3"/>
  <c r="BB1311" i="3" s="1"/>
  <c r="AY1311" i="3"/>
  <c r="AZ1311" i="3" s="1"/>
  <c r="BA1315" i="3"/>
  <c r="BB1315" i="3" s="1"/>
  <c r="AY1315" i="3"/>
  <c r="AZ1315" i="3" s="1"/>
  <c r="T1318" i="3"/>
  <c r="AZ1322" i="3"/>
  <c r="BA1322" i="3"/>
  <c r="BB1322" i="3" s="1"/>
  <c r="BA1328" i="3"/>
  <c r="BB1328" i="3" s="1"/>
  <c r="BA1334" i="3"/>
  <c r="BB1334" i="3" s="1"/>
  <c r="AY1334" i="3"/>
  <c r="AZ1334" i="3" s="1"/>
  <c r="T1336" i="3"/>
  <c r="BA1338" i="3"/>
  <c r="BB1338" i="3" s="1"/>
  <c r="AY1338" i="3"/>
  <c r="AZ1338" i="3" s="1"/>
  <c r="T1340" i="3"/>
  <c r="AY1352" i="3"/>
  <c r="AZ1352" i="3" s="1"/>
  <c r="BA1352" i="3"/>
  <c r="BB1352" i="3" s="1"/>
  <c r="BA1359" i="3"/>
  <c r="BB1359" i="3" s="1"/>
  <c r="AZ1359" i="3"/>
  <c r="BA1367" i="3"/>
  <c r="BB1367" i="3" s="1"/>
  <c r="AZ1367" i="3"/>
  <c r="BA1369" i="3"/>
  <c r="BB1369" i="3" s="1"/>
  <c r="AD1372" i="3"/>
  <c r="AZ1372" i="3" s="1"/>
  <c r="BA1377" i="3"/>
  <c r="BB1377" i="3" s="1"/>
  <c r="Q1390" i="3"/>
  <c r="BA1403" i="3"/>
  <c r="BB1403" i="3" s="1"/>
  <c r="AY1403" i="3"/>
  <c r="AZ1403" i="3" s="1"/>
  <c r="BA1406" i="3"/>
  <c r="BB1406" i="3" s="1"/>
  <c r="AZ1406" i="3"/>
  <c r="BA1409" i="3"/>
  <c r="BB1409" i="3" s="1"/>
  <c r="Q1415" i="3"/>
  <c r="AD1421" i="3"/>
  <c r="BA1429" i="3"/>
  <c r="BB1429" i="3" s="1"/>
  <c r="AZ1429" i="3"/>
  <c r="AZ1434" i="3"/>
  <c r="BA1434" i="3"/>
  <c r="BB1434" i="3" s="1"/>
  <c r="BA1436" i="3"/>
  <c r="BB1436" i="3" s="1"/>
  <c r="AZ1436" i="3"/>
  <c r="BA1439" i="3"/>
  <c r="BB1439" i="3" s="1"/>
  <c r="AY1439" i="3"/>
  <c r="AZ1439" i="3" s="1"/>
  <c r="BA1384" i="3"/>
  <c r="BB1384" i="3" s="1"/>
  <c r="AY1384" i="3"/>
  <c r="AZ1384" i="3" s="1"/>
  <c r="BA1386" i="3"/>
  <c r="BB1386" i="3" s="1"/>
  <c r="AZ1386" i="3"/>
  <c r="BA1394" i="3"/>
  <c r="BB1394" i="3" s="1"/>
  <c r="AZ1394" i="3"/>
  <c r="BA1397" i="3"/>
  <c r="BB1397" i="3" s="1"/>
  <c r="AZ1397" i="3"/>
  <c r="BA1400" i="3"/>
  <c r="BB1400" i="3" s="1"/>
  <c r="AY1400" i="3"/>
  <c r="AZ1400" i="3" s="1"/>
  <c r="T1403" i="3"/>
  <c r="BA1413" i="3"/>
  <c r="BB1413" i="3" s="1"/>
  <c r="AY1413" i="3"/>
  <c r="AZ1413" i="3" s="1"/>
  <c r="BA1419" i="3"/>
  <c r="BB1419" i="3" s="1"/>
  <c r="AZ1419" i="3"/>
  <c r="BA1422" i="3"/>
  <c r="BB1422" i="3" s="1"/>
  <c r="AZ1422" i="3"/>
  <c r="AD1424" i="3"/>
  <c r="AZ1424" i="3" s="1"/>
  <c r="BA1427" i="3"/>
  <c r="BB1427" i="3" s="1"/>
  <c r="AZ1427" i="3"/>
  <c r="AD1443"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Z930" i="3"/>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BA1027" i="3"/>
  <c r="BB1027" i="3" s="1"/>
  <c r="AZ1027" i="3"/>
  <c r="AZ1029" i="3"/>
  <c r="BA1029" i="3"/>
  <c r="BB1029" i="3" s="1"/>
  <c r="BA1033" i="3"/>
  <c r="BB1033" i="3" s="1"/>
  <c r="AY1050" i="3"/>
  <c r="AZ1050" i="3" s="1"/>
  <c r="BA1050" i="3"/>
  <c r="BB1050" i="3" s="1"/>
  <c r="AZ1052" i="3"/>
  <c r="BA1052" i="3"/>
  <c r="BB1052" i="3" s="1"/>
  <c r="AY1063" i="3"/>
  <c r="AZ1063" i="3" s="1"/>
  <c r="BA1063" i="3"/>
  <c r="BB1063" i="3" s="1"/>
  <c r="AD1064" i="3"/>
  <c r="AD1079" i="3"/>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BA1129" i="3"/>
  <c r="BB1129" i="3" s="1"/>
  <c r="AZ1129" i="3"/>
  <c r="BA1144" i="3"/>
  <c r="BB1144" i="3" s="1"/>
  <c r="AY1144" i="3"/>
  <c r="AZ1144" i="3" s="1"/>
  <c r="BA1147" i="3"/>
  <c r="BB1147" i="3" s="1"/>
  <c r="AY1147" i="3"/>
  <c r="AZ1147" i="3" s="1"/>
  <c r="BA1156" i="3"/>
  <c r="BB1156" i="3" s="1"/>
  <c r="AZ1156" i="3"/>
  <c r="BA1163" i="3"/>
  <c r="BB1163" i="3" s="1"/>
  <c r="AY1163" i="3"/>
  <c r="AZ1163" i="3" s="1"/>
  <c r="BA1165" i="3"/>
  <c r="BB1165" i="3" s="1"/>
  <c r="AY1165" i="3"/>
  <c r="AZ1165" i="3" s="1"/>
  <c r="BA1171" i="3"/>
  <c r="BB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BA1290" i="3"/>
  <c r="BB1290" i="3" s="1"/>
  <c r="BA1294" i="3"/>
  <c r="BB1294" i="3" s="1"/>
  <c r="AZ1294" i="3"/>
  <c r="T1296" i="3"/>
  <c r="BA1299" i="3"/>
  <c r="BB1299" i="3" s="1"/>
  <c r="AZ1299" i="3"/>
  <c r="BA1304" i="3"/>
  <c r="BB1304" i="3" s="1"/>
  <c r="AZ1304" i="3"/>
  <c r="BA1308" i="3"/>
  <c r="BB1308" i="3" s="1"/>
  <c r="AY1308" i="3"/>
  <c r="AZ1308" i="3" s="1"/>
  <c r="BA1312" i="3"/>
  <c r="BB1312" i="3" s="1"/>
  <c r="AY1312" i="3"/>
  <c r="AZ1312" i="3" s="1"/>
  <c r="AZ1316" i="3"/>
  <c r="BA1316" i="3"/>
  <c r="BB1316" i="3" s="1"/>
  <c r="AZ1319" i="3"/>
  <c r="BA1319" i="3"/>
  <c r="BB1319" i="3" s="1"/>
  <c r="BA1323" i="3"/>
  <c r="BB1323" i="3" s="1"/>
  <c r="AY1323" i="3"/>
  <c r="AZ1323" i="3" s="1"/>
  <c r="AD1328" i="3"/>
  <c r="AZ1328" i="3" s="1"/>
  <c r="AD1336" i="3"/>
  <c r="T1338" i="3"/>
  <c r="AY1341" i="3"/>
  <c r="AZ1341" i="3" s="1"/>
  <c r="BA1341" i="3"/>
  <c r="BB1341" i="3" s="1"/>
  <c r="BA1343" i="3"/>
  <c r="BB1343" i="3" s="1"/>
  <c r="BA1345" i="3"/>
  <c r="BB1345" i="3" s="1"/>
  <c r="AZ1345" i="3"/>
  <c r="T1352" i="3"/>
  <c r="BA1360" i="3"/>
  <c r="BB1360" i="3" s="1"/>
  <c r="BA1363" i="3"/>
  <c r="BB1363" i="3" s="1"/>
  <c r="AZ1363" i="3"/>
  <c r="BA1365" i="3"/>
  <c r="BB1365" i="3" s="1"/>
  <c r="AY1365" i="3"/>
  <c r="AZ1365" i="3" s="1"/>
  <c r="BA1371" i="3"/>
  <c r="BB1371" i="3" s="1"/>
  <c r="BA1375" i="3"/>
  <c r="BB1375" i="3" s="1"/>
  <c r="AD1381" i="3"/>
  <c r="AZ1381" i="3" s="1"/>
  <c r="T1384" i="3"/>
  <c r="BA1389" i="3"/>
  <c r="BB1389" i="3" s="1"/>
  <c r="AZ1389" i="3"/>
  <c r="AD1390" i="3"/>
  <c r="BA1407" i="3"/>
  <c r="BB1407" i="3" s="1"/>
  <c r="AY1407" i="3"/>
  <c r="AZ1407" i="3" s="1"/>
  <c r="BA1410" i="3"/>
  <c r="BB1410" i="3" s="1"/>
  <c r="Q1413" i="3"/>
  <c r="BA1416" i="3"/>
  <c r="BB1416" i="3" s="1"/>
  <c r="AZ1416" i="3"/>
  <c r="BA1425" i="3"/>
  <c r="BB1425" i="3" s="1"/>
  <c r="BA1430" i="3"/>
  <c r="BB1430" i="3" s="1"/>
  <c r="BA1437" i="3"/>
  <c r="BB1437" i="3" s="1"/>
  <c r="AY1437" i="3"/>
  <c r="AZ1437" i="3" s="1"/>
  <c r="AZ1440" i="3"/>
  <c r="BA1440" i="3"/>
  <c r="BB1440" i="3" s="1"/>
  <c r="BA1444" i="3"/>
  <c r="BB1444" i="3" s="1"/>
  <c r="AZ1444" i="3"/>
  <c r="AD49" i="3"/>
  <c r="AD65" i="3"/>
  <c r="AD226" i="3"/>
  <c r="Q226" i="3"/>
  <c r="T279" i="3"/>
  <c r="Q312" i="3"/>
  <c r="Q317" i="3"/>
  <c r="T317" i="3"/>
  <c r="Q436" i="3"/>
  <c r="Q452" i="3"/>
  <c r="Q462" i="3"/>
  <c r="AD462" i="3"/>
  <c r="T462" i="3"/>
  <c r="AD502" i="3"/>
  <c r="T502" i="3"/>
  <c r="Q502" i="3"/>
  <c r="AD564" i="3"/>
  <c r="T564" i="3"/>
  <c r="AD756" i="3"/>
  <c r="T756" i="3"/>
  <c r="T893" i="3"/>
  <c r="Q893" i="3"/>
  <c r="AD893" i="3"/>
  <c r="AD992" i="3"/>
  <c r="AZ992" i="3" s="1"/>
  <c r="AD1092" i="3"/>
  <c r="T1092" i="3"/>
  <c r="Q1092" i="3"/>
  <c r="T304" i="3"/>
  <c r="Q304" i="3"/>
  <c r="Q879" i="3"/>
  <c r="AD879" i="3"/>
  <c r="T879" i="3"/>
  <c r="T889" i="3"/>
  <c r="Q889" i="3"/>
  <c r="AD889" i="3"/>
  <c r="T967" i="3"/>
  <c r="AD967"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AD11" i="3"/>
  <c r="T14" i="3"/>
  <c r="AD15" i="3"/>
  <c r="T18" i="3"/>
  <c r="AD19" i="3"/>
  <c r="T26" i="3"/>
  <c r="AD31" i="3"/>
  <c r="AZ31" i="3" s="1"/>
  <c r="T34" i="3"/>
  <c r="T38" i="3"/>
  <c r="AD39" i="3"/>
  <c r="AZ39" i="3" s="1"/>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42" i="3"/>
  <c r="Q52" i="3"/>
  <c r="AD194" i="3"/>
  <c r="Q194" i="3"/>
  <c r="Q230" i="3"/>
  <c r="Q299" i="3"/>
  <c r="Q328" i="3"/>
  <c r="T45" i="3"/>
  <c r="T61" i="3"/>
  <c r="AD10" i="3"/>
  <c r="AZ10" i="3" s="1"/>
  <c r="AD14" i="3"/>
  <c r="AD18" i="3"/>
  <c r="AD26" i="3"/>
  <c r="AD30" i="3"/>
  <c r="AZ30" i="3" s="1"/>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4" i="3"/>
  <c r="T28" i="3"/>
  <c r="T40" i="3"/>
  <c r="T50" i="3"/>
  <c r="Q53"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AZ1036" i="3" s="1"/>
  <c r="AD1351" i="3"/>
  <c r="AZ1351" i="3" s="1"/>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AD996" i="3"/>
  <c r="AZ996" i="3" s="1"/>
  <c r="Q935" i="3"/>
  <c r="AD981" i="3"/>
  <c r="T988" i="3"/>
  <c r="Q988" i="3"/>
  <c r="AD1145" i="3"/>
  <c r="Q1145" i="3"/>
  <c r="Q1111" i="3"/>
  <c r="AD1155" i="3"/>
  <c r="AD1235" i="3"/>
  <c r="AD1249" i="3"/>
  <c r="T1249" i="3"/>
  <c r="Q1249" i="3"/>
  <c r="AD1275" i="3"/>
  <c r="AZ1275" i="3" s="1"/>
  <c r="T696" i="3"/>
  <c r="T705" i="3"/>
  <c r="T728" i="3"/>
  <c r="Q866" i="3"/>
  <c r="AD874" i="3"/>
  <c r="AD890" i="3"/>
  <c r="AD906" i="3"/>
  <c r="T976" i="3"/>
  <c r="Q976" i="3"/>
  <c r="Q978" i="3"/>
  <c r="AD1013" i="3"/>
  <c r="AZ1013" i="3" s="1"/>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AD993" i="3"/>
  <c r="AZ993" i="3" s="1"/>
  <c r="AD1000" i="3"/>
  <c r="AZ1000" i="3" s="1"/>
  <c r="T1087" i="3"/>
  <c r="AD1087" i="3"/>
  <c r="AD1107" i="3"/>
  <c r="AZ1107" i="3" s="1"/>
  <c r="T1161" i="3"/>
  <c r="Q1161" i="3"/>
  <c r="AD1161" i="3"/>
  <c r="T697" i="3"/>
  <c r="T720" i="3"/>
  <c r="T729" i="3"/>
  <c r="Q749" i="3"/>
  <c r="Q757" i="3"/>
  <c r="Q765" i="3"/>
  <c r="Q773" i="3"/>
  <c r="Q781" i="3"/>
  <c r="Q789" i="3"/>
  <c r="Q797" i="3"/>
  <c r="AD878" i="3"/>
  <c r="AD894" i="3"/>
  <c r="AD910" i="3"/>
  <c r="T939" i="3"/>
  <c r="T947" i="3"/>
  <c r="T955" i="3"/>
  <c r="T963" i="3"/>
  <c r="T971" i="3"/>
  <c r="T980" i="3"/>
  <c r="Q980" i="3"/>
  <c r="Q982" i="3"/>
  <c r="AD1039" i="3"/>
  <c r="AZ1039" i="3" s="1"/>
  <c r="Q1132" i="3"/>
  <c r="AD1132"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9" i="3"/>
  <c r="Q947" i="3"/>
  <c r="T949" i="3"/>
  <c r="Q955" i="3"/>
  <c r="T957" i="3"/>
  <c r="Q963" i="3"/>
  <c r="T965" i="3"/>
  <c r="Q971" i="3"/>
  <c r="AD977" i="3"/>
  <c r="AD978" i="3"/>
  <c r="T982" i="3"/>
  <c r="Q986" i="3"/>
  <c r="T1098" i="3"/>
  <c r="AD1098" i="3"/>
  <c r="Q1098" i="3"/>
  <c r="T1185" i="3"/>
  <c r="Q1185" i="3"/>
  <c r="AD1185" i="3"/>
  <c r="T865" i="3"/>
  <c r="AD882" i="3"/>
  <c r="AD898" i="3"/>
  <c r="AD914" i="3"/>
  <c r="T923" i="3"/>
  <c r="T935" i="3"/>
  <c r="T984" i="3"/>
  <c r="Q984" i="3"/>
  <c r="Q990" i="3"/>
  <c r="AD1001" i="3"/>
  <c r="T1001" i="3"/>
  <c r="Q1001" i="3"/>
  <c r="AD1034" i="3"/>
  <c r="AZ1034" i="3" s="1"/>
  <c r="AD1089" i="3"/>
  <c r="Q1089" i="3"/>
  <c r="T1089" i="3"/>
  <c r="T1106" i="3"/>
  <c r="AD1106" i="3"/>
  <c r="Q1124" i="3"/>
  <c r="AD1124" i="3"/>
  <c r="T1044" i="3"/>
  <c r="AD1049" i="3"/>
  <c r="AD1050" i="3"/>
  <c r="AD1057" i="3"/>
  <c r="AZ1057" i="3" s="1"/>
  <c r="T1060" i="3"/>
  <c r="AD1065" i="3"/>
  <c r="AD1066" i="3"/>
  <c r="T1068" i="3"/>
  <c r="AD1073" i="3"/>
  <c r="AD1074" i="3"/>
  <c r="T1076" i="3"/>
  <c r="AD1081" i="3"/>
  <c r="AD1082" i="3"/>
  <c r="AZ1082" i="3" s="1"/>
  <c r="T1084" i="3"/>
  <c r="T1090" i="3"/>
  <c r="Q1094" i="3"/>
  <c r="AD1095" i="3"/>
  <c r="AZ1095" i="3" s="1"/>
  <c r="T1181" i="3"/>
  <c r="Q867" i="3"/>
  <c r="Q925" i="3"/>
  <c r="Q940" i="3"/>
  <c r="Q944" i="3"/>
  <c r="Q948" i="3"/>
  <c r="Q952" i="3"/>
  <c r="Q956" i="3"/>
  <c r="Q960" i="3"/>
  <c r="Q964" i="3"/>
  <c r="Q968" i="3"/>
  <c r="Q1002" i="3"/>
  <c r="AD1005" i="3"/>
  <c r="Q1005" i="3"/>
  <c r="AD1006" i="3"/>
  <c r="Q1044" i="3"/>
  <c r="Q1049" i="3"/>
  <c r="Q1060" i="3"/>
  <c r="Q1062" i="3"/>
  <c r="Q1065" i="3"/>
  <c r="Q1068" i="3"/>
  <c r="Q1070" i="3"/>
  <c r="Q1073" i="3"/>
  <c r="Q1076" i="3"/>
  <c r="Q1078" i="3"/>
  <c r="Q1081" i="3"/>
  <c r="Q1084" i="3"/>
  <c r="Q1086" i="3"/>
  <c r="Q1090" i="3"/>
  <c r="AD1091" i="3"/>
  <c r="T1094" i="3"/>
  <c r="AD1105" i="3"/>
  <c r="Q1105" i="3"/>
  <c r="T1114" i="3"/>
  <c r="Q1130" i="3"/>
  <c r="Q1138" i="3"/>
  <c r="T1170" i="3"/>
  <c r="Q1170" i="3"/>
  <c r="Q1181" i="3"/>
  <c r="T1215" i="3"/>
  <c r="AD1226" i="3"/>
  <c r="T1226" i="3"/>
  <c r="Q1226" i="3"/>
  <c r="AD1305" i="3"/>
  <c r="AZ1305" i="3" s="1"/>
  <c r="T1400" i="3"/>
  <c r="AD1097" i="3"/>
  <c r="Q1097" i="3"/>
  <c r="Q1112" i="3"/>
  <c r="AD1146" i="3"/>
  <c r="AD1163" i="3"/>
  <c r="T1163" i="3"/>
  <c r="T1178" i="3"/>
  <c r="AD1178" i="3"/>
  <c r="AD1256" i="3"/>
  <c r="T1256" i="3"/>
  <c r="Q1256" i="3"/>
  <c r="AD1302" i="3"/>
  <c r="Q1392" i="3"/>
  <c r="AD1392" i="3"/>
  <c r="AD1238" i="3"/>
  <c r="T1238" i="3"/>
  <c r="Q1238" i="3"/>
  <c r="T1392" i="3"/>
  <c r="AD802" i="3"/>
  <c r="AD940" i="3"/>
  <c r="AD944" i="3"/>
  <c r="AD948" i="3"/>
  <c r="AD952" i="3"/>
  <c r="AD956" i="3"/>
  <c r="AD960" i="3"/>
  <c r="AD964" i="3"/>
  <c r="AD968" i="3"/>
  <c r="T998" i="3"/>
  <c r="AD1002" i="3"/>
  <c r="T1004" i="3"/>
  <c r="AD1045" i="3"/>
  <c r="AD1046" i="3"/>
  <c r="AZ1046" i="3" s="1"/>
  <c r="T1048" i="3"/>
  <c r="AD1054" i="3"/>
  <c r="AD1061" i="3"/>
  <c r="AD1062" i="3"/>
  <c r="T1064" i="3"/>
  <c r="AD1069" i="3"/>
  <c r="AD1070" i="3"/>
  <c r="T1072" i="3"/>
  <c r="AD1077" i="3"/>
  <c r="AD1078" i="3"/>
  <c r="T1080" i="3"/>
  <c r="AD1085" i="3"/>
  <c r="AD1086" i="3"/>
  <c r="T1100" i="3"/>
  <c r="AD1128" i="3"/>
  <c r="AZ1128" i="3" s="1"/>
  <c r="AD1136" i="3"/>
  <c r="AD1152" i="3"/>
  <c r="T1169" i="3"/>
  <c r="Q1169" i="3"/>
  <c r="AD1174" i="3"/>
  <c r="T1203" i="3"/>
  <c r="AD1021" i="3"/>
  <c r="AZ1021" i="3" s="1"/>
  <c r="Q1050" i="3"/>
  <c r="Q1066" i="3"/>
  <c r="Q1074" i="3"/>
  <c r="T1115" i="3"/>
  <c r="AD1142" i="3"/>
  <c r="Q1142" i="3"/>
  <c r="AD1293" i="3"/>
  <c r="T1331" i="3"/>
  <c r="AD1331" i="3"/>
  <c r="Q1331" i="3"/>
  <c r="AD1338" i="3"/>
  <c r="AD1354" i="3"/>
  <c r="AD1369" i="3"/>
  <c r="AZ1369" i="3" s="1"/>
  <c r="Q1384" i="3"/>
  <c r="AD1430" i="3"/>
  <c r="AZ1430" i="3" s="1"/>
  <c r="AD1437" i="3"/>
  <c r="T1177" i="3"/>
  <c r="Q1177" i="3"/>
  <c r="T1210" i="3"/>
  <c r="AD1261" i="3"/>
  <c r="Q1261" i="3"/>
  <c r="T1261" i="3"/>
  <c r="AD1287" i="3"/>
  <c r="Q1287" i="3"/>
  <c r="AD1332" i="3"/>
  <c r="Q1332" i="3"/>
  <c r="AD1384" i="3"/>
  <c r="T1207" i="3"/>
  <c r="AD1227" i="3"/>
  <c r="AZ1227" i="3" s="1"/>
  <c r="AD1242" i="3"/>
  <c r="T1242" i="3"/>
  <c r="Q1242" i="3"/>
  <c r="AD1250" i="3"/>
  <c r="AZ1250" i="3" s="1"/>
  <c r="Q1258" i="3"/>
  <c r="AD1258" i="3"/>
  <c r="AD1277" i="3"/>
  <c r="T1277" i="3"/>
  <c r="AD1290" i="3"/>
  <c r="AZ1290" i="3" s="1"/>
  <c r="AD1303" i="3"/>
  <c r="T1335" i="3"/>
  <c r="AD1335" i="3"/>
  <c r="Q1335" i="3"/>
  <c r="AD1343" i="3"/>
  <c r="AZ1343" i="3" s="1"/>
  <c r="AD1366" i="3"/>
  <c r="AZ1366" i="3" s="1"/>
  <c r="T1409" i="3"/>
  <c r="Q1409" i="3"/>
  <c r="AD1239" i="3"/>
  <c r="AD1246" i="3"/>
  <c r="AZ1246" i="3" s="1"/>
  <c r="T1262" i="3"/>
  <c r="AD1375" i="3"/>
  <c r="AZ1375" i="3" s="1"/>
  <c r="T1404" i="3"/>
  <c r="AD1172" i="3"/>
  <c r="T1187" i="3"/>
  <c r="Q1239" i="3"/>
  <c r="Q1262" i="3"/>
  <c r="AD1288" i="3"/>
  <c r="T1288" i="3"/>
  <c r="Q1288" i="3"/>
  <c r="T1297" i="3"/>
  <c r="AD1297" i="3"/>
  <c r="AD1350" i="3"/>
  <c r="AZ1350" i="3" s="1"/>
  <c r="AD1357" i="3"/>
  <c r="AZ1357" i="3" s="1"/>
  <c r="AD1439" i="3"/>
  <c r="T1439" i="3"/>
  <c r="Q1439" i="3"/>
  <c r="AD1231" i="3"/>
  <c r="AD1234" i="3"/>
  <c r="T1234" i="3"/>
  <c r="Q1234" i="3"/>
  <c r="T1239" i="3"/>
  <c r="AD1243" i="3"/>
  <c r="AZ1243" i="3" s="1"/>
  <c r="AD1264" i="3"/>
  <c r="T1264" i="3"/>
  <c r="Q1264" i="3"/>
  <c r="Q1297" i="3"/>
  <c r="AD1340" i="3"/>
  <c r="Q1340" i="3"/>
  <c r="AD1348" i="3"/>
  <c r="AZ1348" i="3" s="1"/>
  <c r="AD1391" i="3"/>
  <c r="T1391" i="3"/>
  <c r="Q1391" i="3"/>
  <c r="T1252" i="3"/>
  <c r="AD1329" i="3"/>
  <c r="AZ1329" i="3" s="1"/>
  <c r="AD1423" i="3"/>
  <c r="Q1192" i="3"/>
  <c r="AD1245" i="3"/>
  <c r="Q1252" i="3"/>
  <c r="AD1296" i="3"/>
  <c r="Q1342" i="3"/>
  <c r="Q1410" i="3"/>
  <c r="Q1423" i="3"/>
  <c r="T1248" i="3"/>
  <c r="T1274" i="3"/>
  <c r="Q1339" i="3"/>
  <c r="T1410" i="3"/>
  <c r="T1423" i="3"/>
  <c r="Q1248" i="3"/>
  <c r="Q1259" i="3"/>
  <c r="Q1274" i="3"/>
  <c r="T1289" i="3"/>
  <c r="AD1330" i="3"/>
  <c r="T1334" i="3"/>
  <c r="T1339" i="3"/>
  <c r="T1341" i="3"/>
  <c r="T1365" i="3"/>
  <c r="AD1371" i="3"/>
  <c r="AZ1371" i="3" s="1"/>
  <c r="T1390" i="3"/>
  <c r="T1413" i="3"/>
  <c r="Q1421" i="3"/>
  <c r="Q1443" i="3"/>
  <c r="T1421" i="3"/>
  <c r="S3" i="3"/>
  <c r="AC3" i="3" s="1"/>
  <c r="E6" i="3"/>
  <c r="B4" i="3"/>
  <c r="H4" i="3" s="1"/>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4" i="3"/>
  <c r="Q164" i="3"/>
  <c r="AD168" i="3"/>
  <c r="Q168" i="3"/>
  <c r="AD172" i="3"/>
  <c r="Q172" i="3"/>
  <c r="AD176" i="3"/>
  <c r="Q176" i="3"/>
  <c r="AD180" i="3"/>
  <c r="Q180" i="3"/>
  <c r="AD183" i="3"/>
  <c r="Q183" i="3"/>
  <c r="T183" i="3"/>
  <c r="AD144" i="3"/>
  <c r="Q144" i="3"/>
  <c r="AD98" i="3"/>
  <c r="AZ98" i="3" s="1"/>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AZ163" i="3" s="1"/>
  <c r="AD167" i="3"/>
  <c r="Q167" i="3"/>
  <c r="AD175" i="3"/>
  <c r="Q175" i="3"/>
  <c r="AD179" i="3"/>
  <c r="Q179" i="3"/>
  <c r="AD136" i="3"/>
  <c r="Q136" i="3"/>
  <c r="Q70" i="3"/>
  <c r="Q72" i="3"/>
  <c r="Q74" i="3"/>
  <c r="Q76" i="3"/>
  <c r="Q78" i="3"/>
  <c r="Q80" i="3"/>
  <c r="Q82" i="3"/>
  <c r="Q84" i="3"/>
  <c r="Q86" i="3"/>
  <c r="Q88" i="3"/>
  <c r="Q90" i="3"/>
  <c r="Q94" i="3"/>
  <c r="Q96" i="3"/>
  <c r="T99" i="3"/>
  <c r="Q100" i="3"/>
  <c r="T107" i="3"/>
  <c r="AD108" i="3"/>
  <c r="Q108" i="3"/>
  <c r="T115" i="3"/>
  <c r="AD116" i="3"/>
  <c r="Q116" i="3"/>
  <c r="T123" i="3"/>
  <c r="AD124" i="3"/>
  <c r="Q124" i="3"/>
  <c r="T131" i="3"/>
  <c r="AD132" i="3"/>
  <c r="Q132" i="3"/>
  <c r="T139" i="3"/>
  <c r="AD140" i="3"/>
  <c r="Q140" i="3"/>
  <c r="T147" i="3"/>
  <c r="T151" i="3"/>
  <c r="T155" i="3"/>
  <c r="T159" i="3"/>
  <c r="T167" i="3"/>
  <c r="T175" i="3"/>
  <c r="T179" i="3"/>
  <c r="AD184" i="3"/>
  <c r="Q184" i="3"/>
  <c r="T184" i="3"/>
  <c r="AD104" i="3"/>
  <c r="Q104" i="3"/>
  <c r="T66" i="3"/>
  <c r="AD67" i="3"/>
  <c r="AD69" i="3"/>
  <c r="T70" i="3"/>
  <c r="AD71" i="3"/>
  <c r="T72" i="3"/>
  <c r="AD73" i="3"/>
  <c r="T74" i="3"/>
  <c r="AD75" i="3"/>
  <c r="T76" i="3"/>
  <c r="AD77" i="3"/>
  <c r="T78" i="3"/>
  <c r="AD79" i="3"/>
  <c r="T80" i="3"/>
  <c r="AD81" i="3"/>
  <c r="T82" i="3"/>
  <c r="AD83" i="3"/>
  <c r="T84" i="3"/>
  <c r="AD85" i="3"/>
  <c r="T86" i="3"/>
  <c r="AD87" i="3"/>
  <c r="T88" i="3"/>
  <c r="AD89" i="3"/>
  <c r="T90" i="3"/>
  <c r="AD91"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2" i="3"/>
  <c r="T194" i="3"/>
  <c r="T196" i="3"/>
  <c r="T198" i="3"/>
  <c r="T200" i="3"/>
  <c r="T202" i="3"/>
  <c r="T204"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3" i="3"/>
  <c r="AZ1043" i="3" s="1"/>
  <c r="Q1131" i="3"/>
  <c r="AD1131" i="3"/>
  <c r="T1125" i="3"/>
  <c r="Q1125" i="3"/>
  <c r="AD1125" i="3"/>
  <c r="T1141" i="3"/>
  <c r="Q1141" i="3"/>
  <c r="AD1141" i="3"/>
  <c r="Q1123" i="3"/>
  <c r="AD1123" i="3"/>
  <c r="T1123" i="3"/>
  <c r="Q1139" i="3"/>
  <c r="AD1139" i="3"/>
  <c r="Q1127" i="3"/>
  <c r="Q1135" i="3"/>
  <c r="Q1143" i="3"/>
  <c r="T1147" i="3"/>
  <c r="T1127" i="3"/>
  <c r="T1135" i="3"/>
  <c r="T1143" i="3"/>
  <c r="AD1112" i="3"/>
  <c r="AD1114" i="3"/>
  <c r="Q1121" i="3"/>
  <c r="T1124" i="3"/>
  <c r="T1132" i="3"/>
  <c r="Q1137" i="3"/>
  <c r="T1140" i="3"/>
  <c r="T1144" i="3"/>
  <c r="T1152" i="3"/>
  <c r="T1117" i="3"/>
  <c r="T1118" i="3"/>
  <c r="T1119" i="3"/>
  <c r="T1145" i="3"/>
  <c r="AD1115" i="3"/>
  <c r="T1136" i="3"/>
  <c r="T1146" i="3"/>
  <c r="AD1147" i="3"/>
  <c r="T1150" i="3"/>
  <c r="AD1208" i="3"/>
  <c r="Q1208" i="3"/>
  <c r="T1208" i="3"/>
  <c r="AD1199" i="3"/>
  <c r="Q1199" i="3"/>
  <c r="T1199" i="3"/>
  <c r="AD1202" i="3"/>
  <c r="Q1202" i="3"/>
  <c r="T1202" i="3"/>
  <c r="AD1196" i="3"/>
  <c r="Q1196" i="3"/>
  <c r="AD1204" i="3"/>
  <c r="Q1204" i="3"/>
  <c r="AD1201" i="3"/>
  <c r="Q1201" i="3"/>
  <c r="AD1209" i="3"/>
  <c r="Q1209" i="3"/>
  <c r="T1196" i="3"/>
  <c r="AD1198" i="3"/>
  <c r="Q1198" i="3"/>
  <c r="T1204" i="3"/>
  <c r="AD1206" i="3"/>
  <c r="Q1206" i="3"/>
  <c r="AD1195" i="3"/>
  <c r="AZ1195" i="3" s="1"/>
  <c r="T1201" i="3"/>
  <c r="AD1203" i="3"/>
  <c r="Q1203" i="3"/>
  <c r="T1209" i="3"/>
  <c r="T1198" i="3"/>
  <c r="AD1200" i="3"/>
  <c r="AZ1200" i="3" s="1"/>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3" i="3"/>
  <c r="AD1224" i="3"/>
  <c r="T1273" i="3"/>
  <c r="Q1273" i="3"/>
  <c r="AD1271" i="3"/>
  <c r="AZ1271" i="3" s="1"/>
  <c r="AD1281" i="3"/>
  <c r="Q1281" i="3"/>
  <c r="AD1278" i="3"/>
  <c r="Q1278" i="3"/>
  <c r="AD1282" i="3"/>
  <c r="Q1282" i="3"/>
  <c r="AD1311" i="3"/>
  <c r="Q1311" i="3"/>
  <c r="T1311" i="3"/>
  <c r="AD1307" i="3"/>
  <c r="AD1323" i="3"/>
  <c r="AD1279" i="3"/>
  <c r="Q1279" i="3"/>
  <c r="AD1283" i="3"/>
  <c r="Q1283" i="3"/>
  <c r="AD1308" i="3"/>
  <c r="Q1308" i="3"/>
  <c r="T1308" i="3"/>
  <c r="T1278" i="3"/>
  <c r="T1282" i="3"/>
  <c r="AD1286" i="3"/>
  <c r="AZ1286" i="3" s="1"/>
  <c r="AD1280" i="3"/>
  <c r="Q1280" i="3"/>
  <c r="AD1284" i="3"/>
  <c r="Q1284" i="3"/>
  <c r="Q1277" i="3"/>
  <c r="T1279" i="3"/>
  <c r="T1283" i="3"/>
  <c r="AD1312" i="3"/>
  <c r="AD1314" i="3"/>
  <c r="AZ1314" i="3" s="1"/>
  <c r="AD1315" i="3"/>
  <c r="AD1317" i="3"/>
  <c r="AZ1317" i="3" s="1"/>
  <c r="AD1318" i="3"/>
  <c r="Q1318" i="3"/>
  <c r="AD1320" i="3"/>
  <c r="Q1320" i="3"/>
  <c r="AD1321" i="3"/>
  <c r="AZ1321" i="3" s="1"/>
  <c r="AD1360" i="3"/>
  <c r="AZ1360" i="3" s="1"/>
  <c r="AD1393" i="3"/>
  <c r="Q1393" i="3"/>
  <c r="AD1408" i="3"/>
  <c r="AZ1408" i="3" s="1"/>
  <c r="T1393" i="3"/>
  <c r="AD1395" i="3"/>
  <c r="AD1409" i="3"/>
  <c r="AZ1409" i="3" s="1"/>
  <c r="AD1410" i="3"/>
  <c r="AZ1410" i="3" s="1"/>
  <c r="AD1411" i="3"/>
  <c r="AZ1411" i="3" s="1"/>
  <c r="AD1412" i="3"/>
  <c r="AD1413" i="3"/>
  <c r="AD1415" i="3"/>
  <c r="AD1418" i="3"/>
  <c r="AZ1418" i="3" s="1"/>
  <c r="T1415" i="3"/>
  <c r="Q1399" i="3"/>
  <c r="AD1399" i="3"/>
  <c r="Q1400" i="3"/>
  <c r="AD1400" i="3"/>
  <c r="AD1401" i="3"/>
  <c r="AZ1401" i="3" s="1"/>
  <c r="AD1402" i="3"/>
  <c r="AZ1402" i="3" s="1"/>
  <c r="Q1403" i="3"/>
  <c r="AD1403" i="3"/>
  <c r="Q1404" i="3"/>
  <c r="AD1404" i="3"/>
  <c r="Q1405" i="3"/>
  <c r="AD1405" i="3"/>
  <c r="Q1407" i="3"/>
  <c r="AD1407" i="3"/>
  <c r="N1271" i="3" l="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270" i="3"/>
  <c r="J1271" i="3"/>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270" i="3"/>
  <c r="I1271" i="3"/>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270" i="3"/>
  <c r="M1271" i="3"/>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270" i="3"/>
  <c r="L1271" i="3"/>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270" i="3"/>
  <c r="A1271" i="3"/>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270" i="3"/>
  <c r="K1271" i="3"/>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270" i="3"/>
  <c r="C5" i="3"/>
  <c r="H5" i="3"/>
  <c r="R5" i="3" s="1"/>
  <c r="W5" i="3" s="1"/>
  <c r="R4" i="3"/>
  <c r="W4" i="3" s="1"/>
  <c r="E7" i="3"/>
  <c r="D6" i="3"/>
  <c r="M1307" i="3" l="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06" i="3"/>
  <c r="A1307" i="3"/>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06" i="3"/>
  <c r="K1307" i="3"/>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06" i="3"/>
  <c r="I1307" i="3"/>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06" i="3"/>
  <c r="J1307" i="3"/>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06" i="3"/>
  <c r="L1307" i="3"/>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06" i="3"/>
  <c r="N1307" i="3"/>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06" i="3"/>
  <c r="C6" i="3"/>
  <c r="S6" i="3"/>
  <c r="AC6" i="3" s="1"/>
  <c r="B5" i="3"/>
  <c r="H6" i="3"/>
  <c r="D7" i="3"/>
  <c r="E8" i="3"/>
  <c r="L1328" i="3" l="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27" i="3"/>
  <c r="J1328" i="3"/>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27" i="3"/>
  <c r="M1328" i="3"/>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27" i="3"/>
  <c r="A1328" i="3"/>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27" i="3"/>
  <c r="I1328" i="3"/>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27" i="3"/>
  <c r="N1328" i="3"/>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27" i="3"/>
  <c r="K1328" i="3"/>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27" i="3"/>
  <c r="C7" i="3"/>
  <c r="B6" i="3"/>
  <c r="D8" i="3"/>
  <c r="S8" i="3" s="1"/>
  <c r="AC8" i="3" s="1"/>
  <c r="E9" i="3"/>
  <c r="S7" i="3"/>
  <c r="AC7" i="3" s="1"/>
  <c r="H7" i="3"/>
  <c r="R6" i="3"/>
  <c r="W6" i="3" s="1"/>
  <c r="J1371" i="3" l="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370" i="3"/>
  <c r="I1371" i="3"/>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370" i="3"/>
  <c r="L1371" i="3"/>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370" i="3"/>
  <c r="A1371" i="3"/>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370" i="3"/>
  <c r="N1371" i="3"/>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370" i="3"/>
  <c r="K1371" i="3"/>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370" i="3"/>
  <c r="M1371" i="3"/>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370" i="3"/>
  <c r="B7" i="3"/>
  <c r="D9" i="3"/>
  <c r="D10" i="3" s="1"/>
  <c r="C8" i="3"/>
  <c r="R7" i="3"/>
  <c r="W7" i="3" s="1"/>
  <c r="H8" i="3"/>
  <c r="E10" i="3"/>
  <c r="N1446" i="3" l="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45" i="3"/>
  <c r="A1446" i="3"/>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45" i="3"/>
  <c r="J1446" i="3"/>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45" i="3"/>
  <c r="M1446" i="3"/>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45" i="3"/>
  <c r="L1446" i="3"/>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45" i="3"/>
  <c r="K1446" i="3"/>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45" i="3"/>
  <c r="I1446" i="3"/>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45" i="3"/>
  <c r="C9" i="3"/>
  <c r="C10" i="3" s="1"/>
  <c r="Q10" i="3"/>
  <c r="T10" i="3"/>
  <c r="S10" i="3" s="1"/>
  <c r="AC10" i="3" s="1"/>
  <c r="S9" i="3"/>
  <c r="AC9" i="3" s="1"/>
  <c r="R8" i="3"/>
  <c r="W8" i="3" s="1"/>
  <c r="H9" i="3"/>
  <c r="B8" i="3"/>
  <c r="D11" i="3"/>
  <c r="E11" i="3"/>
  <c r="M1469" i="3" l="1"/>
  <c r="M1470"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468" i="3"/>
  <c r="A1469" i="3"/>
  <c r="A1470" i="3" s="1"/>
  <c r="A1471" i="3" s="1"/>
  <c r="A1468" i="3"/>
  <c r="L1469" i="3"/>
  <c r="L1470"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468" i="3"/>
  <c r="N1469" i="3"/>
  <c r="N1470" i="3" s="1"/>
  <c r="N1471" i="3" s="1"/>
  <c r="N1468" i="3"/>
  <c r="I1469" i="3"/>
  <c r="I1470"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468" i="3"/>
  <c r="J1469" i="3"/>
  <c r="J1470"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468" i="3"/>
  <c r="K1469" i="3"/>
  <c r="K1470" i="3" s="1"/>
  <c r="K1471" i="3" s="1"/>
  <c r="K1468" i="3"/>
  <c r="C11" i="3"/>
  <c r="E12" i="3"/>
  <c r="D12" i="3"/>
  <c r="B9" i="3"/>
  <c r="S11" i="3"/>
  <c r="AC11" i="3" s="1"/>
  <c r="R9" i="3"/>
  <c r="W9" i="3" s="1"/>
  <c r="H10" i="3"/>
  <c r="N1472" i="3" l="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6" i="3" s="1"/>
  <c r="N1527" i="3" s="1"/>
  <c r="N1528" i="3" s="1"/>
  <c r="N1529" i="3" s="1"/>
  <c r="N1530" i="3" s="1"/>
  <c r="N1531" i="3" s="1"/>
  <c r="N1532" i="3" s="1"/>
  <c r="N1533" i="3" s="1"/>
  <c r="N1534" i="3" s="1"/>
  <c r="N1535" i="3" s="1"/>
  <c r="N1536" i="3" s="1"/>
  <c r="N1537" i="3" s="1"/>
  <c r="N1538" i="3" s="1"/>
  <c r="N1539" i="3" s="1"/>
  <c r="N1540" i="3" s="1"/>
  <c r="N1541" i="3" s="1"/>
  <c r="M1526" i="3"/>
  <c r="M1527" i="3" s="1"/>
  <c r="M1528" i="3" s="1"/>
  <c r="M1529" i="3" s="1"/>
  <c r="M1530" i="3" s="1"/>
  <c r="M1531" i="3" s="1"/>
  <c r="M1532" i="3" s="1"/>
  <c r="M1533" i="3" s="1"/>
  <c r="M1534" i="3" s="1"/>
  <c r="M1535" i="3" s="1"/>
  <c r="M1536" i="3" s="1"/>
  <c r="M1537" i="3" s="1"/>
  <c r="M1538" i="3" s="1"/>
  <c r="M1539" i="3" s="1"/>
  <c r="M1540" i="3" s="1"/>
  <c r="M1541" i="3" s="1"/>
  <c r="M1525" i="3"/>
  <c r="I1526" i="3"/>
  <c r="I1527" i="3" s="1"/>
  <c r="I1528" i="3" s="1"/>
  <c r="I1529" i="3" s="1"/>
  <c r="I1530" i="3" s="1"/>
  <c r="I1531" i="3" s="1"/>
  <c r="I1532" i="3" s="1"/>
  <c r="I1533" i="3" s="1"/>
  <c r="I1534" i="3" s="1"/>
  <c r="I1535" i="3" s="1"/>
  <c r="I1536" i="3" s="1"/>
  <c r="I1537" i="3" s="1"/>
  <c r="I1538" i="3" s="1"/>
  <c r="I1539" i="3" s="1"/>
  <c r="I1540" i="3" s="1"/>
  <c r="I1541" i="3" s="1"/>
  <c r="I1525" i="3"/>
  <c r="L1526" i="3"/>
  <c r="L1527" i="3" s="1"/>
  <c r="L1528" i="3" s="1"/>
  <c r="L1529" i="3" s="1"/>
  <c r="L1530" i="3" s="1"/>
  <c r="L1531" i="3" s="1"/>
  <c r="L1532" i="3" s="1"/>
  <c r="L1533" i="3" s="1"/>
  <c r="L1534" i="3" s="1"/>
  <c r="L1535" i="3" s="1"/>
  <c r="L1536" i="3" s="1"/>
  <c r="L1537" i="3" s="1"/>
  <c r="L1538" i="3" s="1"/>
  <c r="L1539" i="3" s="1"/>
  <c r="L1540" i="3" s="1"/>
  <c r="L1541" i="3" s="1"/>
  <c r="L1525" i="3"/>
  <c r="J1526" i="3"/>
  <c r="J1527" i="3" s="1"/>
  <c r="J1528" i="3" s="1"/>
  <c r="J1529" i="3" s="1"/>
  <c r="J1530" i="3" s="1"/>
  <c r="J1531" i="3" s="1"/>
  <c r="J1532" i="3" s="1"/>
  <c r="J1533" i="3" s="1"/>
  <c r="J1534" i="3" s="1"/>
  <c r="J1535" i="3" s="1"/>
  <c r="J1536" i="3" s="1"/>
  <c r="J1537" i="3" s="1"/>
  <c r="J1538" i="3" s="1"/>
  <c r="J1539" i="3" s="1"/>
  <c r="J1540" i="3" s="1"/>
  <c r="J1541" i="3" s="1"/>
  <c r="J1525" i="3"/>
  <c r="I1471" i="3"/>
  <c r="K1472" i="3"/>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J1471" i="3"/>
  <c r="L1471" i="3"/>
  <c r="M1471" i="3"/>
  <c r="A1472" i="3"/>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C12" i="3"/>
  <c r="R10" i="3"/>
  <c r="W10" i="3" s="1"/>
  <c r="H11" i="3"/>
  <c r="S12" i="3"/>
  <c r="AC12" i="3" s="1"/>
  <c r="E13" i="3"/>
  <c r="D13" i="3"/>
  <c r="B10" i="3"/>
  <c r="B11" i="3" s="1"/>
  <c r="N1525" i="3" l="1"/>
  <c r="J1543" i="3"/>
  <c r="J1544" i="3" s="1"/>
  <c r="J1545" i="3" s="1"/>
  <c r="J1542" i="3"/>
  <c r="M1543" i="3"/>
  <c r="M1544" i="3" s="1"/>
  <c r="M1545" i="3" s="1"/>
  <c r="M1542" i="3"/>
  <c r="L1543" i="3"/>
  <c r="L1544" i="3" s="1"/>
  <c r="L1545" i="3" s="1"/>
  <c r="L1542" i="3"/>
  <c r="I1543" i="3"/>
  <c r="I1544" i="3" s="1"/>
  <c r="I1545" i="3" s="1"/>
  <c r="I1542" i="3"/>
  <c r="N1543" i="3"/>
  <c r="N1544" i="3" s="1"/>
  <c r="N1545" i="3" s="1"/>
  <c r="N1542" i="3"/>
  <c r="A1526" i="3"/>
  <c r="A1527" i="3" s="1"/>
  <c r="A1528" i="3" s="1"/>
  <c r="A1529" i="3" s="1"/>
  <c r="A1530" i="3" s="1"/>
  <c r="A1531" i="3" s="1"/>
  <c r="A1532" i="3" s="1"/>
  <c r="A1533" i="3" s="1"/>
  <c r="A1534" i="3" s="1"/>
  <c r="A1535" i="3" s="1"/>
  <c r="A1536" i="3" s="1"/>
  <c r="A1537" i="3" s="1"/>
  <c r="A1538" i="3" s="1"/>
  <c r="A1539" i="3" s="1"/>
  <c r="A1540" i="3" s="1"/>
  <c r="A1541" i="3" s="1"/>
  <c r="A1525" i="3"/>
  <c r="K1526" i="3"/>
  <c r="K1527" i="3" s="1"/>
  <c r="K1528" i="3" s="1"/>
  <c r="K1529" i="3" s="1"/>
  <c r="K1530" i="3" s="1"/>
  <c r="K1531" i="3" s="1"/>
  <c r="K1532" i="3" s="1"/>
  <c r="K1533" i="3" s="1"/>
  <c r="K1534" i="3" s="1"/>
  <c r="K1535" i="3" s="1"/>
  <c r="K1536" i="3" s="1"/>
  <c r="K1537" i="3" s="1"/>
  <c r="K1538" i="3" s="1"/>
  <c r="K1539" i="3" s="1"/>
  <c r="K1540" i="3" s="1"/>
  <c r="K1541" i="3" s="1"/>
  <c r="K1525" i="3"/>
  <c r="S13" i="3"/>
  <c r="AC13" i="3" s="1"/>
  <c r="R11" i="3"/>
  <c r="W11" i="3" s="1"/>
  <c r="H12" i="3"/>
  <c r="E14" i="3"/>
  <c r="D14" i="3"/>
  <c r="B12" i="3"/>
  <c r="I1547" i="3" l="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46" i="3"/>
  <c r="L1547" i="3"/>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46" i="3"/>
  <c r="M1547" i="3"/>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46" i="3"/>
  <c r="N1547" i="3"/>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46" i="3"/>
  <c r="J1547" i="3"/>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46" i="3"/>
  <c r="K1543" i="3"/>
  <c r="K1544" i="3" s="1"/>
  <c r="K1545" i="3" s="1"/>
  <c r="K1542" i="3"/>
  <c r="A1543" i="3"/>
  <c r="A1544" i="3" s="1"/>
  <c r="A1545" i="3" s="1"/>
  <c r="A1542" i="3"/>
  <c r="C13" i="3"/>
  <c r="B13" i="3" s="1"/>
  <c r="H13" i="3" s="1"/>
  <c r="R12" i="3"/>
  <c r="W12" i="3" s="1"/>
  <c r="S14" i="3"/>
  <c r="AC14" i="3" s="1"/>
  <c r="D15" i="3"/>
  <c r="E15" i="3"/>
  <c r="N1583" i="3" l="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582" i="3"/>
  <c r="J1583" i="3"/>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J1648" i="3" s="1"/>
  <c r="J1649" i="3" s="1"/>
  <c r="J1650" i="3" s="1"/>
  <c r="J1651" i="3" s="1"/>
  <c r="J1652" i="3" s="1"/>
  <c r="J1653" i="3" s="1"/>
  <c r="J1654" i="3" s="1"/>
  <c r="J1655" i="3" s="1"/>
  <c r="J1656" i="3" s="1"/>
  <c r="J1657" i="3" s="1"/>
  <c r="J1658" i="3" s="1"/>
  <c r="J1659" i="3" s="1"/>
  <c r="J1660" i="3" s="1"/>
  <c r="J1661" i="3" s="1"/>
  <c r="J1662" i="3" s="1"/>
  <c r="J1663" i="3" s="1"/>
  <c r="J1664" i="3" s="1"/>
  <c r="J1665" i="3" s="1"/>
  <c r="J1666" i="3" s="1"/>
  <c r="J1582" i="3"/>
  <c r="I1583" i="3"/>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I1648" i="3" s="1"/>
  <c r="I1649" i="3" s="1"/>
  <c r="I1650" i="3" s="1"/>
  <c r="I1651" i="3" s="1"/>
  <c r="I1652" i="3" s="1"/>
  <c r="I1653" i="3" s="1"/>
  <c r="I1654" i="3" s="1"/>
  <c r="I1655" i="3" s="1"/>
  <c r="I1656" i="3" s="1"/>
  <c r="I1657" i="3" s="1"/>
  <c r="I1658" i="3" s="1"/>
  <c r="I1659" i="3" s="1"/>
  <c r="I1660" i="3" s="1"/>
  <c r="I1661" i="3" s="1"/>
  <c r="I1662" i="3" s="1"/>
  <c r="I1663" i="3" s="1"/>
  <c r="I1664" i="3" s="1"/>
  <c r="I1665" i="3" s="1"/>
  <c r="I1666" i="3" s="1"/>
  <c r="I1582" i="3"/>
  <c r="M1583" i="3"/>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M1648" i="3" s="1"/>
  <c r="M1649" i="3" s="1"/>
  <c r="M1650" i="3" s="1"/>
  <c r="M1651" i="3" s="1"/>
  <c r="M1652" i="3" s="1"/>
  <c r="M1653" i="3" s="1"/>
  <c r="M1654" i="3" s="1"/>
  <c r="M1655" i="3" s="1"/>
  <c r="M1656" i="3" s="1"/>
  <c r="M1657" i="3" s="1"/>
  <c r="M1658" i="3" s="1"/>
  <c r="M1659" i="3" s="1"/>
  <c r="M1660" i="3" s="1"/>
  <c r="M1661" i="3" s="1"/>
  <c r="M1662" i="3" s="1"/>
  <c r="M1663" i="3" s="1"/>
  <c r="M1664" i="3" s="1"/>
  <c r="M1665" i="3" s="1"/>
  <c r="M1666" i="3" s="1"/>
  <c r="M1582" i="3"/>
  <c r="L1583" i="3"/>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L1648" i="3" s="1"/>
  <c r="L1649" i="3" s="1"/>
  <c r="L1650" i="3" s="1"/>
  <c r="L1651" i="3" s="1"/>
  <c r="L1652" i="3" s="1"/>
  <c r="L1653" i="3" s="1"/>
  <c r="L1654" i="3" s="1"/>
  <c r="L1655" i="3" s="1"/>
  <c r="L1656" i="3" s="1"/>
  <c r="L1657" i="3" s="1"/>
  <c r="L1658" i="3" s="1"/>
  <c r="L1659" i="3" s="1"/>
  <c r="L1660" i="3" s="1"/>
  <c r="L1661" i="3" s="1"/>
  <c r="L1662" i="3" s="1"/>
  <c r="L1663" i="3" s="1"/>
  <c r="L1664" i="3" s="1"/>
  <c r="L1665" i="3" s="1"/>
  <c r="L1666" i="3" s="1"/>
  <c r="L1582" i="3"/>
  <c r="A1547" i="3"/>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46" i="3"/>
  <c r="K1547" i="3"/>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46" i="3"/>
  <c r="C14" i="3"/>
  <c r="B14" i="3" s="1"/>
  <c r="H14" i="3" s="1"/>
  <c r="S15" i="3"/>
  <c r="AC15" i="3" s="1"/>
  <c r="E16" i="3"/>
  <c r="D16" i="3"/>
  <c r="R13" i="3"/>
  <c r="W13" i="3" s="1"/>
  <c r="K1583" i="3" l="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582" i="3"/>
  <c r="A1583" i="3"/>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582" i="3"/>
  <c r="C15" i="3"/>
  <c r="C16" i="3" s="1"/>
  <c r="D17" i="3"/>
  <c r="E17" i="3"/>
  <c r="R14" i="3"/>
  <c r="W14" i="3" s="1"/>
  <c r="H15" i="3"/>
  <c r="S16" i="3"/>
  <c r="AC16" i="3" s="1"/>
  <c r="Q17" i="3" l="1"/>
  <c r="T17" i="3"/>
  <c r="S17" i="3" s="1"/>
  <c r="AC17" i="3" s="1"/>
  <c r="B15" i="3"/>
  <c r="B16" i="3" s="1"/>
  <c r="C17" i="3"/>
  <c r="R15" i="3"/>
  <c r="W15" i="3" s="1"/>
  <c r="H16" i="3"/>
  <c r="D18" i="3"/>
  <c r="E18" i="3"/>
  <c r="C18" i="3" l="1"/>
  <c r="D19" i="3"/>
  <c r="E19" i="3"/>
  <c r="S18" i="3"/>
  <c r="AC18" i="3" s="1"/>
  <c r="R16" i="3"/>
  <c r="W16" i="3" s="1"/>
  <c r="H17" i="3"/>
  <c r="B17" i="3"/>
  <c r="B18" i="3" l="1"/>
  <c r="C19" i="3"/>
  <c r="R17" i="3"/>
  <c r="W17" i="3" s="1"/>
  <c r="H18" i="3"/>
  <c r="D20" i="3"/>
  <c r="E20" i="3"/>
  <c r="S19" i="3"/>
  <c r="AC19" i="3" s="1"/>
  <c r="Q20" i="3" l="1"/>
  <c r="T20" i="3"/>
  <c r="S20" i="3" s="1"/>
  <c r="AC20" i="3" s="1"/>
  <c r="C20" i="3"/>
  <c r="R18" i="3"/>
  <c r="W18" i="3" s="1"/>
  <c r="H19" i="3"/>
  <c r="E21" i="3"/>
  <c r="D21" i="3"/>
  <c r="B19" i="3"/>
  <c r="Q21" i="3" l="1"/>
  <c r="T21" i="3"/>
  <c r="S21" i="3" s="1"/>
  <c r="AC21" i="3" s="1"/>
  <c r="C21" i="3"/>
  <c r="D22" i="3"/>
  <c r="B20" i="3"/>
  <c r="R19" i="3"/>
  <c r="W19" i="3" s="1"/>
  <c r="H20" i="3"/>
  <c r="B21" i="3" l="1"/>
  <c r="Q22" i="3"/>
  <c r="T22" i="3"/>
  <c r="S22" i="3" s="1"/>
  <c r="AC22" i="3" s="1"/>
  <c r="C22" i="3"/>
  <c r="D23" i="3"/>
  <c r="E23" i="3"/>
  <c r="R20" i="3"/>
  <c r="W20" i="3" s="1"/>
  <c r="H21" i="3"/>
  <c r="B22" i="3" l="1"/>
  <c r="T23" i="3"/>
  <c r="S23" i="3" s="1"/>
  <c r="AC23" i="3" s="1"/>
  <c r="Q23" i="3"/>
  <c r="C23" i="3"/>
  <c r="D24" i="3"/>
  <c r="E24" i="3"/>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T27" i="3" l="1"/>
  <c r="S27" i="3" s="1"/>
  <c r="AC27" i="3" s="1"/>
  <c r="Q27" i="3"/>
  <c r="C27" i="3"/>
  <c r="D28" i="3"/>
  <c r="E28" i="3"/>
  <c r="R25" i="3"/>
  <c r="W25" i="3" s="1"/>
  <c r="H26" i="3"/>
  <c r="B26" i="3"/>
  <c r="C28" i="3" l="1"/>
  <c r="S28" i="3"/>
  <c r="AC28" i="3" s="1"/>
  <c r="R26" i="3"/>
  <c r="W26" i="3" s="1"/>
  <c r="H27" i="3"/>
  <c r="D29" i="3"/>
  <c r="E29" i="3"/>
  <c r="B27" i="3"/>
  <c r="B28" i="3" l="1"/>
  <c r="C29" i="3"/>
  <c r="R27" i="3"/>
  <c r="W27" i="3" s="1"/>
  <c r="H28" i="3"/>
  <c r="D30" i="3"/>
  <c r="E30" i="3"/>
  <c r="S29" i="3"/>
  <c r="AC29" i="3" s="1"/>
  <c r="Q30" i="3" l="1"/>
  <c r="T30" i="3"/>
  <c r="S30" i="3" s="1"/>
  <c r="AC30" i="3" s="1"/>
  <c r="C30" i="3"/>
  <c r="D31" i="3"/>
  <c r="B29" i="3"/>
  <c r="R28" i="3"/>
  <c r="W28" i="3" s="1"/>
  <c r="H29" i="3"/>
  <c r="T31" i="3" l="1"/>
  <c r="S31" i="3" s="1"/>
  <c r="AC31" i="3" s="1"/>
  <c r="Q31" i="3"/>
  <c r="C31" i="3"/>
  <c r="R29" i="3"/>
  <c r="W29" i="3" s="1"/>
  <c r="H30" i="3"/>
  <c r="D32" i="3"/>
  <c r="B30" i="3"/>
  <c r="T32" i="3" l="1"/>
  <c r="S32" i="3" s="1"/>
  <c r="AC32" i="3" s="1"/>
  <c r="Q32" i="3"/>
  <c r="C32" i="3"/>
  <c r="R30" i="3"/>
  <c r="W30" i="3" s="1"/>
  <c r="H31" i="3"/>
  <c r="E33" i="3"/>
  <c r="D33" i="3"/>
  <c r="B31" i="3"/>
  <c r="Q33" i="3" l="1"/>
  <c r="T33" i="3"/>
  <c r="S33" i="3" s="1"/>
  <c r="AC33" i="3" s="1"/>
  <c r="C33" i="3"/>
  <c r="D34" i="3"/>
  <c r="E34" i="3"/>
  <c r="R31" i="3"/>
  <c r="W31" i="3" s="1"/>
  <c r="H32" i="3"/>
  <c r="B32" i="3"/>
  <c r="B33" i="3" l="1"/>
  <c r="C34" i="3"/>
  <c r="D35" i="3"/>
  <c r="E35" i="3"/>
  <c r="S34" i="3"/>
  <c r="AC34" i="3" s="1"/>
  <c r="R32" i="3"/>
  <c r="W32" i="3" s="1"/>
  <c r="H33" i="3"/>
  <c r="B34" i="3" l="1"/>
  <c r="Q35" i="3"/>
  <c r="T35" i="3"/>
  <c r="S35" i="3" s="1"/>
  <c r="AC35" i="3" s="1"/>
  <c r="C35" i="3"/>
  <c r="R33" i="3"/>
  <c r="W33" i="3" s="1"/>
  <c r="H34" i="3"/>
  <c r="D36" i="3"/>
  <c r="E36" i="3"/>
  <c r="Q36" i="3" l="1"/>
  <c r="T36" i="3"/>
  <c r="S36" i="3" s="1"/>
  <c r="AC36" i="3" s="1"/>
  <c r="C36" i="3"/>
  <c r="D37" i="3"/>
  <c r="R34" i="3"/>
  <c r="W34" i="3" s="1"/>
  <c r="H35" i="3"/>
  <c r="B35" i="3"/>
  <c r="Q37" i="3" l="1"/>
  <c r="T37" i="3"/>
  <c r="S37" i="3" s="1"/>
  <c r="AC37" i="3" s="1"/>
  <c r="C37" i="3"/>
  <c r="R35" i="3"/>
  <c r="W35" i="3" s="1"/>
  <c r="H36" i="3"/>
  <c r="B36" i="3"/>
  <c r="E38" i="3"/>
  <c r="D38" i="3"/>
  <c r="C38" i="3" l="1"/>
  <c r="S38" i="3"/>
  <c r="AC38" i="3" s="1"/>
  <c r="E39" i="3"/>
  <c r="D39" i="3"/>
  <c r="R36" i="3"/>
  <c r="W36" i="3" s="1"/>
  <c r="H37" i="3"/>
  <c r="B37" i="3"/>
  <c r="Q39" i="3" l="1"/>
  <c r="T39" i="3"/>
  <c r="S39" i="3" s="1"/>
  <c r="AC39" i="3" s="1"/>
  <c r="C39" i="3"/>
  <c r="R37" i="3"/>
  <c r="W37" i="3" s="1"/>
  <c r="H38" i="3"/>
  <c r="D40" i="3"/>
  <c r="E40" i="3"/>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T51" i="3" l="1"/>
  <c r="S51" i="3" s="1"/>
  <c r="AC51" i="3" s="1"/>
  <c r="Q51" i="3"/>
  <c r="C51" i="3"/>
  <c r="R49" i="3"/>
  <c r="W49" i="3" s="1"/>
  <c r="H50" i="3"/>
  <c r="E52" i="3"/>
  <c r="D52" i="3"/>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Q56" i="3" l="1"/>
  <c r="T56" i="3"/>
  <c r="S56" i="3" s="1"/>
  <c r="AC56" i="3" s="1"/>
  <c r="C56" i="3"/>
  <c r="R54" i="3"/>
  <c r="W54" i="3" s="1"/>
  <c r="H55" i="3"/>
  <c r="D57" i="3"/>
  <c r="E57" i="3"/>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Q68" i="3" l="1"/>
  <c r="C68" i="3"/>
  <c r="S68" i="3"/>
  <c r="E69" i="3"/>
  <c r="D69" i="3"/>
  <c r="R66" i="3"/>
  <c r="W66" i="3" s="1"/>
  <c r="H67" i="3"/>
  <c r="B67" i="3"/>
  <c r="B68" i="3" l="1"/>
  <c r="C69" i="3"/>
  <c r="AC68" i="3"/>
  <c r="S69" i="3"/>
  <c r="AC69" i="3" s="1"/>
  <c r="E70" i="3"/>
  <c r="D70" i="3"/>
  <c r="R67" i="3"/>
  <c r="W67" i="3" s="1"/>
  <c r="H68" i="3"/>
  <c r="B69" i="3" l="1"/>
  <c r="C70" i="3"/>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S76" i="3"/>
  <c r="AC76" i="3" s="1"/>
  <c r="E77" i="3"/>
  <c r="D77" i="3"/>
  <c r="R74" i="3"/>
  <c r="W74" i="3" s="1"/>
  <c r="H75" i="3"/>
  <c r="B76" i="3"/>
  <c r="C77" i="3" l="1"/>
  <c r="B77" i="3" s="1"/>
  <c r="Q77" i="3"/>
  <c r="T77" i="3"/>
  <c r="S77" i="3" s="1"/>
  <c r="AC77" i="3" s="1"/>
  <c r="R75" i="3"/>
  <c r="W75" i="3" s="1"/>
  <c r="H76" i="3"/>
  <c r="E78" i="3"/>
  <c r="D78" i="3"/>
  <c r="C78" i="3" l="1"/>
  <c r="R76" i="3"/>
  <c r="W76" i="3" s="1"/>
  <c r="H77" i="3"/>
  <c r="S78" i="3"/>
  <c r="AC78" i="3" s="1"/>
  <c r="E79" i="3"/>
  <c r="D79" i="3"/>
  <c r="B78" i="3"/>
  <c r="C79" i="3" l="1"/>
  <c r="E80" i="3"/>
  <c r="D80" i="3"/>
  <c r="S79" i="3"/>
  <c r="AC79" i="3" s="1"/>
  <c r="R77" i="3"/>
  <c r="W77" i="3" s="1"/>
  <c r="H78" i="3"/>
  <c r="C80" i="3" l="1"/>
  <c r="R78" i="3"/>
  <c r="W78" i="3" s="1"/>
  <c r="H79" i="3"/>
  <c r="B79" i="3"/>
  <c r="S80" i="3"/>
  <c r="AC80" i="3" s="1"/>
  <c r="E81" i="3"/>
  <c r="D81" i="3"/>
  <c r="C81" i="3" s="1"/>
  <c r="E82" i="3" l="1"/>
  <c r="D82" i="3"/>
  <c r="S81" i="3"/>
  <c r="AC81" i="3" s="1"/>
  <c r="R79" i="3"/>
  <c r="W79" i="3" s="1"/>
  <c r="H80" i="3"/>
  <c r="B80" i="3"/>
  <c r="C82" i="3" l="1"/>
  <c r="R80" i="3"/>
  <c r="W80" i="3" s="1"/>
  <c r="H81" i="3"/>
  <c r="B81" i="3"/>
  <c r="S82" i="3"/>
  <c r="AC82" i="3" s="1"/>
  <c r="E83" i="3"/>
  <c r="D83" i="3"/>
  <c r="C83" i="3" l="1"/>
  <c r="S83" i="3"/>
  <c r="AC83" i="3" s="1"/>
  <c r="E84" i="3"/>
  <c r="D84" i="3"/>
  <c r="C84" i="3" s="1"/>
  <c r="R81" i="3"/>
  <c r="W81" i="3" s="1"/>
  <c r="H82" i="3"/>
  <c r="B82" i="3"/>
  <c r="S84" i="3" l="1"/>
  <c r="AC84" i="3" s="1"/>
  <c r="E85" i="3"/>
  <c r="D85" i="3"/>
  <c r="R82" i="3"/>
  <c r="W82" i="3" s="1"/>
  <c r="H83" i="3"/>
  <c r="B83" i="3"/>
  <c r="B84" i="3" s="1"/>
  <c r="C85" i="3" l="1"/>
  <c r="S85" i="3"/>
  <c r="AC85" i="3" s="1"/>
  <c r="E86" i="3"/>
  <c r="D86" i="3"/>
  <c r="R83" i="3"/>
  <c r="W83" i="3" s="1"/>
  <c r="H84" i="3"/>
  <c r="B85"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s="1"/>
  <c r="E92" i="3" l="1"/>
  <c r="D92" i="3"/>
  <c r="S91" i="3"/>
  <c r="AC91" i="3" s="1"/>
  <c r="R89" i="3"/>
  <c r="W89" i="3" s="1"/>
  <c r="H90" i="3"/>
  <c r="B90" i="3"/>
  <c r="C92" i="3" l="1"/>
  <c r="T92" i="3"/>
  <c r="S92" i="3" s="1"/>
  <c r="AC92" i="3" s="1"/>
  <c r="Q92" i="3"/>
  <c r="R90" i="3"/>
  <c r="W90" i="3" s="1"/>
  <c r="H91" i="3"/>
  <c r="E93" i="3"/>
  <c r="D93" i="3"/>
  <c r="C93" i="3" s="1"/>
  <c r="B91" i="3"/>
  <c r="E94" i="3" l="1"/>
  <c r="D94" i="3"/>
  <c r="R91" i="3"/>
  <c r="W91" i="3" s="1"/>
  <c r="H92" i="3"/>
  <c r="S93" i="3"/>
  <c r="AC93" i="3" s="1"/>
  <c r="B92" i="3"/>
  <c r="C94" i="3" l="1"/>
  <c r="R92" i="3"/>
  <c r="W92" i="3" s="1"/>
  <c r="H93" i="3"/>
  <c r="B93" i="3"/>
  <c r="S94" i="3"/>
  <c r="AC94" i="3" s="1"/>
  <c r="E95" i="3"/>
  <c r="D95" i="3"/>
  <c r="C95" i="3" s="1"/>
  <c r="E96" i="3" l="1"/>
  <c r="D96" i="3"/>
  <c r="C96" i="3" s="1"/>
  <c r="S95" i="3"/>
  <c r="AC95" i="3" s="1"/>
  <c r="R93" i="3"/>
  <c r="W93" i="3" s="1"/>
  <c r="H94" i="3"/>
  <c r="B94" i="3"/>
  <c r="R94" i="3" l="1"/>
  <c r="W94" i="3" s="1"/>
  <c r="H95" i="3"/>
  <c r="B95" i="3"/>
  <c r="S96" i="3"/>
  <c r="AC96" i="3" s="1"/>
  <c r="E97" i="3"/>
  <c r="D97" i="3"/>
  <c r="C97" i="3" l="1"/>
  <c r="E98" i="3"/>
  <c r="D98" i="3"/>
  <c r="S97" i="3"/>
  <c r="AC97" i="3" s="1"/>
  <c r="R95" i="3"/>
  <c r="W95" i="3" s="1"/>
  <c r="H96" i="3"/>
  <c r="B96" i="3"/>
  <c r="C98" i="3" l="1"/>
  <c r="S98" i="3"/>
  <c r="Q98" i="3"/>
  <c r="R96" i="3"/>
  <c r="W96" i="3" s="1"/>
  <c r="H97" i="3"/>
  <c r="B97" i="3"/>
  <c r="D99" i="3"/>
  <c r="E99" i="3"/>
  <c r="AH98" i="3" l="1"/>
  <c r="AC98" i="3" s="1"/>
  <c r="C99" i="3"/>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S110" i="3"/>
  <c r="AC110" i="3" s="1"/>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s="1"/>
  <c r="C113" i="3" l="1"/>
  <c r="S113" i="3"/>
  <c r="AC113" i="3" s="1"/>
  <c r="R111" i="3"/>
  <c r="W111" i="3" s="1"/>
  <c r="H112" i="3"/>
  <c r="E114" i="3"/>
  <c r="D114" i="3"/>
  <c r="C114" i="3" s="1"/>
  <c r="B113" i="3"/>
  <c r="R112" i="3" l="1"/>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C121" i="3" s="1"/>
  <c r="S120" i="3"/>
  <c r="AC120" i="3" s="1"/>
  <c r="R118" i="3"/>
  <c r="W118" i="3" s="1"/>
  <c r="H119" i="3"/>
  <c r="B120" i="3"/>
  <c r="R119" i="3" l="1"/>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l="1"/>
  <c r="C125" i="3"/>
  <c r="S125" i="3"/>
  <c r="AC125" i="3" s="1"/>
  <c r="E126" i="3"/>
  <c r="D126" i="3"/>
  <c r="R123" i="3"/>
  <c r="W123" i="3" s="1"/>
  <c r="H124" i="3"/>
  <c r="B125" i="3" l="1"/>
  <c r="C126" i="3"/>
  <c r="S126" i="3"/>
  <c r="AC126" i="3" s="1"/>
  <c r="E127" i="3"/>
  <c r="D127" i="3"/>
  <c r="R124" i="3"/>
  <c r="W124" i="3" s="1"/>
  <c r="H125" i="3"/>
  <c r="B126" i="3"/>
  <c r="C127" i="3" l="1"/>
  <c r="S127" i="3"/>
  <c r="AC127" i="3" s="1"/>
  <c r="E128" i="3"/>
  <c r="D128" i="3"/>
  <c r="R125" i="3"/>
  <c r="W125" i="3" s="1"/>
  <c r="H126" i="3"/>
  <c r="B127" i="3"/>
  <c r="C128" i="3" l="1"/>
  <c r="B128" i="3" s="1"/>
  <c r="S128" i="3"/>
  <c r="AC128" i="3" s="1"/>
  <c r="E129" i="3"/>
  <c r="D129" i="3"/>
  <c r="R126" i="3"/>
  <c r="W126" i="3" s="1"/>
  <c r="H127" i="3"/>
  <c r="C129" i="3" l="1"/>
  <c r="B129"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C135" i="3" s="1"/>
  <c r="B133" i="3"/>
  <c r="S135" i="3" l="1"/>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S138" i="3"/>
  <c r="AC138" i="3" s="1"/>
  <c r="B137" i="3"/>
  <c r="H137" i="3" s="1"/>
  <c r="C139" i="3" l="1"/>
  <c r="R137" i="3"/>
  <c r="W137" i="3" s="1"/>
  <c r="B138" i="3"/>
  <c r="H138" i="3" s="1"/>
  <c r="E140" i="3"/>
  <c r="D140" i="3"/>
  <c r="S139" i="3"/>
  <c r="AC139" i="3" s="1"/>
  <c r="C140" i="3" l="1"/>
  <c r="S140" i="3"/>
  <c r="AC140" i="3" s="1"/>
  <c r="D141" i="3"/>
  <c r="E141" i="3"/>
  <c r="R138" i="3"/>
  <c r="W138" i="3" s="1"/>
  <c r="H139" i="3"/>
  <c r="B139" i="3"/>
  <c r="B140" i="3" s="1"/>
  <c r="C141" i="3" l="1"/>
  <c r="S141" i="3"/>
  <c r="AC141" i="3" s="1"/>
  <c r="E142" i="3"/>
  <c r="D142" i="3"/>
  <c r="R139" i="3"/>
  <c r="W139" i="3" s="1"/>
  <c r="H140" i="3"/>
  <c r="B141"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Q160" i="3" l="1"/>
  <c r="T160" i="3"/>
  <c r="S160" i="3" s="1"/>
  <c r="AC160" i="3" s="1"/>
  <c r="C160" i="3"/>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T163" i="3" l="1"/>
  <c r="S163" i="3" s="1"/>
  <c r="Q163" i="3"/>
  <c r="C163" i="3"/>
  <c r="D164" i="3"/>
  <c r="E164" i="3"/>
  <c r="R161" i="3"/>
  <c r="W161" i="3" s="1"/>
  <c r="H162" i="3"/>
  <c r="B162" i="3"/>
  <c r="AC163" i="3" l="1"/>
  <c r="C164" i="3"/>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T170" i="3" l="1"/>
  <c r="S170" i="3" s="1"/>
  <c r="AC170" i="3" s="1"/>
  <c r="Q170" i="3"/>
  <c r="C170" i="3"/>
  <c r="B169" i="3"/>
  <c r="R168" i="3"/>
  <c r="W168" i="3" s="1"/>
  <c r="H169" i="3"/>
  <c r="D171" i="3"/>
  <c r="Q171" i="3" l="1"/>
  <c r="T171" i="3"/>
  <c r="S171" i="3" s="1"/>
  <c r="AC171" i="3" s="1"/>
  <c r="C171" i="3"/>
  <c r="D172" i="3"/>
  <c r="E172" i="3"/>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T177" i="3" l="1"/>
  <c r="S177" i="3" s="1"/>
  <c r="AC177" i="3" s="1"/>
  <c r="Q177" i="3"/>
  <c r="C177" i="3"/>
  <c r="D178" i="3"/>
  <c r="E178" i="3"/>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l="1"/>
  <c r="T190" i="3"/>
  <c r="S190" i="3" s="1"/>
  <c r="AC190" i="3" s="1"/>
  <c r="Q190" i="3"/>
  <c r="R188" i="3"/>
  <c r="W188" i="3" s="1"/>
  <c r="H189" i="3"/>
  <c r="E191" i="3"/>
  <c r="D191" i="3"/>
  <c r="B189" i="3"/>
  <c r="C191" i="3" l="1"/>
  <c r="S191" i="3"/>
  <c r="AC191" i="3" s="1"/>
  <c r="B190" i="3"/>
  <c r="E192" i="3"/>
  <c r="D192" i="3"/>
  <c r="R189" i="3"/>
  <c r="W189" i="3" s="1"/>
  <c r="H190" i="3"/>
  <c r="C192" i="3" l="1"/>
  <c r="R190" i="3"/>
  <c r="W190" i="3" s="1"/>
  <c r="H191" i="3"/>
  <c r="S192" i="3"/>
  <c r="AC192" i="3" s="1"/>
  <c r="E193" i="3"/>
  <c r="D193" i="3"/>
  <c r="C193" i="3" s="1"/>
  <c r="B191" i="3"/>
  <c r="R191" i="3" l="1"/>
  <c r="W191" i="3" s="1"/>
  <c r="H192" i="3"/>
  <c r="S193" i="3"/>
  <c r="AC193" i="3" s="1"/>
  <c r="E194" i="3"/>
  <c r="D194" i="3"/>
  <c r="B192" i="3"/>
  <c r="C194" i="3" l="1"/>
  <c r="R192" i="3"/>
  <c r="W192" i="3" s="1"/>
  <c r="H193" i="3"/>
  <c r="S194" i="3"/>
  <c r="AC194" i="3" s="1"/>
  <c r="E195" i="3"/>
  <c r="D195" i="3"/>
  <c r="B193" i="3"/>
  <c r="C195" i="3" l="1"/>
  <c r="S195" i="3"/>
  <c r="AC195" i="3" s="1"/>
  <c r="R193" i="3"/>
  <c r="W193" i="3" s="1"/>
  <c r="H194" i="3"/>
  <c r="E196" i="3"/>
  <c r="D196" i="3"/>
  <c r="B194" i="3"/>
  <c r="C196" i="3" l="1"/>
  <c r="S196" i="3"/>
  <c r="AC196" i="3" s="1"/>
  <c r="E197" i="3"/>
  <c r="D197" i="3"/>
  <c r="R194" i="3"/>
  <c r="W194" i="3" s="1"/>
  <c r="H195" i="3"/>
  <c r="B195" i="3"/>
  <c r="B196" i="3" s="1"/>
  <c r="C197" i="3" l="1"/>
  <c r="B197" i="3" s="1"/>
  <c r="E198" i="3"/>
  <c r="D198" i="3"/>
  <c r="R195" i="3"/>
  <c r="W195" i="3" s="1"/>
  <c r="H196" i="3"/>
  <c r="S197" i="3"/>
  <c r="AC197" i="3" s="1"/>
  <c r="C198" i="3" l="1"/>
  <c r="B198" i="3" s="1"/>
  <c r="S198" i="3"/>
  <c r="AC198" i="3" s="1"/>
  <c r="E199" i="3"/>
  <c r="D199" i="3"/>
  <c r="R196" i="3"/>
  <c r="W196" i="3" s="1"/>
  <c r="H197" i="3"/>
  <c r="C199" i="3" l="1"/>
  <c r="B199" i="3" s="1"/>
  <c r="S199" i="3"/>
  <c r="AC199" i="3" s="1"/>
  <c r="E200" i="3"/>
  <c r="D200" i="3"/>
  <c r="R197" i="3"/>
  <c r="W197" i="3" s="1"/>
  <c r="H198" i="3"/>
  <c r="C200" i="3" l="1"/>
  <c r="B200" i="3" s="1"/>
  <c r="S200" i="3"/>
  <c r="AC200" i="3" s="1"/>
  <c r="E201" i="3"/>
  <c r="D201" i="3"/>
  <c r="R198" i="3"/>
  <c r="W198" i="3" s="1"/>
  <c r="H199" i="3"/>
  <c r="C201" i="3" l="1"/>
  <c r="B201" i="3" s="1"/>
  <c r="S201" i="3"/>
  <c r="AC201" i="3" s="1"/>
  <c r="R199" i="3"/>
  <c r="W199" i="3" s="1"/>
  <c r="H200" i="3"/>
  <c r="E202" i="3"/>
  <c r="D202" i="3"/>
  <c r="C202" i="3" s="1"/>
  <c r="R200" i="3" l="1"/>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T206" i="3"/>
  <c r="S206" i="3" s="1"/>
  <c r="AC206" i="3" s="1"/>
  <c r="Q206" i="3"/>
  <c r="E207" i="3"/>
  <c r="D207" i="3"/>
  <c r="R204" i="3"/>
  <c r="W204" i="3" s="1"/>
  <c r="H205" i="3"/>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H213" i="3"/>
  <c r="S214" i="3"/>
  <c r="AC214" i="3" s="1"/>
  <c r="E215" i="3"/>
  <c r="D215" i="3"/>
  <c r="B213" i="3"/>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H243" i="3"/>
  <c r="B243" i="3"/>
  <c r="E245" i="3"/>
  <c r="D245" i="3"/>
  <c r="S244" i="3"/>
  <c r="AC244" i="3" s="1"/>
  <c r="C245" i="3" l="1"/>
  <c r="S245" i="3"/>
  <c r="AC245" i="3" s="1"/>
  <c r="E246" i="3"/>
  <c r="D246" i="3"/>
  <c r="R243" i="3"/>
  <c r="W243" i="3" s="1"/>
  <c r="H244" i="3"/>
  <c r="B244" i="3"/>
  <c r="B245" i="3" l="1"/>
  <c r="C246" i="3"/>
  <c r="R244" i="3"/>
  <c r="W244" i="3" s="1"/>
  <c r="H245" i="3"/>
  <c r="E247" i="3"/>
  <c r="D247" i="3"/>
  <c r="S246" i="3"/>
  <c r="AC246" i="3" s="1"/>
  <c r="C247" i="3" l="1"/>
  <c r="S247" i="3"/>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B260" i="3" s="1"/>
  <c r="H259" i="3" l="1"/>
  <c r="R259" i="3" s="1"/>
  <c r="W259" i="3" s="1"/>
  <c r="C261" i="3"/>
  <c r="D262" i="3"/>
  <c r="E262" i="3"/>
  <c r="S261" i="3"/>
  <c r="AC261" i="3" s="1"/>
  <c r="H260" i="3" l="1"/>
  <c r="R260" i="3" s="1"/>
  <c r="W260" i="3" s="1"/>
  <c r="C262" i="3"/>
  <c r="S262" i="3"/>
  <c r="AC262" i="3" s="1"/>
  <c r="D263" i="3"/>
  <c r="E263" i="3"/>
  <c r="B261" i="3"/>
  <c r="H261" i="3" l="1"/>
  <c r="R261" i="3" s="1"/>
  <c r="W261" i="3" s="1"/>
  <c r="C263" i="3"/>
  <c r="S263" i="3"/>
  <c r="AC263" i="3" s="1"/>
  <c r="D264" i="3"/>
  <c r="E264" i="3"/>
  <c r="B262" i="3"/>
  <c r="B263" i="3" s="1"/>
  <c r="H262" i="3" l="1"/>
  <c r="R262" i="3" s="1"/>
  <c r="W262" i="3" s="1"/>
  <c r="C264" i="3"/>
  <c r="B264" i="3" s="1"/>
  <c r="S264" i="3"/>
  <c r="AC264"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Q280" i="3"/>
  <c r="T280" i="3"/>
  <c r="S280" i="3" s="1"/>
  <c r="AC280" i="3" s="1"/>
  <c r="E281" i="3"/>
  <c r="D281" i="3"/>
  <c r="C281" i="3" s="1"/>
  <c r="R278" i="3"/>
  <c r="W278" i="3" s="1"/>
  <c r="H279" i="3"/>
  <c r="B279" i="3"/>
  <c r="B280" i="3" s="1"/>
  <c r="R279" i="3" l="1"/>
  <c r="W279" i="3" s="1"/>
  <c r="H280" i="3"/>
  <c r="S281" i="3"/>
  <c r="AC281" i="3" s="1"/>
  <c r="E282" i="3"/>
  <c r="D282" i="3"/>
  <c r="C282" i="3" s="1"/>
  <c r="B281" i="3"/>
  <c r="E283" i="3" l="1"/>
  <c r="D283" i="3"/>
  <c r="C283" i="3" s="1"/>
  <c r="S282" i="3"/>
  <c r="AC282" i="3" s="1"/>
  <c r="R280" i="3"/>
  <c r="W280" i="3" s="1"/>
  <c r="H281" i="3"/>
  <c r="R281" i="3" l="1"/>
  <c r="W281" i="3" s="1"/>
  <c r="H282" i="3"/>
  <c r="S283" i="3"/>
  <c r="AC283" i="3" s="1"/>
  <c r="E284" i="3"/>
  <c r="D284" i="3"/>
  <c r="C284" i="3" s="1"/>
  <c r="B282" i="3"/>
  <c r="R282" i="3" l="1"/>
  <c r="W282" i="3" s="1"/>
  <c r="H283" i="3"/>
  <c r="S284" i="3"/>
  <c r="AC284" i="3" s="1"/>
  <c r="E285" i="3"/>
  <c r="D285" i="3"/>
  <c r="B283" i="3"/>
  <c r="C285" i="3" l="1"/>
  <c r="E286" i="3"/>
  <c r="D286" i="3"/>
  <c r="R283" i="3"/>
  <c r="W283" i="3" s="1"/>
  <c r="H284" i="3"/>
  <c r="S285" i="3"/>
  <c r="AC285" i="3" s="1"/>
  <c r="B284" i="3"/>
  <c r="B285" i="3" s="1"/>
  <c r="C286" i="3" l="1"/>
  <c r="S286" i="3"/>
  <c r="AC286" i="3" s="1"/>
  <c r="E287" i="3"/>
  <c r="D287" i="3"/>
  <c r="R284" i="3"/>
  <c r="W284" i="3" s="1"/>
  <c r="H285" i="3"/>
  <c r="B286" i="3"/>
  <c r="C287" i="3" l="1"/>
  <c r="S287" i="3"/>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s="1"/>
  <c r="E294" i="3" l="1"/>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C300" i="3" s="1"/>
  <c r="B298" i="3"/>
  <c r="S300" i="3" l="1"/>
  <c r="AC300" i="3" s="1"/>
  <c r="E301" i="3"/>
  <c r="D301" i="3"/>
  <c r="R298" i="3"/>
  <c r="W298" i="3" s="1"/>
  <c r="H299" i="3"/>
  <c r="B299" i="3"/>
  <c r="B300" i="3" s="1"/>
  <c r="C301" i="3" l="1"/>
  <c r="S301" i="3"/>
  <c r="AC301" i="3" s="1"/>
  <c r="E302" i="3"/>
  <c r="D302" i="3"/>
  <c r="C302" i="3" s="1"/>
  <c r="R299" i="3"/>
  <c r="W299" i="3" s="1"/>
  <c r="H300" i="3"/>
  <c r="B301" i="3"/>
  <c r="S302" i="3" l="1"/>
  <c r="AC302" i="3" s="1"/>
  <c r="E303" i="3"/>
  <c r="D303" i="3"/>
  <c r="R300" i="3"/>
  <c r="W300" i="3" s="1"/>
  <c r="H301" i="3"/>
  <c r="B302" i="3"/>
  <c r="C303" i="3" l="1"/>
  <c r="R301" i="3"/>
  <c r="W301" i="3" s="1"/>
  <c r="H302" i="3"/>
  <c r="E304" i="3"/>
  <c r="D304" i="3"/>
  <c r="C304" i="3" s="1"/>
  <c r="S303" i="3"/>
  <c r="AC303" i="3" s="1"/>
  <c r="S304" i="3" l="1"/>
  <c r="AC304" i="3" s="1"/>
  <c r="E305" i="3"/>
  <c r="D305" i="3"/>
  <c r="C305" i="3" s="1"/>
  <c r="B303" i="3"/>
  <c r="B304" i="3" s="1"/>
  <c r="R302" i="3"/>
  <c r="W302" i="3" s="1"/>
  <c r="H303" i="3"/>
  <c r="E306" i="3" l="1"/>
  <c r="D306" i="3"/>
  <c r="C306" i="3" s="1"/>
  <c r="S305" i="3"/>
  <c r="AC305" i="3" s="1"/>
  <c r="R303" i="3"/>
  <c r="W303" i="3" s="1"/>
  <c r="H304" i="3"/>
  <c r="B305" i="3"/>
  <c r="R304" i="3" l="1"/>
  <c r="W304" i="3" s="1"/>
  <c r="H305" i="3"/>
  <c r="S306" i="3"/>
  <c r="AC306" i="3" s="1"/>
  <c r="E307" i="3"/>
  <c r="D307" i="3"/>
  <c r="C307" i="3" l="1"/>
  <c r="S307" i="3"/>
  <c r="AC307" i="3" s="1"/>
  <c r="R305" i="3"/>
  <c r="W305" i="3" s="1"/>
  <c r="H306" i="3"/>
  <c r="E308" i="3"/>
  <c r="D308" i="3"/>
  <c r="C308" i="3" s="1"/>
  <c r="B306" i="3"/>
  <c r="E309" i="3" l="1"/>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B318" i="3" s="1"/>
  <c r="S318" i="3"/>
  <c r="AC318" i="3" s="1"/>
  <c r="E319" i="3"/>
  <c r="D319" i="3"/>
  <c r="R316" i="3"/>
  <c r="W316" i="3" s="1"/>
  <c r="H317"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C337" i="3" l="1"/>
  <c r="S337" i="3"/>
  <c r="AC337" i="3" s="1"/>
  <c r="E338" i="3"/>
  <c r="D338" i="3"/>
  <c r="C338" i="3" s="1"/>
  <c r="R335" i="3"/>
  <c r="W335" i="3" s="1"/>
  <c r="H336" i="3"/>
  <c r="B336" i="3"/>
  <c r="E339" i="3" l="1"/>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s="1"/>
  <c r="S350" i="3" l="1"/>
  <c r="AC350" i="3" s="1"/>
  <c r="E351" i="3"/>
  <c r="D351" i="3"/>
  <c r="R348" i="3"/>
  <c r="W348" i="3" s="1"/>
  <c r="H349" i="3"/>
  <c r="B349" i="3"/>
  <c r="B350" i="3" s="1"/>
  <c r="C351" i="3" l="1"/>
  <c r="B351" i="3" s="1"/>
  <c r="S351" i="3"/>
  <c r="AC351" i="3" s="1"/>
  <c r="D352" i="3"/>
  <c r="E352" i="3"/>
  <c r="R349" i="3"/>
  <c r="W349" i="3" s="1"/>
  <c r="H350"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B379" i="3"/>
  <c r="B380" i="3" s="1"/>
  <c r="H379" i="3" l="1"/>
  <c r="R379" i="3" s="1"/>
  <c r="W379" i="3" s="1"/>
  <c r="C381" i="3"/>
  <c r="D382" i="3"/>
  <c r="E382" i="3"/>
  <c r="S381" i="3"/>
  <c r="AC381" i="3" s="1"/>
  <c r="H380" i="3" l="1"/>
  <c r="H381" i="3" s="1"/>
  <c r="C382" i="3"/>
  <c r="D383" i="3"/>
  <c r="E383" i="3"/>
  <c r="S382" i="3"/>
  <c r="AC382" i="3" s="1"/>
  <c r="B381" i="3"/>
  <c r="B382" i="3" s="1"/>
  <c r="R380" i="3" l="1"/>
  <c r="W380" i="3" s="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l="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S406" i="3"/>
  <c r="AC406" i="3" s="1"/>
  <c r="E407" i="3"/>
  <c r="D407" i="3"/>
  <c r="R404" i="3"/>
  <c r="W404" i="3" s="1"/>
  <c r="H405" i="3"/>
  <c r="B406" i="3"/>
  <c r="C407" i="3" l="1"/>
  <c r="S407" i="3"/>
  <c r="AC407" i="3" s="1"/>
  <c r="R405" i="3"/>
  <c r="W405" i="3" s="1"/>
  <c r="H406" i="3"/>
  <c r="E408" i="3"/>
  <c r="D408" i="3"/>
  <c r="B407" i="3"/>
  <c r="C408" i="3" l="1"/>
  <c r="B408" i="3" s="1"/>
  <c r="R406" i="3"/>
  <c r="W406" i="3" s="1"/>
  <c r="H407" i="3"/>
  <c r="S408" i="3"/>
  <c r="AC408" i="3" s="1"/>
  <c r="E409" i="3"/>
  <c r="D409" i="3"/>
  <c r="C409" i="3" l="1"/>
  <c r="S409" i="3"/>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C417" i="3" s="1"/>
  <c r="B415" i="3"/>
  <c r="R415" i="3" l="1"/>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B438" i="3"/>
  <c r="H438" i="3" s="1"/>
  <c r="B439" i="3" l="1"/>
  <c r="C440"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C458" i="3" s="1"/>
  <c r="S457" i="3"/>
  <c r="AC457" i="3" s="1"/>
  <c r="E459" i="3" l="1"/>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l="1"/>
  <c r="C497" i="3"/>
  <c r="B497" i="3" s="1"/>
  <c r="S497" i="3"/>
  <c r="AC497" i="3" s="1"/>
  <c r="E498" i="3"/>
  <c r="D498" i="3"/>
  <c r="R495" i="3"/>
  <c r="W495" i="3" s="1"/>
  <c r="H496" i="3"/>
  <c r="C498" i="3" l="1"/>
  <c r="B498" i="3" s="1"/>
  <c r="S498" i="3"/>
  <c r="AC498" i="3" s="1"/>
  <c r="E499" i="3"/>
  <c r="D499" i="3"/>
  <c r="R496" i="3"/>
  <c r="W496" i="3" s="1"/>
  <c r="H497" i="3"/>
  <c r="C499" i="3" l="1"/>
  <c r="S499" i="3"/>
  <c r="AC499" i="3" s="1"/>
  <c r="E500" i="3"/>
  <c r="D500" i="3"/>
  <c r="R497" i="3"/>
  <c r="W497" i="3" s="1"/>
  <c r="H498" i="3"/>
  <c r="B499" i="3"/>
  <c r="C500" i="3" l="1"/>
  <c r="S500" i="3"/>
  <c r="AC500" i="3" s="1"/>
  <c r="E501" i="3"/>
  <c r="D501" i="3"/>
  <c r="R498" i="3"/>
  <c r="W498" i="3" s="1"/>
  <c r="H499" i="3"/>
  <c r="B500" i="3"/>
  <c r="C501" i="3" l="1"/>
  <c r="B501" i="3" s="1"/>
  <c r="R499" i="3"/>
  <c r="W499" i="3" s="1"/>
  <c r="H500" i="3"/>
  <c r="S501" i="3"/>
  <c r="AC501" i="3" s="1"/>
  <c r="E502" i="3"/>
  <c r="D502"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l="1"/>
  <c r="C526"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C545" i="3" s="1"/>
  <c r="S544" i="3"/>
  <c r="AC544" i="3" s="1"/>
  <c r="B543" i="3"/>
  <c r="S545" i="3" l="1"/>
  <c r="AC545" i="3" s="1"/>
  <c r="E546" i="3"/>
  <c r="D546" i="3"/>
  <c r="R543" i="3"/>
  <c r="W543" i="3" s="1"/>
  <c r="H544" i="3"/>
  <c r="B544" i="3"/>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s="1"/>
  <c r="E560" i="3" l="1"/>
  <c r="D560" i="3"/>
  <c r="S559" i="3"/>
  <c r="AC559" i="3" s="1"/>
  <c r="R557" i="3"/>
  <c r="W557" i="3" s="1"/>
  <c r="H558" i="3"/>
  <c r="B558" i="3"/>
  <c r="C560" i="3" l="1"/>
  <c r="R558" i="3"/>
  <c r="W558" i="3" s="1"/>
  <c r="B559" i="3"/>
  <c r="H559" i="3" s="1"/>
  <c r="S560" i="3"/>
  <c r="AC560" i="3" s="1"/>
  <c r="E561" i="3"/>
  <c r="D561" i="3"/>
  <c r="C561" i="3" s="1"/>
  <c r="E562" i="3" l="1"/>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B572" i="3" s="1"/>
  <c r="S572" i="3"/>
  <c r="AC572" i="3" s="1"/>
  <c r="E573" i="3"/>
  <c r="D573" i="3"/>
  <c r="R570" i="3"/>
  <c r="W570" i="3" s="1"/>
  <c r="H571"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B589" i="3" s="1"/>
  <c r="S589" i="3"/>
  <c r="AC589" i="3" s="1"/>
  <c r="E590" i="3"/>
  <c r="D590" i="3"/>
  <c r="R587" i="3"/>
  <c r="W587" i="3" s="1"/>
  <c r="H588" i="3"/>
  <c r="C590" i="3" l="1"/>
  <c r="B590" i="3" s="1"/>
  <c r="S590" i="3"/>
  <c r="AC590" i="3" s="1"/>
  <c r="E591" i="3"/>
  <c r="D591" i="3"/>
  <c r="R588" i="3"/>
  <c r="W588" i="3" s="1"/>
  <c r="H589"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S596" i="3"/>
  <c r="AC596" i="3" s="1"/>
  <c r="E597" i="3"/>
  <c r="D597" i="3"/>
  <c r="R594" i="3"/>
  <c r="W594" i="3" s="1"/>
  <c r="H595" i="3"/>
  <c r="B596" i="3"/>
  <c r="C597" i="3" l="1"/>
  <c r="B597" i="3" s="1"/>
  <c r="S597" i="3"/>
  <c r="AC597" i="3" s="1"/>
  <c r="E598" i="3"/>
  <c r="D598" i="3"/>
  <c r="R595" i="3"/>
  <c r="W595" i="3" s="1"/>
  <c r="H596" i="3"/>
  <c r="C598" i="3" l="1"/>
  <c r="B598" i="3" s="1"/>
  <c r="S598" i="3"/>
  <c r="AC598" i="3" s="1"/>
  <c r="E599" i="3"/>
  <c r="D599" i="3"/>
  <c r="R596" i="3"/>
  <c r="W596" i="3" s="1"/>
  <c r="H597"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B609" i="3" s="1"/>
  <c r="C610" i="3" l="1"/>
  <c r="S610" i="3"/>
  <c r="AC610" i="3" s="1"/>
  <c r="E611" i="3"/>
  <c r="D611" i="3"/>
  <c r="B610" i="3"/>
  <c r="R608" i="3"/>
  <c r="W608" i="3" s="1"/>
  <c r="H609" i="3"/>
  <c r="C611" i="3" l="1"/>
  <c r="B611" i="3" s="1"/>
  <c r="S611" i="3"/>
  <c r="AC611" i="3" s="1"/>
  <c r="D612" i="3"/>
  <c r="E612" i="3"/>
  <c r="R609" i="3"/>
  <c r="W609" i="3" s="1"/>
  <c r="H610"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B635" i="3" s="1"/>
  <c r="R633" i="3"/>
  <c r="W633" i="3" s="1"/>
  <c r="H634" i="3"/>
  <c r="S635" i="3"/>
  <c r="AC635" i="3" s="1"/>
  <c r="D636" i="3"/>
  <c r="E636"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B643" i="3" s="1"/>
  <c r="S643" i="3"/>
  <c r="AC643" i="3" s="1"/>
  <c r="D644" i="3"/>
  <c r="E644"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S650" i="3"/>
  <c r="AC650" i="3" s="1"/>
  <c r="E651" i="3"/>
  <c r="D651" i="3"/>
  <c r="C651" i="3" s="1"/>
  <c r="R648" i="3"/>
  <c r="W648" i="3" s="1"/>
  <c r="H649" i="3"/>
  <c r="B650" i="3"/>
  <c r="S651" i="3" l="1"/>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l="1"/>
  <c r="C675" i="3"/>
  <c r="S675" i="3"/>
  <c r="AC675" i="3" s="1"/>
  <c r="E676" i="3"/>
  <c r="D676" i="3"/>
  <c r="R673" i="3"/>
  <c r="W673" i="3" s="1"/>
  <c r="H674" i="3"/>
  <c r="B675" i="3"/>
  <c r="C676" i="3" l="1"/>
  <c r="B676" i="3" s="1"/>
  <c r="S676" i="3"/>
  <c r="AC676" i="3" s="1"/>
  <c r="E677" i="3"/>
  <c r="D677" i="3"/>
  <c r="R674" i="3"/>
  <c r="W674" i="3" s="1"/>
  <c r="H675" i="3"/>
  <c r="C677" i="3" l="1"/>
  <c r="B677" i="3" s="1"/>
  <c r="S677" i="3"/>
  <c r="AC677" i="3" s="1"/>
  <c r="R675" i="3"/>
  <c r="W675" i="3" s="1"/>
  <c r="H676" i="3"/>
  <c r="E678" i="3"/>
  <c r="D678" i="3"/>
  <c r="C678" i="3" l="1"/>
  <c r="B678" i="3" s="1"/>
  <c r="R676" i="3"/>
  <c r="W676" i="3" s="1"/>
  <c r="H677" i="3"/>
  <c r="S678" i="3"/>
  <c r="AC678" i="3" s="1"/>
  <c r="E679" i="3"/>
  <c r="D679" i="3"/>
  <c r="C679" i="3" l="1"/>
  <c r="E680" i="3"/>
  <c r="D680" i="3"/>
  <c r="S679" i="3"/>
  <c r="AC679" i="3" s="1"/>
  <c r="R677" i="3"/>
  <c r="W677" i="3" s="1"/>
  <c r="H678" i="3"/>
  <c r="C680" i="3" l="1"/>
  <c r="R678" i="3"/>
  <c r="W678" i="3" s="1"/>
  <c r="S680" i="3"/>
  <c r="AC680" i="3" s="1"/>
  <c r="E681" i="3"/>
  <c r="D681" i="3"/>
  <c r="B679" i="3"/>
  <c r="H679" i="3" s="1"/>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B684" i="3"/>
  <c r="R682" i="3"/>
  <c r="W682" i="3" s="1"/>
  <c r="H683" i="3"/>
  <c r="C685" i="3" l="1"/>
  <c r="S685" i="3"/>
  <c r="AC685" i="3" s="1"/>
  <c r="E686" i="3"/>
  <c r="D686" i="3"/>
  <c r="R683" i="3"/>
  <c r="W683" i="3" s="1"/>
  <c r="H684" i="3"/>
  <c r="B685" i="3"/>
  <c r="C686" i="3" l="1"/>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s="1"/>
  <c r="S696" i="3" l="1"/>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B704" i="3" s="1"/>
  <c r="E705" i="3"/>
  <c r="D705" i="3"/>
  <c r="S704" i="3"/>
  <c r="AC704" i="3" s="1"/>
  <c r="R702" i="3"/>
  <c r="W702" i="3" s="1"/>
  <c r="H703"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S723" i="3"/>
  <c r="AC723" i="3" s="1"/>
  <c r="E724" i="3"/>
  <c r="D724" i="3"/>
  <c r="R721" i="3"/>
  <c r="W721" i="3" s="1"/>
  <c r="H722" i="3"/>
  <c r="B723"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C737" i="3" s="1"/>
  <c r="S736" i="3"/>
  <c r="AC736" i="3" s="1"/>
  <c r="B736" i="3" l="1"/>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s="1"/>
  <c r="E745" i="3" l="1"/>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C762" i="3" s="1"/>
  <c r="B760" i="3"/>
  <c r="B761" i="3" s="1"/>
  <c r="S762" i="3" l="1"/>
  <c r="AC762" i="3" s="1"/>
  <c r="E763" i="3"/>
  <c r="D763" i="3"/>
  <c r="R760" i="3"/>
  <c r="W760" i="3" s="1"/>
  <c r="H761" i="3"/>
  <c r="B762" i="3"/>
  <c r="C763" i="3" l="1"/>
  <c r="B763" i="3" s="1"/>
  <c r="S763" i="3"/>
  <c r="AC763" i="3" s="1"/>
  <c r="E764" i="3"/>
  <c r="D764" i="3"/>
  <c r="R761" i="3"/>
  <c r="W761" i="3" s="1"/>
  <c r="H762" i="3"/>
  <c r="C764" i="3" l="1"/>
  <c r="B764" i="3" s="1"/>
  <c r="S764" i="3"/>
  <c r="AC764" i="3" s="1"/>
  <c r="E765" i="3"/>
  <c r="D765" i="3"/>
  <c r="R762" i="3"/>
  <c r="W762" i="3" s="1"/>
  <c r="H763"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B771" i="3"/>
  <c r="C772" i="3" l="1"/>
  <c r="E773" i="3"/>
  <c r="D773" i="3"/>
  <c r="C773" i="3" s="1"/>
  <c r="S772" i="3"/>
  <c r="AC772" i="3" s="1"/>
  <c r="R770" i="3"/>
  <c r="W770" i="3" s="1"/>
  <c r="H771" i="3"/>
  <c r="R771" i="3" l="1"/>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H784" i="3"/>
  <c r="B784" i="3"/>
  <c r="B785" i="3" s="1"/>
  <c r="S785" i="3"/>
  <c r="AC785" i="3" s="1"/>
  <c r="E786" i="3"/>
  <c r="D786" i="3"/>
  <c r="C786" i="3" l="1"/>
  <c r="S786" i="3"/>
  <c r="AC786" i="3" s="1"/>
  <c r="R784" i="3"/>
  <c r="W784" i="3" s="1"/>
  <c r="H785" i="3"/>
  <c r="E787" i="3"/>
  <c r="D787" i="3"/>
  <c r="C787" i="3" l="1"/>
  <c r="S787" i="3"/>
  <c r="AC787" i="3" s="1"/>
  <c r="E788" i="3"/>
  <c r="D788" i="3"/>
  <c r="R785" i="3"/>
  <c r="W785" i="3" s="1"/>
  <c r="H786" i="3"/>
  <c r="B786" i="3"/>
  <c r="B787" i="3" l="1"/>
  <c r="C788" i="3"/>
  <c r="B788" i="3" s="1"/>
  <c r="R786" i="3"/>
  <c r="W786" i="3" s="1"/>
  <c r="H787" i="3"/>
  <c r="S788" i="3"/>
  <c r="AC788" i="3" s="1"/>
  <c r="E789" i="3"/>
  <c r="D789" i="3"/>
  <c r="C789" i="3" l="1"/>
  <c r="B789" i="3" s="1"/>
  <c r="S789" i="3"/>
  <c r="AC789" i="3" s="1"/>
  <c r="E790" i="3"/>
  <c r="D790" i="3"/>
  <c r="R787" i="3"/>
  <c r="W787" i="3" s="1"/>
  <c r="H788" i="3"/>
  <c r="C790" i="3" l="1"/>
  <c r="S790" i="3"/>
  <c r="AC790" i="3" s="1"/>
  <c r="E791" i="3"/>
  <c r="D791" i="3"/>
  <c r="R788" i="3"/>
  <c r="W788" i="3" s="1"/>
  <c r="H789" i="3"/>
  <c r="B790" i="3"/>
  <c r="C791" i="3" l="1"/>
  <c r="B791" i="3" s="1"/>
  <c r="S791" i="3"/>
  <c r="AC791" i="3" s="1"/>
  <c r="R789" i="3"/>
  <c r="W789" i="3" s="1"/>
  <c r="H790" i="3"/>
  <c r="E792" i="3"/>
  <c r="D792" i="3"/>
  <c r="C792" i="3" l="1"/>
  <c r="R790" i="3"/>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S799" i="3"/>
  <c r="AC799" i="3" s="1"/>
  <c r="E800" i="3"/>
  <c r="D800" i="3"/>
  <c r="B798" i="3"/>
  <c r="H798" i="3" s="1"/>
  <c r="C800" i="3" l="1"/>
  <c r="S800" i="3"/>
  <c r="AC800" i="3" s="1"/>
  <c r="R798" i="3"/>
  <c r="W798" i="3" s="1"/>
  <c r="E801" i="3"/>
  <c r="D801" i="3"/>
  <c r="B799" i="3"/>
  <c r="H799" i="3" s="1"/>
  <c r="B800" i="3" l="1"/>
  <c r="C801" i="3"/>
  <c r="B801" i="3" s="1"/>
  <c r="S801" i="3"/>
  <c r="AC801" i="3" s="1"/>
  <c r="E802" i="3"/>
  <c r="D802" i="3"/>
  <c r="R799" i="3"/>
  <c r="W799" i="3" s="1"/>
  <c r="H800" i="3"/>
  <c r="C802" i="3" l="1"/>
  <c r="B802" i="3" s="1"/>
  <c r="S802" i="3"/>
  <c r="AC802" i="3" s="1"/>
  <c r="E803" i="3"/>
  <c r="D803" i="3"/>
  <c r="R800" i="3"/>
  <c r="W800" i="3" s="1"/>
  <c r="H801" i="3"/>
  <c r="C803" i="3" l="1"/>
  <c r="B803" i="3" s="1"/>
  <c r="S803" i="3"/>
  <c r="AC803" i="3" s="1"/>
  <c r="E804" i="3"/>
  <c r="D804" i="3"/>
  <c r="R801" i="3"/>
  <c r="W801" i="3" s="1"/>
  <c r="H802" i="3"/>
  <c r="C804" i="3" l="1"/>
  <c r="E805" i="3"/>
  <c r="D805" i="3"/>
  <c r="C805" i="3" s="1"/>
  <c r="S804" i="3"/>
  <c r="AC804" i="3" s="1"/>
  <c r="R802" i="3"/>
  <c r="W802" i="3" s="1"/>
  <c r="H803" i="3"/>
  <c r="B804" i="3"/>
  <c r="R803" i="3" l="1"/>
  <c r="W803" i="3" s="1"/>
  <c r="H804" i="3"/>
  <c r="S805" i="3"/>
  <c r="AC805" i="3" s="1"/>
  <c r="E806" i="3"/>
  <c r="D806" i="3"/>
  <c r="C806" i="3" s="1"/>
  <c r="E807" i="3" l="1"/>
  <c r="D807" i="3"/>
  <c r="R804" i="3"/>
  <c r="W804" i="3" s="1"/>
  <c r="H805" i="3"/>
  <c r="S806" i="3"/>
  <c r="AC806" i="3" s="1"/>
  <c r="B805" i="3"/>
  <c r="B806" i="3" s="1"/>
  <c r="C807" i="3" l="1"/>
  <c r="B807" i="3" s="1"/>
  <c r="R805" i="3"/>
  <c r="W805" i="3" s="1"/>
  <c r="H806" i="3"/>
  <c r="S807" i="3"/>
  <c r="AC807" i="3" s="1"/>
  <c r="E808" i="3"/>
  <c r="D808" i="3"/>
  <c r="C808" i="3" l="1"/>
  <c r="S808" i="3"/>
  <c r="AC808" i="3" s="1"/>
  <c r="R806" i="3"/>
  <c r="W806" i="3" s="1"/>
  <c r="H807" i="3"/>
  <c r="E809" i="3"/>
  <c r="D809" i="3"/>
  <c r="C809" i="3" l="1"/>
  <c r="S809" i="3"/>
  <c r="AC809" i="3" s="1"/>
  <c r="E810" i="3"/>
  <c r="D810" i="3"/>
  <c r="R807" i="3"/>
  <c r="W807" i="3" s="1"/>
  <c r="H808" i="3"/>
  <c r="B808" i="3"/>
  <c r="B809" i="3" l="1"/>
  <c r="C810" i="3"/>
  <c r="B810" i="3" s="1"/>
  <c r="D811" i="3"/>
  <c r="E811" i="3"/>
  <c r="S810" i="3"/>
  <c r="AC810" i="3" s="1"/>
  <c r="R808" i="3"/>
  <c r="W808" i="3" s="1"/>
  <c r="H809" i="3"/>
  <c r="C811" i="3" l="1"/>
  <c r="R809" i="3"/>
  <c r="W809" i="3" s="1"/>
  <c r="H810" i="3"/>
  <c r="E812" i="3"/>
  <c r="D812" i="3"/>
  <c r="C812" i="3" s="1"/>
  <c r="S811" i="3"/>
  <c r="AC811" i="3" s="1"/>
  <c r="S812" i="3" l="1"/>
  <c r="AC812" i="3" s="1"/>
  <c r="E813" i="3"/>
  <c r="D813" i="3"/>
  <c r="R810" i="3"/>
  <c r="W810" i="3" s="1"/>
  <c r="H811" i="3"/>
  <c r="B811" i="3"/>
  <c r="B812" i="3" s="1"/>
  <c r="C813" i="3" l="1"/>
  <c r="E814" i="3"/>
  <c r="D814" i="3"/>
  <c r="R811" i="3"/>
  <c r="W811" i="3" s="1"/>
  <c r="H812" i="3"/>
  <c r="S813" i="3"/>
  <c r="AC813" i="3" s="1"/>
  <c r="B813" i="3"/>
  <c r="C814" i="3" l="1"/>
  <c r="B814" i="3" s="1"/>
  <c r="R812" i="3"/>
  <c r="W812" i="3" s="1"/>
  <c r="H813" i="3"/>
  <c r="S814" i="3"/>
  <c r="AC814" i="3" s="1"/>
  <c r="E815" i="3"/>
  <c r="D815"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S830" i="3"/>
  <c r="AC830" i="3" s="1"/>
  <c r="E831" i="3"/>
  <c r="D831" i="3"/>
  <c r="R828" i="3"/>
  <c r="W828" i="3" s="1"/>
  <c r="H829" i="3"/>
  <c r="B830" i="3"/>
  <c r="C831" i="3" l="1"/>
  <c r="B831" i="3" s="1"/>
  <c r="S831" i="3"/>
  <c r="AC831" i="3" s="1"/>
  <c r="R829" i="3"/>
  <c r="W829" i="3" s="1"/>
  <c r="H830" i="3"/>
  <c r="E832" i="3"/>
  <c r="D832"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s="1"/>
  <c r="E838" i="3" l="1"/>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E864" i="3"/>
  <c r="D864" i="3"/>
  <c r="S863" i="3"/>
  <c r="AC863" i="3" s="1"/>
  <c r="R861" i="3"/>
  <c r="W861" i="3" s="1"/>
  <c r="H862" i="3"/>
  <c r="B862" i="3"/>
  <c r="B863" i="3" l="1"/>
  <c r="C864" i="3"/>
  <c r="R862" i="3"/>
  <c r="W862" i="3" s="1"/>
  <c r="H863" i="3"/>
  <c r="S864" i="3"/>
  <c r="AC864" i="3" s="1"/>
  <c r="E865" i="3"/>
  <c r="D865" i="3"/>
  <c r="C865" i="3" l="1"/>
  <c r="R863" i="3"/>
  <c r="W863" i="3" s="1"/>
  <c r="H864" i="3"/>
  <c r="S865" i="3"/>
  <c r="AC865" i="3" s="1"/>
  <c r="E866" i="3"/>
  <c r="D866" i="3"/>
  <c r="B864" i="3"/>
  <c r="C866" i="3" l="1"/>
  <c r="S866" i="3"/>
  <c r="AC866" i="3" s="1"/>
  <c r="R864" i="3"/>
  <c r="W864" i="3" s="1"/>
  <c r="H865" i="3"/>
  <c r="E867" i="3"/>
  <c r="D867" i="3"/>
  <c r="B865" i="3"/>
  <c r="B866" i="3" s="1"/>
  <c r="C867" i="3" l="1"/>
  <c r="S867" i="3"/>
  <c r="AC867" i="3" s="1"/>
  <c r="E868" i="3"/>
  <c r="D868" i="3"/>
  <c r="R865" i="3"/>
  <c r="W865" i="3" s="1"/>
  <c r="H866" i="3"/>
  <c r="B867" i="3"/>
  <c r="C868" i="3" l="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H874" i="3"/>
  <c r="B874" i="3"/>
  <c r="B875" i="3" s="1"/>
  <c r="C876" i="3" l="1"/>
  <c r="S876" i="3"/>
  <c r="AC876" i="3" s="1"/>
  <c r="E877" i="3"/>
  <c r="D877" i="3"/>
  <c r="R874" i="3"/>
  <c r="W874" i="3" s="1"/>
  <c r="H875" i="3"/>
  <c r="B876" i="3"/>
  <c r="C877" i="3" l="1"/>
  <c r="S877" i="3"/>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R883" i="3"/>
  <c r="W883" i="3" s="1"/>
  <c r="H884" i="3"/>
  <c r="B885" i="3"/>
  <c r="C886" i="3" l="1"/>
  <c r="B886" i="3" s="1"/>
  <c r="S886" i="3"/>
  <c r="AC886" i="3" s="1"/>
  <c r="E887" i="3"/>
  <c r="D887" i="3"/>
  <c r="R884" i="3"/>
  <c r="W884" i="3" s="1"/>
  <c r="H885"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B890" i="3" s="1"/>
  <c r="S890" i="3"/>
  <c r="AC890" i="3" s="1"/>
  <c r="E891" i="3"/>
  <c r="D891" i="3"/>
  <c r="R888" i="3"/>
  <c r="W888" i="3" s="1"/>
  <c r="H889" i="3"/>
  <c r="C891" i="3" l="1"/>
  <c r="B891" i="3" s="1"/>
  <c r="S891" i="3"/>
  <c r="AC891" i="3" s="1"/>
  <c r="R889" i="3"/>
  <c r="W889" i="3" s="1"/>
  <c r="H890" i="3"/>
  <c r="E892" i="3"/>
  <c r="D892"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l="1"/>
  <c r="C905" i="3"/>
  <c r="S905" i="3"/>
  <c r="AC905" i="3" s="1"/>
  <c r="E906" i="3"/>
  <c r="D906" i="3"/>
  <c r="R903" i="3"/>
  <c r="W903" i="3" s="1"/>
  <c r="H904" i="3"/>
  <c r="B905" i="3"/>
  <c r="C906" i="3" l="1"/>
  <c r="S906" i="3"/>
  <c r="AC906" i="3" s="1"/>
  <c r="E907" i="3"/>
  <c r="D907" i="3"/>
  <c r="R904" i="3"/>
  <c r="W904" i="3" s="1"/>
  <c r="H905" i="3"/>
  <c r="B906" i="3"/>
  <c r="C907" i="3" l="1"/>
  <c r="B907" i="3" s="1"/>
  <c r="S907" i="3"/>
  <c r="AC907" i="3" s="1"/>
  <c r="E908" i="3"/>
  <c r="D908" i="3"/>
  <c r="R905" i="3"/>
  <c r="W905" i="3" s="1"/>
  <c r="H906"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B910" i="3"/>
  <c r="C911" i="3" l="1"/>
  <c r="S911" i="3"/>
  <c r="AC911" i="3" s="1"/>
  <c r="E912" i="3"/>
  <c r="D912" i="3"/>
  <c r="C912" i="3" s="1"/>
  <c r="B911" i="3"/>
  <c r="R909" i="3"/>
  <c r="W909" i="3" s="1"/>
  <c r="H910" i="3"/>
  <c r="S912" i="3" l="1"/>
  <c r="AC912" i="3" s="1"/>
  <c r="E913" i="3"/>
  <c r="D913" i="3"/>
  <c r="R910" i="3"/>
  <c r="W910" i="3" s="1"/>
  <c r="H911" i="3"/>
  <c r="B912" i="3"/>
  <c r="C913" i="3" l="1"/>
  <c r="B913" i="3" s="1"/>
  <c r="S913" i="3"/>
  <c r="AC913" i="3" s="1"/>
  <c r="E914" i="3"/>
  <c r="D914" i="3"/>
  <c r="R911" i="3"/>
  <c r="W911" i="3" s="1"/>
  <c r="H912"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B917" i="3" s="1"/>
  <c r="S917" i="3"/>
  <c r="AC917" i="3" s="1"/>
  <c r="E918" i="3"/>
  <c r="D918" i="3"/>
  <c r="R915" i="3"/>
  <c r="W915" i="3" s="1"/>
  <c r="H916"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T930" i="3"/>
  <c r="S930" i="3" s="1"/>
  <c r="AC930" i="3" s="1"/>
  <c r="Q930" i="3"/>
  <c r="D931" i="3"/>
  <c r="R928" i="3"/>
  <c r="W928" i="3" s="1"/>
  <c r="H929" i="3"/>
  <c r="B930" i="3"/>
  <c r="C931" i="3" l="1"/>
  <c r="B931" i="3" s="1"/>
  <c r="T931" i="3"/>
  <c r="S931" i="3" s="1"/>
  <c r="AC931" i="3" s="1"/>
  <c r="Q931" i="3"/>
  <c r="E932" i="3"/>
  <c r="D932" i="3"/>
  <c r="R929" i="3"/>
  <c r="W929" i="3" s="1"/>
  <c r="H930" i="3"/>
  <c r="C932" i="3" l="1"/>
  <c r="S932" i="3"/>
  <c r="AC932" i="3" s="1"/>
  <c r="R930" i="3"/>
  <c r="W930" i="3" s="1"/>
  <c r="H931" i="3"/>
  <c r="E933" i="3"/>
  <c r="D933" i="3"/>
  <c r="B932" i="3"/>
  <c r="C933" i="3" l="1"/>
  <c r="Q933" i="3"/>
  <c r="T933" i="3"/>
  <c r="S933" i="3" s="1"/>
  <c r="AC933" i="3" s="1"/>
  <c r="R931" i="3"/>
  <c r="W931" i="3" s="1"/>
  <c r="H932" i="3"/>
  <c r="D934" i="3"/>
  <c r="B933" i="3"/>
  <c r="C934" i="3" l="1"/>
  <c r="T934" i="3"/>
  <c r="S934" i="3" s="1"/>
  <c r="AC934" i="3" s="1"/>
  <c r="Q934" i="3"/>
  <c r="E935" i="3"/>
  <c r="D935" i="3"/>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s="1"/>
  <c r="E939" i="3" l="1"/>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Q941" i="3"/>
  <c r="T941" i="3"/>
  <c r="S941" i="3" s="1"/>
  <c r="AC941" i="3" s="1"/>
  <c r="D942" i="3"/>
  <c r="R939" i="3"/>
  <c r="W939" i="3" s="1"/>
  <c r="H940" i="3"/>
  <c r="C942" i="3" l="1"/>
  <c r="T942" i="3"/>
  <c r="S942" i="3" s="1"/>
  <c r="AC942" i="3" s="1"/>
  <c r="Q942" i="3"/>
  <c r="R940" i="3"/>
  <c r="W940" i="3" s="1"/>
  <c r="H941" i="3"/>
  <c r="E943" i="3"/>
  <c r="D943" i="3"/>
  <c r="C943" i="3" l="1"/>
  <c r="S943" i="3"/>
  <c r="AC943" i="3" s="1"/>
  <c r="R941" i="3"/>
  <c r="W941" i="3" s="1"/>
  <c r="H942" i="3"/>
  <c r="E944" i="3"/>
  <c r="D944" i="3"/>
  <c r="B942" i="3"/>
  <c r="C944" i="3" l="1"/>
  <c r="S944" i="3"/>
  <c r="AC944" i="3" s="1"/>
  <c r="E945" i="3"/>
  <c r="D945" i="3"/>
  <c r="R942" i="3"/>
  <c r="W942" i="3" s="1"/>
  <c r="H943" i="3"/>
  <c r="B943" i="3"/>
  <c r="B944" i="3" s="1"/>
  <c r="C945" i="3" l="1"/>
  <c r="B945" i="3" s="1"/>
  <c r="S945" i="3"/>
  <c r="AC945" i="3" s="1"/>
  <c r="E946" i="3"/>
  <c r="D946" i="3"/>
  <c r="R943" i="3"/>
  <c r="W943" i="3" s="1"/>
  <c r="H944" i="3"/>
  <c r="C946" i="3" l="1"/>
  <c r="S946" i="3"/>
  <c r="AC946" i="3" s="1"/>
  <c r="E947" i="3"/>
  <c r="D947" i="3"/>
  <c r="R944" i="3"/>
  <c r="W944" i="3" s="1"/>
  <c r="H945" i="3"/>
  <c r="B946" i="3"/>
  <c r="C947" i="3" l="1"/>
  <c r="B947" i="3" s="1"/>
  <c r="S947" i="3"/>
  <c r="AC947" i="3" s="1"/>
  <c r="E948" i="3"/>
  <c r="D948" i="3"/>
  <c r="R945" i="3"/>
  <c r="W945" i="3" s="1"/>
  <c r="H946" i="3"/>
  <c r="C948" i="3" l="1"/>
  <c r="B948" i="3" s="1"/>
  <c r="S948" i="3"/>
  <c r="AC948" i="3" s="1"/>
  <c r="E949" i="3"/>
  <c r="D949" i="3"/>
  <c r="R946" i="3"/>
  <c r="W946" i="3" s="1"/>
  <c r="H947" i="3"/>
  <c r="C949" i="3" l="1"/>
  <c r="S949" i="3"/>
  <c r="AC949" i="3" s="1"/>
  <c r="R947" i="3"/>
  <c r="W947" i="3" s="1"/>
  <c r="H948" i="3"/>
  <c r="E950" i="3"/>
  <c r="D950" i="3"/>
  <c r="C950" i="3" s="1"/>
  <c r="B949" i="3"/>
  <c r="R948" i="3" l="1"/>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B960" i="3" s="1"/>
  <c r="S960" i="3"/>
  <c r="AC960" i="3" s="1"/>
  <c r="E961" i="3"/>
  <c r="D961" i="3"/>
  <c r="R958" i="3"/>
  <c r="W958" i="3" s="1"/>
  <c r="H959" i="3"/>
  <c r="C961" i="3" l="1"/>
  <c r="B961" i="3" s="1"/>
  <c r="S961" i="3"/>
  <c r="AC961" i="3" s="1"/>
  <c r="E962" i="3"/>
  <c r="D962" i="3"/>
  <c r="R959" i="3"/>
  <c r="W959" i="3" s="1"/>
  <c r="H960"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S965" i="3"/>
  <c r="AC965" i="3" s="1"/>
  <c r="R963" i="3"/>
  <c r="W963" i="3" s="1"/>
  <c r="H964" i="3"/>
  <c r="E966" i="3"/>
  <c r="D966" i="3"/>
  <c r="B965" i="3"/>
  <c r="C966" i="3" l="1"/>
  <c r="R964" i="3"/>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B973" i="3" s="1"/>
  <c r="R971" i="3"/>
  <c r="W971" i="3" s="1"/>
  <c r="H972" i="3"/>
  <c r="S973" i="3"/>
  <c r="AC973" i="3" s="1"/>
  <c r="E974" i="3"/>
  <c r="D974" i="3"/>
  <c r="C974" i="3" l="1"/>
  <c r="E975" i="3"/>
  <c r="D975" i="3"/>
  <c r="S974" i="3"/>
  <c r="AC974" i="3" s="1"/>
  <c r="R972" i="3"/>
  <c r="W972" i="3" s="1"/>
  <c r="H973" i="3"/>
  <c r="C975" i="3" l="1"/>
  <c r="R973" i="3"/>
  <c r="W973" i="3" s="1"/>
  <c r="H974" i="3"/>
  <c r="B974" i="3"/>
  <c r="S975" i="3"/>
  <c r="AC975" i="3" s="1"/>
  <c r="E976" i="3"/>
  <c r="D976" i="3"/>
  <c r="C976" i="3" s="1"/>
  <c r="E977" i="3" l="1"/>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Q979" i="3"/>
  <c r="T979" i="3"/>
  <c r="S979" i="3" s="1"/>
  <c r="AC979" i="3" s="1"/>
  <c r="R977" i="3"/>
  <c r="W977" i="3" s="1"/>
  <c r="H978" i="3"/>
  <c r="B978" i="3"/>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S983" i="3"/>
  <c r="AC983" i="3" s="1"/>
  <c r="E984" i="3"/>
  <c r="D984" i="3"/>
  <c r="B982" i="3"/>
  <c r="H982" i="3" s="1"/>
  <c r="C984" i="3" l="1"/>
  <c r="E985" i="3"/>
  <c r="D985" i="3"/>
  <c r="S984" i="3"/>
  <c r="AC984" i="3" s="1"/>
  <c r="R982" i="3"/>
  <c r="W982" i="3" s="1"/>
  <c r="H983" i="3"/>
  <c r="B983" i="3"/>
  <c r="C985" i="3" l="1"/>
  <c r="R983" i="3"/>
  <c r="W983" i="3" s="1"/>
  <c r="H984" i="3"/>
  <c r="B984" i="3"/>
  <c r="S985" i="3"/>
  <c r="AC985" i="3" s="1"/>
  <c r="E986" i="3"/>
  <c r="D986" i="3"/>
  <c r="C986" i="3" s="1"/>
  <c r="E987" i="3" l="1"/>
  <c r="D987" i="3"/>
  <c r="S986" i="3"/>
  <c r="AC986" i="3" s="1"/>
  <c r="R984" i="3"/>
  <c r="W984" i="3" s="1"/>
  <c r="H985" i="3"/>
  <c r="B985" i="3"/>
  <c r="C987" i="3" l="1"/>
  <c r="T987" i="3"/>
  <c r="S987" i="3" s="1"/>
  <c r="Q987" i="3"/>
  <c r="R985" i="3"/>
  <c r="W985" i="3" s="1"/>
  <c r="H986" i="3"/>
  <c r="B986" i="3"/>
  <c r="E988" i="3"/>
  <c r="D988" i="3"/>
  <c r="AL987" i="3" l="1"/>
  <c r="AC987" i="3" s="1"/>
  <c r="C988" i="3"/>
  <c r="E989" i="3"/>
  <c r="D989" i="3"/>
  <c r="S988" i="3"/>
  <c r="AC988" i="3" s="1"/>
  <c r="R986" i="3"/>
  <c r="W986" i="3" s="1"/>
  <c r="H987" i="3"/>
  <c r="B987" i="3"/>
  <c r="T989" i="3" l="1"/>
  <c r="S989" i="3" s="1"/>
  <c r="AC989" i="3" s="1"/>
  <c r="Q989" i="3"/>
  <c r="C989" i="3"/>
  <c r="R987" i="3"/>
  <c r="W987" i="3" s="1"/>
  <c r="H988" i="3"/>
  <c r="E990" i="3"/>
  <c r="D990" i="3"/>
  <c r="B988" i="3"/>
  <c r="C990" i="3" l="1"/>
  <c r="R988" i="3"/>
  <c r="W988" i="3" s="1"/>
  <c r="H989" i="3"/>
  <c r="S990" i="3"/>
  <c r="AC990" i="3" s="1"/>
  <c r="E991" i="3"/>
  <c r="D991" i="3"/>
  <c r="B989" i="3"/>
  <c r="C991" i="3" l="1"/>
  <c r="R989" i="3"/>
  <c r="W989" i="3" s="1"/>
  <c r="H990" i="3"/>
  <c r="S991" i="3"/>
  <c r="AC991" i="3" s="1"/>
  <c r="E992" i="3"/>
  <c r="D992" i="3"/>
  <c r="B990" i="3"/>
  <c r="C992" i="3" l="1"/>
  <c r="T992" i="3"/>
  <c r="S992" i="3" s="1"/>
  <c r="AC992" i="3" s="1"/>
  <c r="Q992" i="3"/>
  <c r="R990" i="3"/>
  <c r="W990" i="3" s="1"/>
  <c r="H991" i="3"/>
  <c r="D993" i="3"/>
  <c r="B991" i="3"/>
  <c r="C993" i="3" l="1"/>
  <c r="T993" i="3"/>
  <c r="S993" i="3" s="1"/>
  <c r="AC993" i="3" s="1"/>
  <c r="Q993" i="3"/>
  <c r="R991" i="3"/>
  <c r="W991" i="3" s="1"/>
  <c r="H992" i="3"/>
  <c r="E994" i="3"/>
  <c r="D994" i="3"/>
  <c r="B992" i="3"/>
  <c r="C994" i="3" l="1"/>
  <c r="T994" i="3"/>
  <c r="S994" i="3" s="1"/>
  <c r="AC994" i="3" s="1"/>
  <c r="Q994" i="3"/>
  <c r="E995" i="3"/>
  <c r="D995" i="3"/>
  <c r="R992" i="3"/>
  <c r="W992" i="3" s="1"/>
  <c r="H993" i="3"/>
  <c r="B993" i="3"/>
  <c r="B994" i="3" s="1"/>
  <c r="C995" i="3" l="1"/>
  <c r="T995" i="3"/>
  <c r="S995" i="3" s="1"/>
  <c r="AC995" i="3" s="1"/>
  <c r="Q995" i="3"/>
  <c r="D996" i="3"/>
  <c r="R993" i="3"/>
  <c r="W993" i="3" s="1"/>
  <c r="H994" i="3"/>
  <c r="B995" i="3"/>
  <c r="C996" i="3" l="1"/>
  <c r="T996" i="3"/>
  <c r="S996" i="3" s="1"/>
  <c r="AC996" i="3" s="1"/>
  <c r="Q996" i="3"/>
  <c r="E997" i="3"/>
  <c r="D997" i="3"/>
  <c r="R994" i="3"/>
  <c r="W994" i="3" s="1"/>
  <c r="H995" i="3"/>
  <c r="B996" i="3"/>
  <c r="C997" i="3" l="1"/>
  <c r="B997" i="3" s="1"/>
  <c r="T997" i="3"/>
  <c r="S997" i="3" s="1"/>
  <c r="AC997" i="3" s="1"/>
  <c r="Q997" i="3"/>
  <c r="E998" i="3"/>
  <c r="D998" i="3"/>
  <c r="R995" i="3"/>
  <c r="W995" i="3" s="1"/>
  <c r="H996" i="3"/>
  <c r="C998" i="3" l="1"/>
  <c r="B998" i="3" s="1"/>
  <c r="S998" i="3"/>
  <c r="AC998" i="3" s="1"/>
  <c r="E999" i="3"/>
  <c r="D999" i="3"/>
  <c r="R996" i="3"/>
  <c r="W996" i="3" s="1"/>
  <c r="H997" i="3"/>
  <c r="C999" i="3" l="1"/>
  <c r="B999" i="3" s="1"/>
  <c r="S999" i="3"/>
  <c r="AC999" i="3" s="1"/>
  <c r="E1000" i="3"/>
  <c r="D1000" i="3"/>
  <c r="R997" i="3"/>
  <c r="W997" i="3" s="1"/>
  <c r="H998" i="3"/>
  <c r="C1000" i="3" l="1"/>
  <c r="Q1000" i="3"/>
  <c r="T1000" i="3"/>
  <c r="S1000" i="3" s="1"/>
  <c r="AC1000" i="3" s="1"/>
  <c r="E1001" i="3"/>
  <c r="D1001" i="3"/>
  <c r="R998" i="3"/>
  <c r="W998" i="3" s="1"/>
  <c r="H999" i="3"/>
  <c r="B1000" i="3"/>
  <c r="C1001" i="3" l="1"/>
  <c r="B1001" i="3" s="1"/>
  <c r="S1001" i="3"/>
  <c r="AC1001" i="3" s="1"/>
  <c r="E1002" i="3"/>
  <c r="D1002" i="3"/>
  <c r="R999" i="3"/>
  <c r="W999" i="3" s="1"/>
  <c r="H1000" i="3"/>
  <c r="C1002" i="3" l="1"/>
  <c r="B1002" i="3" s="1"/>
  <c r="S1002" i="3"/>
  <c r="AC1002" i="3" s="1"/>
  <c r="E1003" i="3"/>
  <c r="D1003" i="3"/>
  <c r="R1000" i="3"/>
  <c r="W1000" i="3" s="1"/>
  <c r="H1001" i="3"/>
  <c r="C1003" i="3" l="1"/>
  <c r="Q1003" i="3"/>
  <c r="T1003" i="3"/>
  <c r="S1003" i="3" s="1"/>
  <c r="AC1003" i="3" s="1"/>
  <c r="E1004" i="3"/>
  <c r="D1004" i="3"/>
  <c r="R1001" i="3"/>
  <c r="W1001" i="3" s="1"/>
  <c r="H1002" i="3"/>
  <c r="B1003" i="3"/>
  <c r="C1004" i="3" l="1"/>
  <c r="B1004" i="3" s="1"/>
  <c r="S1004" i="3"/>
  <c r="AC1004" i="3" s="1"/>
  <c r="E1005" i="3"/>
  <c r="D1005" i="3"/>
  <c r="R1002" i="3"/>
  <c r="W1002" i="3" s="1"/>
  <c r="H1003" i="3"/>
  <c r="C1005" i="3" l="1"/>
  <c r="S1005" i="3"/>
  <c r="AC1005" i="3" s="1"/>
  <c r="R1003" i="3"/>
  <c r="W1003" i="3" s="1"/>
  <c r="H1004" i="3"/>
  <c r="E1006" i="3"/>
  <c r="D1006" i="3"/>
  <c r="C1006" i="3" s="1"/>
  <c r="B1005" i="3"/>
  <c r="R1004" i="3" l="1"/>
  <c r="W1004" i="3" s="1"/>
  <c r="H1005" i="3"/>
  <c r="S1006" i="3"/>
  <c r="AC1006" i="3" s="1"/>
  <c r="B1006" i="3"/>
  <c r="E1007" i="3"/>
  <c r="D1007" i="3"/>
  <c r="T1007" i="3" l="1"/>
  <c r="S1007" i="3" s="1"/>
  <c r="AC1007" i="3" s="1"/>
  <c r="Q1007" i="3"/>
  <c r="C1007" i="3"/>
  <c r="D1008" i="3"/>
  <c r="R1005" i="3"/>
  <c r="W1005" i="3" s="1"/>
  <c r="H1006" i="3"/>
  <c r="C1008" i="3" l="1"/>
  <c r="T1008" i="3"/>
  <c r="S1008" i="3" s="1"/>
  <c r="AC1008" i="3" s="1"/>
  <c r="Q1008" i="3"/>
  <c r="E1009" i="3"/>
  <c r="D1009" i="3"/>
  <c r="R1006" i="3"/>
  <c r="W1006" i="3" s="1"/>
  <c r="H1007" i="3"/>
  <c r="B1007" i="3"/>
  <c r="C1009" i="3" l="1"/>
  <c r="Q1009" i="3"/>
  <c r="T1009" i="3"/>
  <c r="S1009" i="3" s="1"/>
  <c r="R1007" i="3"/>
  <c r="W1007" i="3" s="1"/>
  <c r="H1008" i="3"/>
  <c r="B1008" i="3"/>
  <c r="D1010" i="3"/>
  <c r="C1010" i="3" l="1"/>
  <c r="Q1010" i="3"/>
  <c r="T1010" i="3"/>
  <c r="S1010" i="3" s="1"/>
  <c r="AC1010" i="3" s="1"/>
  <c r="AC1009" i="3"/>
  <c r="E1011" i="3"/>
  <c r="D1011" i="3"/>
  <c r="R1008" i="3"/>
  <c r="W1008" i="3" s="1"/>
  <c r="H1009" i="3"/>
  <c r="B1009" i="3"/>
  <c r="C1011" i="3" l="1"/>
  <c r="R1009" i="3"/>
  <c r="W1009" i="3" s="1"/>
  <c r="H1010" i="3"/>
  <c r="B1010" i="3"/>
  <c r="S1011" i="3"/>
  <c r="AC1011" i="3" s="1"/>
  <c r="E1012" i="3"/>
  <c r="D1012" i="3"/>
  <c r="C1012" i="3" l="1"/>
  <c r="T1012" i="3"/>
  <c r="S1012" i="3" s="1"/>
  <c r="AC1012" i="3" s="1"/>
  <c r="Q1012" i="3"/>
  <c r="D1013" i="3"/>
  <c r="R1010" i="3"/>
  <c r="W1010" i="3" s="1"/>
  <c r="H1011" i="3"/>
  <c r="B1011" i="3"/>
  <c r="C1013" i="3" l="1"/>
  <c r="Q1013" i="3"/>
  <c r="T1013" i="3"/>
  <c r="S1013" i="3" s="1"/>
  <c r="R1011" i="3"/>
  <c r="W1011" i="3" s="1"/>
  <c r="H1012" i="3"/>
  <c r="D1014" i="3"/>
  <c r="B1012" i="3"/>
  <c r="AL1013" i="3" l="1"/>
  <c r="AC1013" i="3" s="1"/>
  <c r="C1014" i="3"/>
  <c r="T1014" i="3"/>
  <c r="S1014" i="3" s="1"/>
  <c r="AC1014" i="3" s="1"/>
  <c r="Q1014" i="3"/>
  <c r="R1012" i="3"/>
  <c r="W1012" i="3" s="1"/>
  <c r="H1013" i="3"/>
  <c r="D1015" i="3"/>
  <c r="B1013" i="3"/>
  <c r="C1015" i="3" l="1"/>
  <c r="R1013" i="3"/>
  <c r="W1013" i="3" s="1"/>
  <c r="H1014" i="3"/>
  <c r="S1015" i="3"/>
  <c r="AC1015" i="3" s="1"/>
  <c r="E1016" i="3"/>
  <c r="D1016" i="3"/>
  <c r="B1014" i="3"/>
  <c r="C1016" i="3" l="1"/>
  <c r="T1016" i="3"/>
  <c r="S1016" i="3" s="1"/>
  <c r="Q1016" i="3"/>
  <c r="R1014" i="3"/>
  <c r="W1014" i="3" s="1"/>
  <c r="H1015" i="3"/>
  <c r="E1017" i="3"/>
  <c r="D1017" i="3"/>
  <c r="B1015" i="3"/>
  <c r="AH1016" i="3" l="1"/>
  <c r="AC1016" i="3" s="1"/>
  <c r="C1017" i="3"/>
  <c r="T1017" i="3"/>
  <c r="S1017" i="3" s="1"/>
  <c r="AC1017" i="3" s="1"/>
  <c r="Q1017" i="3"/>
  <c r="R1015" i="3"/>
  <c r="W1015" i="3" s="1"/>
  <c r="H1016" i="3"/>
  <c r="D1018" i="3"/>
  <c r="B1016" i="3"/>
  <c r="B1017" i="3" l="1"/>
  <c r="C1018" i="3"/>
  <c r="Q1018" i="3"/>
  <c r="T1018" i="3"/>
  <c r="S1018" i="3" s="1"/>
  <c r="AC1018" i="3" s="1"/>
  <c r="E1019" i="3"/>
  <c r="D1019" i="3"/>
  <c r="R1016" i="3"/>
  <c r="W1016" i="3" s="1"/>
  <c r="H1017" i="3"/>
  <c r="B1018" i="3" l="1"/>
  <c r="C1019" i="3"/>
  <c r="Q1019" i="3"/>
  <c r="T1019" i="3"/>
  <c r="S1019" i="3" s="1"/>
  <c r="R1017" i="3"/>
  <c r="W1017" i="3" s="1"/>
  <c r="H1018" i="3"/>
  <c r="D1020" i="3"/>
  <c r="AH1019" i="3" l="1"/>
  <c r="AC1019" i="3" s="1"/>
  <c r="C1020" i="3"/>
  <c r="Q1020" i="3"/>
  <c r="T1020" i="3"/>
  <c r="S1020" i="3" s="1"/>
  <c r="R1018" i="3"/>
  <c r="W1018" i="3" s="1"/>
  <c r="H1019" i="3"/>
  <c r="D1021" i="3"/>
  <c r="D1022" i="3" s="1"/>
  <c r="B1019" i="3"/>
  <c r="Q1022" i="3" l="1"/>
  <c r="T1022" i="3"/>
  <c r="C1021" i="3"/>
  <c r="Q1021" i="3"/>
  <c r="T1021" i="3"/>
  <c r="S1021" i="3" s="1"/>
  <c r="AC1021" i="3" s="1"/>
  <c r="AC1020" i="3"/>
  <c r="R1019" i="3"/>
  <c r="W1019" i="3" s="1"/>
  <c r="H1020" i="3"/>
  <c r="B1020" i="3"/>
  <c r="S1022" i="3" l="1"/>
  <c r="AC1022" i="3" s="1"/>
  <c r="C1022" i="3"/>
  <c r="R1020" i="3"/>
  <c r="W1020" i="3" s="1"/>
  <c r="H1021" i="3"/>
  <c r="H1022" i="3" s="1"/>
  <c r="R1022" i="3" s="1"/>
  <c r="W1022" i="3" s="1"/>
  <c r="D1023" i="3"/>
  <c r="B1021" i="3"/>
  <c r="B1022" i="3" l="1"/>
  <c r="T1023" i="3"/>
  <c r="S1023" i="3" s="1"/>
  <c r="AC1023" i="3" s="1"/>
  <c r="Q1023" i="3"/>
  <c r="C1023" i="3"/>
  <c r="B1023" i="3" s="1"/>
  <c r="D1024" i="3"/>
  <c r="R1021" i="3"/>
  <c r="W1021" i="3" s="1"/>
  <c r="C1024" i="3" l="1"/>
  <c r="B1024" i="3" s="1"/>
  <c r="Q1024" i="3"/>
  <c r="T1024" i="3"/>
  <c r="S1024" i="3" s="1"/>
  <c r="AC1024" i="3" s="1"/>
  <c r="E1025" i="3"/>
  <c r="D1025" i="3"/>
  <c r="H1023" i="3"/>
  <c r="C1025" i="3" l="1"/>
  <c r="B1025" i="3" s="1"/>
  <c r="Q1025" i="3"/>
  <c r="T1025" i="3"/>
  <c r="S1025" i="3" s="1"/>
  <c r="AC1025" i="3" s="1"/>
  <c r="E1026" i="3"/>
  <c r="D1026" i="3"/>
  <c r="R1023" i="3"/>
  <c r="W1023" i="3" s="1"/>
  <c r="H1024" i="3"/>
  <c r="C1026" i="3" l="1"/>
  <c r="B1026" i="3" s="1"/>
  <c r="T1026" i="3"/>
  <c r="S1026" i="3" s="1"/>
  <c r="AC1026" i="3" s="1"/>
  <c r="Q1026" i="3"/>
  <c r="E1027" i="3"/>
  <c r="D1027" i="3"/>
  <c r="R1024" i="3"/>
  <c r="W1024" i="3" s="1"/>
  <c r="H1025" i="3"/>
  <c r="C1027" i="3" l="1"/>
  <c r="Q1027" i="3"/>
  <c r="T1027" i="3"/>
  <c r="S1027" i="3" s="1"/>
  <c r="AC1027" i="3" s="1"/>
  <c r="R1025" i="3"/>
  <c r="W1025" i="3" s="1"/>
  <c r="H1026" i="3"/>
  <c r="D1028" i="3"/>
  <c r="B1027" i="3"/>
  <c r="C1028" i="3" l="1"/>
  <c r="B1028" i="3" s="1"/>
  <c r="Q1028" i="3"/>
  <c r="T1028" i="3"/>
  <c r="S1028" i="3" s="1"/>
  <c r="AC1028" i="3" s="1"/>
  <c r="R1026" i="3"/>
  <c r="W1026" i="3" s="1"/>
  <c r="H1027" i="3"/>
  <c r="E1029" i="3"/>
  <c r="D1029" i="3"/>
  <c r="C1029" i="3" l="1"/>
  <c r="T1029" i="3"/>
  <c r="S1029" i="3" s="1"/>
  <c r="Q1029" i="3"/>
  <c r="D1030" i="3"/>
  <c r="R1027" i="3"/>
  <c r="W1027" i="3" s="1"/>
  <c r="H1028" i="3"/>
  <c r="AH1029" i="3" l="1"/>
  <c r="AC1029" i="3" s="1"/>
  <c r="T1030" i="3"/>
  <c r="S1030" i="3" s="1"/>
  <c r="AC1030" i="3" s="1"/>
  <c r="Q1030" i="3"/>
  <c r="C1030" i="3"/>
  <c r="R1028" i="3"/>
  <c r="W1028" i="3" s="1"/>
  <c r="H1029" i="3"/>
  <c r="B1029" i="3"/>
  <c r="D1031" i="3"/>
  <c r="C1031" i="3" l="1"/>
  <c r="Q1031" i="3"/>
  <c r="T1031" i="3"/>
  <c r="S1031" i="3" s="1"/>
  <c r="AC1031" i="3" s="1"/>
  <c r="E1032" i="3"/>
  <c r="D1032" i="3"/>
  <c r="R1029" i="3"/>
  <c r="W1029" i="3" s="1"/>
  <c r="H1030" i="3"/>
  <c r="B1030" i="3"/>
  <c r="B1031" i="3" l="1"/>
  <c r="C1032" i="3"/>
  <c r="E1033" i="3"/>
  <c r="D1033" i="3"/>
  <c r="S1032" i="3"/>
  <c r="AC1032" i="3" s="1"/>
  <c r="R1030" i="3"/>
  <c r="W1030" i="3" s="1"/>
  <c r="H1031" i="3"/>
  <c r="B1032" i="3"/>
  <c r="T1033" i="3" l="1"/>
  <c r="S1033" i="3" s="1"/>
  <c r="Q1033" i="3"/>
  <c r="C1033" i="3"/>
  <c r="R1031" i="3"/>
  <c r="W1031" i="3" s="1"/>
  <c r="H1032" i="3"/>
  <c r="E1034" i="3"/>
  <c r="D1034" i="3"/>
  <c r="AH1033" i="3" l="1"/>
  <c r="AC1033" i="3" s="1"/>
  <c r="Q1034" i="3"/>
  <c r="T1034" i="3"/>
  <c r="S1034" i="3" s="1"/>
  <c r="AC1034" i="3" s="1"/>
  <c r="C1034" i="3"/>
  <c r="R1032" i="3"/>
  <c r="W1032" i="3" s="1"/>
  <c r="H1033" i="3"/>
  <c r="E1035" i="3"/>
  <c r="D1035" i="3"/>
  <c r="B1033" i="3"/>
  <c r="Q1035" i="3" l="1"/>
  <c r="T1035" i="3"/>
  <c r="S1035" i="3" s="1"/>
  <c r="C1035" i="3"/>
  <c r="R1033" i="3"/>
  <c r="W1033" i="3" s="1"/>
  <c r="E1036" i="3"/>
  <c r="D1036" i="3"/>
  <c r="B1034" i="3"/>
  <c r="H1034" i="3" s="1"/>
  <c r="C1036" i="3" l="1"/>
  <c r="Q1036" i="3"/>
  <c r="T1036" i="3"/>
  <c r="S1036" i="3" s="1"/>
  <c r="AC1036" i="3" s="1"/>
  <c r="AC1035" i="3"/>
  <c r="R1034" i="3"/>
  <c r="W1034" i="3" s="1"/>
  <c r="H1035" i="3"/>
  <c r="D1037" i="3"/>
  <c r="B1035" i="3"/>
  <c r="C1037" i="3" l="1"/>
  <c r="Q1037" i="3"/>
  <c r="T1037" i="3"/>
  <c r="S1037" i="3" s="1"/>
  <c r="AC1037" i="3" s="1"/>
  <c r="R1035" i="3"/>
  <c r="W1035" i="3" s="1"/>
  <c r="H1036" i="3"/>
  <c r="D1038" i="3"/>
  <c r="B1036" i="3"/>
  <c r="C1038" i="3" l="1"/>
  <c r="Q1038" i="3"/>
  <c r="T1038" i="3"/>
  <c r="S1038" i="3" s="1"/>
  <c r="AC1038" i="3" s="1"/>
  <c r="R1036" i="3"/>
  <c r="W1036" i="3" s="1"/>
  <c r="H1037" i="3"/>
  <c r="D1039" i="3"/>
  <c r="B1037" i="3"/>
  <c r="B1038" i="3" s="1"/>
  <c r="C1039" i="3" l="1"/>
  <c r="T1039" i="3"/>
  <c r="S1039" i="3" s="1"/>
  <c r="AC1039" i="3" s="1"/>
  <c r="Q1039" i="3"/>
  <c r="D1040" i="3"/>
  <c r="B1039" i="3"/>
  <c r="R1037" i="3"/>
  <c r="W1037" i="3" s="1"/>
  <c r="H1038" i="3"/>
  <c r="C1040" i="3" l="1"/>
  <c r="T1040" i="3"/>
  <c r="S1040" i="3" s="1"/>
  <c r="AC1040" i="3" s="1"/>
  <c r="Q1040" i="3"/>
  <c r="D1041" i="3"/>
  <c r="E1041" i="3"/>
  <c r="R1038" i="3"/>
  <c r="W1038" i="3" s="1"/>
  <c r="H1039" i="3"/>
  <c r="B1040" i="3"/>
  <c r="Q1041" i="3" l="1"/>
  <c r="T1041" i="3"/>
  <c r="S1041" i="3" s="1"/>
  <c r="AC1041" i="3" s="1"/>
  <c r="C1041" i="3"/>
  <c r="B1041" i="3" s="1"/>
  <c r="D1042" i="3"/>
  <c r="E1042" i="3"/>
  <c r="R1039" i="3"/>
  <c r="W1039" i="3" s="1"/>
  <c r="H1040" i="3"/>
  <c r="T1042" i="3" l="1"/>
  <c r="S1042" i="3" s="1"/>
  <c r="AC1042" i="3" s="1"/>
  <c r="Q1042" i="3"/>
  <c r="C1042" i="3"/>
  <c r="R1040" i="3"/>
  <c r="W1040" i="3" s="1"/>
  <c r="H1041" i="3"/>
  <c r="D1043" i="3"/>
  <c r="T1043" i="3" l="1"/>
  <c r="S1043" i="3" s="1"/>
  <c r="AC1043" i="3" s="1"/>
  <c r="Q1043" i="3"/>
  <c r="C1043" i="3"/>
  <c r="D1044" i="3"/>
  <c r="E1044" i="3"/>
  <c r="R1041" i="3"/>
  <c r="W1041" i="3" s="1"/>
  <c r="H1042" i="3"/>
  <c r="B1042" i="3"/>
  <c r="C1044" i="3" l="1"/>
  <c r="R1042" i="3"/>
  <c r="W1042" i="3" s="1"/>
  <c r="H1043" i="3"/>
  <c r="E1045" i="3"/>
  <c r="D1045" i="3"/>
  <c r="C1045" i="3" s="1"/>
  <c r="S1044" i="3"/>
  <c r="AC1044" i="3" s="1"/>
  <c r="B1043" i="3"/>
  <c r="S1045" i="3" l="1"/>
  <c r="AC1045" i="3" s="1"/>
  <c r="E1046" i="3"/>
  <c r="D1046" i="3"/>
  <c r="R1043" i="3"/>
  <c r="W1043" i="3" s="1"/>
  <c r="H1044" i="3"/>
  <c r="B1044" i="3"/>
  <c r="C1046" i="3" l="1"/>
  <c r="T1046" i="3"/>
  <c r="S1046" i="3" s="1"/>
  <c r="AC1046" i="3" s="1"/>
  <c r="Q1046" i="3"/>
  <c r="E1047" i="3"/>
  <c r="D1047" i="3"/>
  <c r="R1044" i="3"/>
  <c r="W1044" i="3" s="1"/>
  <c r="H1045" i="3"/>
  <c r="B1045" i="3"/>
  <c r="B1046" i="3" s="1"/>
  <c r="T1047" i="3" l="1"/>
  <c r="S1047" i="3" s="1"/>
  <c r="AC1047" i="3" s="1"/>
  <c r="Q1047" i="3"/>
  <c r="C1047" i="3"/>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T1051" i="3"/>
  <c r="S1051" i="3" s="1"/>
  <c r="AC1051" i="3" s="1"/>
  <c r="Q1051" i="3"/>
  <c r="D1052" i="3"/>
  <c r="R1049" i="3"/>
  <c r="W1049" i="3" s="1"/>
  <c r="H1050" i="3"/>
  <c r="B1051" i="3"/>
  <c r="Q1052" i="3" l="1"/>
  <c r="T1052" i="3"/>
  <c r="S1052" i="3" s="1"/>
  <c r="AC1052" i="3" s="1"/>
  <c r="C1052" i="3"/>
  <c r="B1052" i="3" s="1"/>
  <c r="E1053" i="3"/>
  <c r="D1053" i="3"/>
  <c r="R1050" i="3"/>
  <c r="W1050" i="3" s="1"/>
  <c r="H1051" i="3"/>
  <c r="C1053" i="3" l="1"/>
  <c r="T1053" i="3"/>
  <c r="S1053" i="3" s="1"/>
  <c r="AC1053" i="3" s="1"/>
  <c r="Q1053" i="3"/>
  <c r="D1054" i="3"/>
  <c r="R1051" i="3"/>
  <c r="W1051" i="3" s="1"/>
  <c r="H1052" i="3"/>
  <c r="B1053" i="3"/>
  <c r="C1054" i="3" l="1"/>
  <c r="B1054" i="3" s="1"/>
  <c r="T1054" i="3"/>
  <c r="S1054" i="3" s="1"/>
  <c r="Q1054" i="3"/>
  <c r="D1055" i="3"/>
  <c r="R1052" i="3"/>
  <c r="W1052" i="3" s="1"/>
  <c r="H1053" i="3"/>
  <c r="AH1054" i="3" l="1"/>
  <c r="AC1054" i="3" s="1"/>
  <c r="T1055" i="3"/>
  <c r="S1055" i="3" s="1"/>
  <c r="AC1055" i="3" s="1"/>
  <c r="Q1055" i="3"/>
  <c r="C1055" i="3"/>
  <c r="B1055" i="3" s="1"/>
  <c r="D1056" i="3"/>
  <c r="R1053" i="3"/>
  <c r="W1053" i="3" s="1"/>
  <c r="H1054" i="3"/>
  <c r="C1056" i="3" l="1"/>
  <c r="T1056" i="3"/>
  <c r="S1056" i="3" s="1"/>
  <c r="AC1056" i="3" s="1"/>
  <c r="Q1056" i="3"/>
  <c r="R1054" i="3"/>
  <c r="W1054" i="3" s="1"/>
  <c r="H1055" i="3"/>
  <c r="E1057" i="3"/>
  <c r="D1057" i="3"/>
  <c r="B1056" i="3"/>
  <c r="C1057" i="3" l="1"/>
  <c r="Q1057" i="3"/>
  <c r="T1057" i="3"/>
  <c r="S1057" i="3" s="1"/>
  <c r="R1055" i="3"/>
  <c r="W1055" i="3" s="1"/>
  <c r="H1056" i="3"/>
  <c r="B1057" i="3"/>
  <c r="E1058" i="3"/>
  <c r="D1058" i="3"/>
  <c r="AL1057" i="3" l="1"/>
  <c r="AC1057" i="3" s="1"/>
  <c r="Q1058" i="3"/>
  <c r="T1058" i="3"/>
  <c r="S1058" i="3" s="1"/>
  <c r="AC1058" i="3" s="1"/>
  <c r="C1058" i="3"/>
  <c r="B1058" i="3" s="1"/>
  <c r="E1059" i="3"/>
  <c r="D1059" i="3"/>
  <c r="R1056" i="3"/>
  <c r="W1056" i="3" s="1"/>
  <c r="H1057" i="3"/>
  <c r="C1059" i="3" l="1"/>
  <c r="B1059" i="3" s="1"/>
  <c r="R1057" i="3"/>
  <c r="W1057" i="3" s="1"/>
  <c r="H1058" i="3"/>
  <c r="E1060" i="3"/>
  <c r="D1060"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C1065" i="3" s="1"/>
  <c r="B1063" i="3"/>
  <c r="B1064" i="3" s="1"/>
  <c r="S1065" i="3" l="1"/>
  <c r="AC1065" i="3" s="1"/>
  <c r="E1066" i="3"/>
  <c r="D1066" i="3"/>
  <c r="R1063" i="3"/>
  <c r="W1063" i="3" s="1"/>
  <c r="H1064" i="3"/>
  <c r="B1065" i="3"/>
  <c r="C1066" i="3" l="1"/>
  <c r="S1066" i="3"/>
  <c r="AC1066" i="3" s="1"/>
  <c r="E1067" i="3"/>
  <c r="D1067" i="3"/>
  <c r="R1064" i="3"/>
  <c r="W1064" i="3" s="1"/>
  <c r="H1065" i="3"/>
  <c r="B1066" i="3"/>
  <c r="C1067" i="3" l="1"/>
  <c r="S1067" i="3"/>
  <c r="AC1067" i="3" s="1"/>
  <c r="R1065" i="3"/>
  <c r="W1065" i="3" s="1"/>
  <c r="H1066" i="3"/>
  <c r="E1068" i="3"/>
  <c r="D1068" i="3"/>
  <c r="B1067" i="3"/>
  <c r="C1068" i="3" l="1"/>
  <c r="R1066" i="3"/>
  <c r="W1066" i="3" s="1"/>
  <c r="H1067" i="3"/>
  <c r="S1068" i="3"/>
  <c r="AC1068" i="3" s="1"/>
  <c r="E1069" i="3"/>
  <c r="D1069" i="3"/>
  <c r="B1068" i="3"/>
  <c r="C1069" i="3" l="1"/>
  <c r="E1070" i="3"/>
  <c r="D1070" i="3"/>
  <c r="S1069" i="3"/>
  <c r="AC1069" i="3" s="1"/>
  <c r="R1067" i="3"/>
  <c r="W1067" i="3" s="1"/>
  <c r="H1068" i="3"/>
  <c r="C1070" i="3" l="1"/>
  <c r="R1068" i="3"/>
  <c r="W1068" i="3" s="1"/>
  <c r="H1069" i="3"/>
  <c r="B1069" i="3"/>
  <c r="S1070" i="3"/>
  <c r="AC1070" i="3" s="1"/>
  <c r="E1071" i="3"/>
  <c r="D1071" i="3"/>
  <c r="C1071" i="3" l="1"/>
  <c r="Q1071" i="3"/>
  <c r="T1071" i="3"/>
  <c r="S1071" i="3" s="1"/>
  <c r="AC1071" i="3" s="1"/>
  <c r="E1072" i="3"/>
  <c r="D1072" i="3"/>
  <c r="C1072"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Q1075" i="3" l="1"/>
  <c r="T1075" i="3"/>
  <c r="S1075" i="3" s="1"/>
  <c r="AC1075" i="3" s="1"/>
  <c r="C1075" i="3"/>
  <c r="E1076" i="3"/>
  <c r="D1076" i="3"/>
  <c r="R1073" i="3"/>
  <c r="W1073" i="3" s="1"/>
  <c r="H1074" i="3"/>
  <c r="B1074" i="3"/>
  <c r="C1076" i="3" l="1"/>
  <c r="R1074" i="3"/>
  <c r="W1074" i="3" s="1"/>
  <c r="H1075" i="3"/>
  <c r="S1076" i="3"/>
  <c r="AC1076" i="3" s="1"/>
  <c r="E1077" i="3"/>
  <c r="D1077" i="3"/>
  <c r="B1075" i="3"/>
  <c r="C1077" i="3" l="1"/>
  <c r="R1075" i="3"/>
  <c r="W1075" i="3" s="1"/>
  <c r="H1076" i="3"/>
  <c r="S1077" i="3"/>
  <c r="AC1077" i="3" s="1"/>
  <c r="E1078" i="3"/>
  <c r="D1078" i="3"/>
  <c r="B1076" i="3"/>
  <c r="C1078" i="3" l="1"/>
  <c r="S1078" i="3"/>
  <c r="AC1078" i="3" s="1"/>
  <c r="R1076" i="3"/>
  <c r="W1076" i="3" s="1"/>
  <c r="H1077" i="3"/>
  <c r="E1079" i="3"/>
  <c r="D1079" i="3"/>
  <c r="C1079" i="3" s="1"/>
  <c r="B1077" i="3"/>
  <c r="S1079" i="3" l="1"/>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T1082" i="3" l="1"/>
  <c r="S1082" i="3" s="1"/>
  <c r="AC1082" i="3" s="1"/>
  <c r="Q1082" i="3"/>
  <c r="C1082" i="3"/>
  <c r="B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E1088" i="3"/>
  <c r="D1088" i="3"/>
  <c r="C1088" i="3" s="1"/>
  <c r="B1087" i="3"/>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Q1095" i="3" l="1"/>
  <c r="T1095" i="3"/>
  <c r="S1095" i="3" s="1"/>
  <c r="C1095" i="3"/>
  <c r="B1095" i="3" s="1"/>
  <c r="E1096" i="3"/>
  <c r="D1096" i="3"/>
  <c r="R1093" i="3"/>
  <c r="W1093" i="3" s="1"/>
  <c r="H1094" i="3"/>
  <c r="C1096" i="3" l="1"/>
  <c r="AH1095" i="3"/>
  <c r="AC1095" i="3" s="1"/>
  <c r="S1096" i="3"/>
  <c r="AC1096" i="3" s="1"/>
  <c r="E1097" i="3"/>
  <c r="D1097" i="3"/>
  <c r="R1094" i="3"/>
  <c r="W1094" i="3" s="1"/>
  <c r="H1095" i="3"/>
  <c r="B1096" i="3"/>
  <c r="C1097" i="3" l="1"/>
  <c r="S1097" i="3"/>
  <c r="AC1097" i="3" s="1"/>
  <c r="E1098" i="3"/>
  <c r="D1098" i="3"/>
  <c r="R1095" i="3"/>
  <c r="W1095" i="3" s="1"/>
  <c r="H1096" i="3"/>
  <c r="B1097" i="3"/>
  <c r="C1098" i="3" l="1"/>
  <c r="B1098" i="3" s="1"/>
  <c r="S1098" i="3"/>
  <c r="AC1098" i="3" s="1"/>
  <c r="E1099" i="3"/>
  <c r="D1099" i="3"/>
  <c r="R1096" i="3"/>
  <c r="W1096" i="3" s="1"/>
  <c r="H1097" i="3"/>
  <c r="T1099" i="3" l="1"/>
  <c r="S1099" i="3" s="1"/>
  <c r="Q1099" i="3"/>
  <c r="C1099" i="3"/>
  <c r="B1099" i="3" s="1"/>
  <c r="E1100" i="3"/>
  <c r="D1100" i="3"/>
  <c r="R1097" i="3"/>
  <c r="W1097" i="3" s="1"/>
  <c r="H1098" i="3"/>
  <c r="C1100" i="3" l="1"/>
  <c r="B1100" i="3" s="1"/>
  <c r="AH1099" i="3"/>
  <c r="AC1099" i="3" s="1"/>
  <c r="S1100" i="3"/>
  <c r="AC1100" i="3" s="1"/>
  <c r="E1101" i="3"/>
  <c r="D1101" i="3"/>
  <c r="R1098" i="3"/>
  <c r="W1098" i="3" s="1"/>
  <c r="H1099" i="3"/>
  <c r="C1101" i="3" l="1"/>
  <c r="S1101" i="3"/>
  <c r="AC1101" i="3" s="1"/>
  <c r="E1102" i="3"/>
  <c r="D1102" i="3"/>
  <c r="R1099" i="3"/>
  <c r="W1099" i="3" s="1"/>
  <c r="H1100" i="3"/>
  <c r="B1101" i="3"/>
  <c r="C1102" i="3" l="1"/>
  <c r="B1102" i="3" s="1"/>
  <c r="S1102" i="3"/>
  <c r="AC1102" i="3" s="1"/>
  <c r="E1103" i="3"/>
  <c r="D1103" i="3"/>
  <c r="R1100" i="3"/>
  <c r="W1100" i="3" s="1"/>
  <c r="H1101" i="3"/>
  <c r="C1103" i="3" l="1"/>
  <c r="S1103" i="3"/>
  <c r="AC1103" i="3" s="1"/>
  <c r="E1104" i="3"/>
  <c r="D1104" i="3"/>
  <c r="R1101" i="3"/>
  <c r="W1101" i="3" s="1"/>
  <c r="H1102" i="3"/>
  <c r="B1103" i="3"/>
  <c r="C1104" i="3" l="1"/>
  <c r="S1104" i="3"/>
  <c r="AC1104" i="3" s="1"/>
  <c r="E1105" i="3"/>
  <c r="D1105" i="3"/>
  <c r="R1102" i="3"/>
  <c r="W1102" i="3" s="1"/>
  <c r="H1103" i="3"/>
  <c r="B1104" i="3"/>
  <c r="C1105" i="3" l="1"/>
  <c r="B1105" i="3" s="1"/>
  <c r="S1105" i="3"/>
  <c r="AC1105" i="3" s="1"/>
  <c r="E1106" i="3"/>
  <c r="D1106" i="3"/>
  <c r="R1103" i="3"/>
  <c r="W1103" i="3" s="1"/>
  <c r="H1104" i="3"/>
  <c r="C1106" i="3" l="1"/>
  <c r="R1104" i="3"/>
  <c r="W1104" i="3" s="1"/>
  <c r="H1105" i="3"/>
  <c r="S1106" i="3"/>
  <c r="AC1106" i="3" s="1"/>
  <c r="E1107" i="3"/>
  <c r="D1107" i="3"/>
  <c r="B1106" i="3"/>
  <c r="T1107" i="3" l="1"/>
  <c r="S1107" i="3" s="1"/>
  <c r="AC1107" i="3" s="1"/>
  <c r="Q1107" i="3"/>
  <c r="C1107" i="3"/>
  <c r="R1105" i="3"/>
  <c r="W1105" i="3" s="1"/>
  <c r="H1106" i="3"/>
  <c r="E1108" i="3"/>
  <c r="D1108" i="3"/>
  <c r="C1108" i="3" l="1"/>
  <c r="T1108" i="3"/>
  <c r="S1108" i="3" s="1"/>
  <c r="AC1108" i="3" s="1"/>
  <c r="Q1108" i="3"/>
  <c r="R1106" i="3"/>
  <c r="W1106" i="3" s="1"/>
  <c r="H1107" i="3"/>
  <c r="E1109" i="3"/>
  <c r="D1109" i="3"/>
  <c r="B1107" i="3"/>
  <c r="C1109" i="3" l="1"/>
  <c r="Q1109" i="3"/>
  <c r="T1109" i="3"/>
  <c r="S1109" i="3" s="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T1113" i="3" l="1"/>
  <c r="S1113" i="3" s="1"/>
  <c r="AC1113" i="3" s="1"/>
  <c r="Q1113" i="3"/>
  <c r="C1113" i="3"/>
  <c r="R1111" i="3"/>
  <c r="W1111" i="3" s="1"/>
  <c r="H1112" i="3"/>
  <c r="D1114" i="3"/>
  <c r="E1114" i="3"/>
  <c r="C1114" i="3" l="1"/>
  <c r="D1115" i="3"/>
  <c r="E1115" i="3"/>
  <c r="S1114" i="3"/>
  <c r="AC1114" i="3" s="1"/>
  <c r="R1112" i="3"/>
  <c r="W1112" i="3" s="1"/>
  <c r="H1113" i="3"/>
  <c r="B1113" i="3"/>
  <c r="C1115" i="3" l="1"/>
  <c r="R1113" i="3"/>
  <c r="W1113" i="3" s="1"/>
  <c r="D1116" i="3"/>
  <c r="E1116" i="3"/>
  <c r="S1115" i="3"/>
  <c r="AC1115" i="3" s="1"/>
  <c r="B1114" i="3"/>
  <c r="H1114" i="3" s="1"/>
  <c r="T1116" i="3" l="1"/>
  <c r="S1116" i="3" s="1"/>
  <c r="AC1116" i="3" s="1"/>
  <c r="Q1116" i="3"/>
  <c r="C1116" i="3"/>
  <c r="R1114" i="3"/>
  <c r="W1114" i="3" s="1"/>
  <c r="H1115" i="3"/>
  <c r="E1117" i="3"/>
  <c r="D1117" i="3"/>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B1122" i="3" s="1"/>
  <c r="S1122" i="3"/>
  <c r="AC1122" i="3" s="1"/>
  <c r="E1123" i="3"/>
  <c r="D1123" i="3"/>
  <c r="R1120" i="3"/>
  <c r="W1120" i="3" s="1"/>
  <c r="H1121" i="3"/>
  <c r="C1123" i="3" l="1"/>
  <c r="S1123" i="3"/>
  <c r="AC1123" i="3" s="1"/>
  <c r="D1124" i="3"/>
  <c r="E1124" i="3"/>
  <c r="R1121" i="3"/>
  <c r="W1121" i="3" s="1"/>
  <c r="H1122" i="3"/>
  <c r="B1123" i="3"/>
  <c r="C1124" i="3" l="1"/>
  <c r="B1124" i="3" s="1"/>
  <c r="E1125" i="3"/>
  <c r="D1125" i="3"/>
  <c r="S1124" i="3"/>
  <c r="AC1124" i="3" s="1"/>
  <c r="R1122" i="3"/>
  <c r="W1122" i="3" s="1"/>
  <c r="H1123"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B1126" i="3"/>
  <c r="H1126" i="3" s="1"/>
  <c r="T1128" i="3" l="1"/>
  <c r="S1128" i="3" s="1"/>
  <c r="AC1128" i="3" s="1"/>
  <c r="Q1128" i="3"/>
  <c r="C1128" i="3"/>
  <c r="E1129" i="3"/>
  <c r="D1129" i="3"/>
  <c r="R1126" i="3"/>
  <c r="W1126" i="3" s="1"/>
  <c r="H1127" i="3"/>
  <c r="B1127" i="3"/>
  <c r="B1128" i="3" l="1"/>
  <c r="C1129" i="3"/>
  <c r="B1129" i="3" s="1"/>
  <c r="Q1129" i="3"/>
  <c r="T1129" i="3"/>
  <c r="S1129" i="3" s="1"/>
  <c r="AC1129" i="3" s="1"/>
  <c r="E1130" i="3"/>
  <c r="D1130" i="3"/>
  <c r="R1127" i="3"/>
  <c r="W1127" i="3" s="1"/>
  <c r="H1128" i="3"/>
  <c r="C1130" i="3" l="1"/>
  <c r="S1130" i="3"/>
  <c r="AC1130" i="3" s="1"/>
  <c r="E1131" i="3"/>
  <c r="D1131" i="3"/>
  <c r="R1128" i="3"/>
  <c r="W1128" i="3" s="1"/>
  <c r="H1129" i="3"/>
  <c r="B1130" i="3"/>
  <c r="C1131" i="3" l="1"/>
  <c r="B1131" i="3" s="1"/>
  <c r="S1131" i="3"/>
  <c r="AC1131" i="3" s="1"/>
  <c r="D1132" i="3"/>
  <c r="E1132" i="3"/>
  <c r="R1129" i="3"/>
  <c r="W1129" i="3" s="1"/>
  <c r="H1130"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l="1"/>
  <c r="S1147" i="3"/>
  <c r="AC1147" i="3" s="1"/>
  <c r="R1145" i="3"/>
  <c r="W1145" i="3" s="1"/>
  <c r="H1146" i="3"/>
  <c r="E1148" i="3"/>
  <c r="D1148" i="3"/>
  <c r="B1146" i="3"/>
  <c r="B1147" i="3" s="1"/>
  <c r="C1148" i="3" l="1"/>
  <c r="B1148" i="3" s="1"/>
  <c r="Q1148" i="3"/>
  <c r="T1148" i="3"/>
  <c r="S1148" i="3" s="1"/>
  <c r="AC1148" i="3" s="1"/>
  <c r="D1149" i="3"/>
  <c r="R1146" i="3"/>
  <c r="W1146" i="3" s="1"/>
  <c r="H1147" i="3"/>
  <c r="Q1149" i="3" l="1"/>
  <c r="T1149" i="3"/>
  <c r="S1149" i="3" s="1"/>
  <c r="AC1149" i="3" s="1"/>
  <c r="C1149" i="3"/>
  <c r="B1149" i="3" s="1"/>
  <c r="E1150" i="3"/>
  <c r="D1150" i="3"/>
  <c r="R1147" i="3"/>
  <c r="W1147" i="3" s="1"/>
  <c r="H1148" i="3"/>
  <c r="C1150" i="3" l="1"/>
  <c r="R1148" i="3"/>
  <c r="W1148" i="3" s="1"/>
  <c r="H1149" i="3"/>
  <c r="S1150" i="3"/>
  <c r="AC1150" i="3" s="1"/>
  <c r="E1151" i="3"/>
  <c r="D1151" i="3"/>
  <c r="C1151" i="3" l="1"/>
  <c r="Q1151" i="3"/>
  <c r="T1151" i="3"/>
  <c r="S1151" i="3" s="1"/>
  <c r="AC1151" i="3" s="1"/>
  <c r="R1149" i="3"/>
  <c r="W1149" i="3" s="1"/>
  <c r="H1150" i="3"/>
  <c r="E1152" i="3"/>
  <c r="D1152" i="3"/>
  <c r="B1150" i="3"/>
  <c r="C1152" i="3" l="1"/>
  <c r="R1150" i="3"/>
  <c r="W1150" i="3" s="1"/>
  <c r="H1151" i="3"/>
  <c r="S1152" i="3"/>
  <c r="AC1152" i="3" s="1"/>
  <c r="D1153" i="3"/>
  <c r="E1153" i="3"/>
  <c r="B1151" i="3"/>
  <c r="T1153" i="3" l="1"/>
  <c r="S1153" i="3" s="1"/>
  <c r="AC1153" i="3" s="1"/>
  <c r="Q1153" i="3"/>
  <c r="C1153" i="3"/>
  <c r="R1151" i="3"/>
  <c r="W1151" i="3" s="1"/>
  <c r="H1152" i="3"/>
  <c r="E1154" i="3"/>
  <c r="D1154" i="3"/>
  <c r="B1152" i="3"/>
  <c r="C1154" i="3" l="1"/>
  <c r="Q1154" i="3"/>
  <c r="T1154" i="3"/>
  <c r="S1154" i="3" s="1"/>
  <c r="AC1154" i="3" s="1"/>
  <c r="D1155" i="3"/>
  <c r="R1152" i="3"/>
  <c r="W1152" i="3" s="1"/>
  <c r="H1153" i="3"/>
  <c r="B1153" i="3"/>
  <c r="C1155" i="3" l="1"/>
  <c r="T1155" i="3"/>
  <c r="S1155" i="3" s="1"/>
  <c r="AC1155" i="3" s="1"/>
  <c r="Q1155" i="3"/>
  <c r="E1156" i="3"/>
  <c r="D1156" i="3"/>
  <c r="R1153" i="3"/>
  <c r="W1153" i="3" s="1"/>
  <c r="H1154" i="3"/>
  <c r="B1154" i="3"/>
  <c r="Q1156" i="3" l="1"/>
  <c r="T1156" i="3"/>
  <c r="S1156" i="3" s="1"/>
  <c r="AC1156" i="3" s="1"/>
  <c r="C1156" i="3"/>
  <c r="B1155" i="3"/>
  <c r="R1154" i="3"/>
  <c r="W1154" i="3" s="1"/>
  <c r="H1155" i="3"/>
  <c r="E1157" i="3"/>
  <c r="D1157" i="3"/>
  <c r="T1157" i="3" l="1"/>
  <c r="S1157" i="3" s="1"/>
  <c r="Q1157" i="3"/>
  <c r="C1157" i="3"/>
  <c r="R1155" i="3"/>
  <c r="W1155" i="3" s="1"/>
  <c r="H1156" i="3"/>
  <c r="E1158" i="3"/>
  <c r="D1158" i="3"/>
  <c r="B1156" i="3"/>
  <c r="B1157" i="3" l="1"/>
  <c r="AH1157" i="3"/>
  <c r="AC1157" i="3" s="1"/>
  <c r="C1158" i="3"/>
  <c r="B1158" i="3" s="1"/>
  <c r="Q1158" i="3"/>
  <c r="T1158" i="3"/>
  <c r="S1158" i="3" s="1"/>
  <c r="AC1158" i="3" s="1"/>
  <c r="E1159" i="3"/>
  <c r="D1159" i="3"/>
  <c r="R1156" i="3"/>
  <c r="W1156" i="3" s="1"/>
  <c r="H1157" i="3"/>
  <c r="C1159" i="3" l="1"/>
  <c r="B1159" i="3" s="1"/>
  <c r="S1159" i="3"/>
  <c r="AC1159" i="3" s="1"/>
  <c r="R1157" i="3"/>
  <c r="W1157" i="3" s="1"/>
  <c r="H1158" i="3"/>
  <c r="E1160" i="3"/>
  <c r="D1160" i="3"/>
  <c r="C1160" i="3" l="1"/>
  <c r="T1160" i="3"/>
  <c r="S1160" i="3" s="1"/>
  <c r="AC1160" i="3" s="1"/>
  <c r="Q1160" i="3"/>
  <c r="R1158" i="3"/>
  <c r="W1158" i="3" s="1"/>
  <c r="H1159" i="3"/>
  <c r="E1161" i="3"/>
  <c r="D1161" i="3"/>
  <c r="B1160"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T1166" i="3"/>
  <c r="S1166" i="3" s="1"/>
  <c r="AC1166" i="3" s="1"/>
  <c r="Q1166" i="3"/>
  <c r="R1164" i="3"/>
  <c r="W1164" i="3" s="1"/>
  <c r="H1165" i="3"/>
  <c r="B1165" i="3"/>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T1171" i="3" l="1"/>
  <c r="S1171" i="3" s="1"/>
  <c r="AC1171" i="3" s="1"/>
  <c r="Q1171" i="3"/>
  <c r="C1171" i="3"/>
  <c r="E1172" i="3"/>
  <c r="D1172" i="3"/>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B1173" i="3"/>
  <c r="C1175" i="3" l="1"/>
  <c r="T1175" i="3"/>
  <c r="S1175" i="3" s="1"/>
  <c r="Q1175" i="3"/>
  <c r="R1173" i="3"/>
  <c r="W1173" i="3" s="1"/>
  <c r="E1176" i="3"/>
  <c r="D1176" i="3"/>
  <c r="C1176" i="3" s="1"/>
  <c r="B1174" i="3"/>
  <c r="H1174" i="3" s="1"/>
  <c r="AH1175" i="3" l="1"/>
  <c r="AC1175" i="3" s="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Q1180" i="3" l="1"/>
  <c r="T1180" i="3"/>
  <c r="S1180" i="3" s="1"/>
  <c r="AC1180" i="3" s="1"/>
  <c r="C1180" i="3"/>
  <c r="E1181" i="3"/>
  <c r="D1181" i="3"/>
  <c r="R1178" i="3"/>
  <c r="W1178" i="3" s="1"/>
  <c r="H1179" i="3"/>
  <c r="B1179" i="3"/>
  <c r="C1181" i="3" l="1"/>
  <c r="B1180" i="3"/>
  <c r="R1179" i="3"/>
  <c r="W1179" i="3" s="1"/>
  <c r="H1180" i="3"/>
  <c r="S1181" i="3"/>
  <c r="AC1181" i="3" s="1"/>
  <c r="E1182" i="3"/>
  <c r="D1182" i="3"/>
  <c r="C1182" i="3" l="1"/>
  <c r="Q1182" i="3"/>
  <c r="T1182" i="3"/>
  <c r="S1182" i="3" s="1"/>
  <c r="AC1182" i="3" s="1"/>
  <c r="R1180" i="3"/>
  <c r="W1180" i="3" s="1"/>
  <c r="H1181" i="3"/>
  <c r="E1183" i="3"/>
  <c r="D1183" i="3"/>
  <c r="B1181" i="3"/>
  <c r="C1183" i="3" l="1"/>
  <c r="R1181" i="3"/>
  <c r="W1181" i="3" s="1"/>
  <c r="H1182" i="3"/>
  <c r="S1183" i="3"/>
  <c r="AC1183" i="3" s="1"/>
  <c r="E1184" i="3"/>
  <c r="D1184" i="3"/>
  <c r="B1182" i="3"/>
  <c r="C1184" i="3" l="1"/>
  <c r="Q1184" i="3"/>
  <c r="T1184" i="3"/>
  <c r="S1184" i="3" s="1"/>
  <c r="AC1184" i="3" s="1"/>
  <c r="R1182" i="3"/>
  <c r="W1182" i="3" s="1"/>
  <c r="H1183" i="3"/>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B1186" i="3"/>
  <c r="C1188" i="3" l="1"/>
  <c r="T1188" i="3"/>
  <c r="S1188" i="3" s="1"/>
  <c r="AC1188" i="3" s="1"/>
  <c r="Q1188" i="3"/>
  <c r="E1189" i="3"/>
  <c r="D1189" i="3"/>
  <c r="R1186" i="3"/>
  <c r="W1186" i="3" s="1"/>
  <c r="H1187" i="3"/>
  <c r="B1187" i="3"/>
  <c r="C1189" i="3" l="1"/>
  <c r="R1187" i="3"/>
  <c r="W1187" i="3" s="1"/>
  <c r="H1188" i="3"/>
  <c r="B1188" i="3"/>
  <c r="S1189" i="3"/>
  <c r="AC1189" i="3" s="1"/>
  <c r="E1190" i="3"/>
  <c r="D1190" i="3"/>
  <c r="C1190" i="3" l="1"/>
  <c r="Q1190" i="3"/>
  <c r="T1190" i="3"/>
  <c r="S1190" i="3" s="1"/>
  <c r="AC1190" i="3" s="1"/>
  <c r="E1191" i="3"/>
  <c r="D1191" i="3"/>
  <c r="C1191" i="3" s="1"/>
  <c r="R1188" i="3"/>
  <c r="W1188" i="3" s="1"/>
  <c r="B1189" i="3"/>
  <c r="H1189" i="3" s="1"/>
  <c r="R1189" i="3" l="1"/>
  <c r="W1189" i="3" s="1"/>
  <c r="H1190" i="3"/>
  <c r="B1190" i="3"/>
  <c r="S1191" i="3"/>
  <c r="AC1191" i="3" s="1"/>
  <c r="E1192" i="3"/>
  <c r="D1192" i="3"/>
  <c r="C1192" i="3" s="1"/>
  <c r="E1193" i="3" l="1"/>
  <c r="D1193" i="3"/>
  <c r="S1192" i="3"/>
  <c r="AC1192" i="3" s="1"/>
  <c r="R1190" i="3"/>
  <c r="W1190" i="3" s="1"/>
  <c r="H1191" i="3"/>
  <c r="B1191" i="3"/>
  <c r="C1193" i="3" l="1"/>
  <c r="T1193" i="3"/>
  <c r="S1193" i="3" s="1"/>
  <c r="AC1193" i="3" s="1"/>
  <c r="Q1193" i="3"/>
  <c r="R1191" i="3"/>
  <c r="W1191" i="3" s="1"/>
  <c r="H1192" i="3"/>
  <c r="E1194" i="3"/>
  <c r="D1194" i="3"/>
  <c r="B1192" i="3"/>
  <c r="C1194" i="3" l="1"/>
  <c r="Q1194" i="3"/>
  <c r="T1194" i="3"/>
  <c r="S1194" i="3" s="1"/>
  <c r="R1192" i="3"/>
  <c r="W1192" i="3" s="1"/>
  <c r="H1193" i="3"/>
  <c r="D1195" i="3"/>
  <c r="B1193" i="3"/>
  <c r="AH1194" i="3" l="1"/>
  <c r="AC1194" i="3" s="1"/>
  <c r="T1195" i="3"/>
  <c r="S1195" i="3" s="1"/>
  <c r="AC1195" i="3" s="1"/>
  <c r="Q1195" i="3"/>
  <c r="C1195" i="3"/>
  <c r="R1193" i="3"/>
  <c r="W1193" i="3" s="1"/>
  <c r="H1194" i="3"/>
  <c r="E1196" i="3"/>
  <c r="D1196" i="3"/>
  <c r="B1194" i="3"/>
  <c r="C1196" i="3" l="1"/>
  <c r="S1196" i="3"/>
  <c r="AC1196" i="3" s="1"/>
  <c r="E1197" i="3"/>
  <c r="D1197" i="3"/>
  <c r="R1194" i="3"/>
  <c r="W1194" i="3" s="1"/>
  <c r="H1195" i="3"/>
  <c r="B1195" i="3"/>
  <c r="B1196" i="3" s="1"/>
  <c r="C1197" i="3" l="1"/>
  <c r="B1197" i="3" s="1"/>
  <c r="S1197" i="3"/>
  <c r="AC1197" i="3" s="1"/>
  <c r="E1198" i="3"/>
  <c r="D1198" i="3"/>
  <c r="R1195" i="3"/>
  <c r="W1195" i="3" s="1"/>
  <c r="H1196" i="3"/>
  <c r="C1198" i="3" l="1"/>
  <c r="S1198" i="3"/>
  <c r="AC1198" i="3" s="1"/>
  <c r="E1199" i="3"/>
  <c r="D1199" i="3"/>
  <c r="R1196" i="3"/>
  <c r="W1196" i="3" s="1"/>
  <c r="H1197" i="3"/>
  <c r="B1198" i="3"/>
  <c r="C1199" i="3" l="1"/>
  <c r="S1199" i="3"/>
  <c r="AC1199" i="3" s="1"/>
  <c r="E1200" i="3"/>
  <c r="D1200" i="3"/>
  <c r="R1197" i="3"/>
  <c r="W1197" i="3" s="1"/>
  <c r="H1198" i="3"/>
  <c r="B1199" i="3"/>
  <c r="Q1200" i="3" l="1"/>
  <c r="T1200" i="3"/>
  <c r="S1200" i="3" s="1"/>
  <c r="AC1200" i="3" s="1"/>
  <c r="C1200" i="3"/>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B1204" i="3"/>
  <c r="C1205" i="3" l="1"/>
  <c r="B1205" i="3" s="1"/>
  <c r="S1205" i="3"/>
  <c r="AC1205" i="3" s="1"/>
  <c r="E1206" i="3"/>
  <c r="D1206"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l="1"/>
  <c r="C1209" i="3"/>
  <c r="D1210" i="3"/>
  <c r="E1210" i="3"/>
  <c r="S1209" i="3"/>
  <c r="AC1209" i="3" s="1"/>
  <c r="R1207" i="3"/>
  <c r="W1207" i="3" s="1"/>
  <c r="H1208" i="3"/>
  <c r="B1209"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l="1"/>
  <c r="R1211" i="3"/>
  <c r="W1211" i="3" s="1"/>
  <c r="H1212" i="3"/>
  <c r="S1213" i="3"/>
  <c r="AC1213" i="3" s="1"/>
  <c r="E1214" i="3"/>
  <c r="D1214" i="3"/>
  <c r="B1212" i="3"/>
  <c r="C1214" i="3" l="1"/>
  <c r="R1212" i="3"/>
  <c r="W1212" i="3" s="1"/>
  <c r="H1213" i="3"/>
  <c r="S1214" i="3"/>
  <c r="AC1214" i="3" s="1"/>
  <c r="E1215" i="3"/>
  <c r="D1215" i="3"/>
  <c r="B1213" i="3"/>
  <c r="C1215" i="3" l="1"/>
  <c r="R1213" i="3"/>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B1221" i="3" s="1"/>
  <c r="Q1221" i="3"/>
  <c r="T1221" i="3"/>
  <c r="S1221" i="3" s="1"/>
  <c r="AC1221" i="3" s="1"/>
  <c r="R1219" i="3"/>
  <c r="W1219" i="3" s="1"/>
  <c r="H1220" i="3"/>
  <c r="D1222" i="3"/>
  <c r="Q1222" i="3" l="1"/>
  <c r="T1222" i="3"/>
  <c r="S1222" i="3" s="1"/>
  <c r="AC1222" i="3" s="1"/>
  <c r="C1222" i="3"/>
  <c r="E1223" i="3"/>
  <c r="D1223" i="3"/>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B1225" i="3"/>
  <c r="Q1227" i="3" l="1"/>
  <c r="T1227" i="3"/>
  <c r="S1227" i="3" s="1"/>
  <c r="AC1227" i="3" s="1"/>
  <c r="C1227" i="3"/>
  <c r="E1228" i="3"/>
  <c r="D1228" i="3"/>
  <c r="R1225" i="3"/>
  <c r="W1225" i="3" s="1"/>
  <c r="H1226" i="3"/>
  <c r="B1226" i="3"/>
  <c r="T1228" i="3" l="1"/>
  <c r="S1228" i="3" s="1"/>
  <c r="Q1228" i="3"/>
  <c r="C1228" i="3"/>
  <c r="R1226" i="3"/>
  <c r="W1226" i="3" s="1"/>
  <c r="H1227" i="3"/>
  <c r="B1227" i="3"/>
  <c r="E1229" i="3"/>
  <c r="D1229" i="3"/>
  <c r="C1229" i="3" l="1"/>
  <c r="AH1228" i="3"/>
  <c r="AC1228" i="3" s="1"/>
  <c r="E1230" i="3"/>
  <c r="D1230" i="3"/>
  <c r="S1229" i="3"/>
  <c r="AC1229" i="3" s="1"/>
  <c r="R1227" i="3"/>
  <c r="W1227" i="3" s="1"/>
  <c r="H1228" i="3"/>
  <c r="B1228" i="3"/>
  <c r="C1230" i="3" l="1"/>
  <c r="T1230" i="3"/>
  <c r="S1230" i="3" s="1"/>
  <c r="AC1230" i="3" s="1"/>
  <c r="Q1230" i="3"/>
  <c r="R1228" i="3"/>
  <c r="W1228" i="3" s="1"/>
  <c r="H1229" i="3"/>
  <c r="B1229" i="3"/>
  <c r="E1231" i="3"/>
  <c r="D1231" i="3"/>
  <c r="C1231" i="3" l="1"/>
  <c r="E1232" i="3"/>
  <c r="D1232" i="3"/>
  <c r="S1231" i="3"/>
  <c r="AC1231" i="3" s="1"/>
  <c r="R1229" i="3"/>
  <c r="W1229" i="3" s="1"/>
  <c r="H1230" i="3"/>
  <c r="B1230" i="3"/>
  <c r="C1232" i="3" l="1"/>
  <c r="Q1232" i="3"/>
  <c r="T1232" i="3"/>
  <c r="S1232" i="3" s="1"/>
  <c r="AC1232" i="3" s="1"/>
  <c r="R1230" i="3"/>
  <c r="W1230" i="3" s="1"/>
  <c r="H1231" i="3"/>
  <c r="E1233" i="3"/>
  <c r="D1233" i="3"/>
  <c r="B1231" i="3"/>
  <c r="C1233" i="3" l="1"/>
  <c r="Q1233" i="3"/>
  <c r="T1233" i="3"/>
  <c r="S1233" i="3" s="1"/>
  <c r="R1231" i="3"/>
  <c r="W1231" i="3" s="1"/>
  <c r="H1232" i="3"/>
  <c r="E1234" i="3"/>
  <c r="D1234" i="3"/>
  <c r="C1234" i="3" s="1"/>
  <c r="B1232" i="3"/>
  <c r="AH1233" i="3" l="1"/>
  <c r="AC1233" i="3" s="1"/>
  <c r="S1234" i="3"/>
  <c r="AC1234" i="3" s="1"/>
  <c r="R1232" i="3"/>
  <c r="W1232" i="3" s="1"/>
  <c r="H1233" i="3"/>
  <c r="E1235" i="3"/>
  <c r="D1235" i="3"/>
  <c r="B1233" i="3"/>
  <c r="B1234" i="3" s="1"/>
  <c r="C1235" i="3" l="1"/>
  <c r="B1235" i="3" s="1"/>
  <c r="T1235" i="3"/>
  <c r="S1235" i="3" s="1"/>
  <c r="Q1235" i="3"/>
  <c r="D1236" i="3"/>
  <c r="R1233" i="3"/>
  <c r="W1233" i="3" s="1"/>
  <c r="H1234" i="3"/>
  <c r="AH1235" i="3" l="1"/>
  <c r="AC1235" i="3" s="1"/>
  <c r="T1236" i="3"/>
  <c r="S1236" i="3" s="1"/>
  <c r="AC1236" i="3" s="1"/>
  <c r="Q1236" i="3"/>
  <c r="C1236" i="3"/>
  <c r="B1236" i="3" s="1"/>
  <c r="E1237" i="3"/>
  <c r="D1237" i="3"/>
  <c r="R1234" i="3"/>
  <c r="W1234" i="3" s="1"/>
  <c r="H1235"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T1243" i="3" l="1"/>
  <c r="S1243" i="3" s="1"/>
  <c r="AC1243" i="3" s="1"/>
  <c r="Q1243" i="3"/>
  <c r="C1243" i="3"/>
  <c r="E1244" i="3"/>
  <c r="D1244" i="3"/>
  <c r="R1241" i="3"/>
  <c r="W1241" i="3" s="1"/>
  <c r="H1242" i="3"/>
  <c r="B1242" i="3"/>
  <c r="B1243" i="3" l="1"/>
  <c r="C1244" i="3"/>
  <c r="Q1244" i="3"/>
  <c r="T1244" i="3"/>
  <c r="S1244" i="3" s="1"/>
  <c r="AC1244" i="3" s="1"/>
  <c r="R1242" i="3"/>
  <c r="W1242" i="3" s="1"/>
  <c r="H1243" i="3"/>
  <c r="E1245" i="3"/>
  <c r="D1245" i="3"/>
  <c r="C1245" i="3" s="1"/>
  <c r="R1243" i="3" l="1"/>
  <c r="W1243" i="3" s="1"/>
  <c r="S1245" i="3"/>
  <c r="AC1245" i="3" s="1"/>
  <c r="E1246" i="3"/>
  <c r="D1246" i="3"/>
  <c r="B1244" i="3"/>
  <c r="H1244" i="3" s="1"/>
  <c r="C1246" i="3" l="1"/>
  <c r="Q1246" i="3"/>
  <c r="T1246" i="3"/>
  <c r="S1246" i="3" s="1"/>
  <c r="AC1246" i="3" s="1"/>
  <c r="R1244" i="3"/>
  <c r="W1244" i="3" s="1"/>
  <c r="H1245" i="3"/>
  <c r="E1247" i="3"/>
  <c r="D1247" i="3"/>
  <c r="B1245" i="3"/>
  <c r="C1247" i="3" l="1"/>
  <c r="Q1247" i="3"/>
  <c r="T1247" i="3"/>
  <c r="S1247" i="3" s="1"/>
  <c r="R1245" i="3"/>
  <c r="W1245" i="3" s="1"/>
  <c r="H1246" i="3"/>
  <c r="E1248" i="3"/>
  <c r="D1248" i="3"/>
  <c r="C1248" i="3" s="1"/>
  <c r="B1246" i="3"/>
  <c r="AH1247" i="3" l="1"/>
  <c r="AC1247" i="3" s="1"/>
  <c r="S1248" i="3"/>
  <c r="AC1248" i="3" s="1"/>
  <c r="R1246" i="3"/>
  <c r="W1246" i="3" s="1"/>
  <c r="H1247" i="3"/>
  <c r="E1249" i="3"/>
  <c r="D1249" i="3"/>
  <c r="B1247" i="3"/>
  <c r="B1248" i="3" s="1"/>
  <c r="C1249" i="3" l="1"/>
  <c r="S1249" i="3"/>
  <c r="AC1249" i="3" s="1"/>
  <c r="E1250" i="3"/>
  <c r="D1250" i="3"/>
  <c r="R1247" i="3"/>
  <c r="W1247" i="3" s="1"/>
  <c r="H1248" i="3"/>
  <c r="B1249" i="3"/>
  <c r="Q1250" i="3" l="1"/>
  <c r="C1250" i="3"/>
  <c r="B1250" i="3" s="1"/>
  <c r="S1250" i="3"/>
  <c r="E1251" i="3"/>
  <c r="D1251" i="3"/>
  <c r="R1248" i="3"/>
  <c r="W1248" i="3" s="1"/>
  <c r="H1249" i="3"/>
  <c r="C1251" i="3" l="1"/>
  <c r="AL1250" i="3"/>
  <c r="AC1250" i="3" s="1"/>
  <c r="S1251" i="3"/>
  <c r="AC1251" i="3" s="1"/>
  <c r="E1252" i="3"/>
  <c r="D1252" i="3"/>
  <c r="R1249" i="3"/>
  <c r="W1249" i="3" s="1"/>
  <c r="H1250" i="3"/>
  <c r="B1251" i="3"/>
  <c r="C1252" i="3" l="1"/>
  <c r="S1252" i="3"/>
  <c r="AC1252" i="3" s="1"/>
  <c r="R1250" i="3"/>
  <c r="W1250" i="3" s="1"/>
  <c r="H1251" i="3"/>
  <c r="E1253" i="3"/>
  <c r="D1253" i="3"/>
  <c r="B1252" i="3"/>
  <c r="C1253" i="3" l="1"/>
  <c r="T1253" i="3"/>
  <c r="S1253" i="3" s="1"/>
  <c r="AC1253" i="3" s="1"/>
  <c r="Q1253" i="3"/>
  <c r="R1251" i="3"/>
  <c r="W1251" i="3" s="1"/>
  <c r="H1252" i="3"/>
  <c r="E1254" i="3"/>
  <c r="D1254" i="3"/>
  <c r="B1253" i="3"/>
  <c r="C1254" i="3" l="1"/>
  <c r="Q1254" i="3"/>
  <c r="T1254" i="3"/>
  <c r="S1254" i="3" s="1"/>
  <c r="AC1254" i="3" s="1"/>
  <c r="E1255" i="3"/>
  <c r="D1255" i="3"/>
  <c r="C1255"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l="1"/>
  <c r="C1263" i="3"/>
  <c r="E1264" i="3"/>
  <c r="D1264" i="3"/>
  <c r="R1261" i="3"/>
  <c r="W1261" i="3" s="1"/>
  <c r="H1262" i="3"/>
  <c r="S1263" i="3"/>
  <c r="AC1263" i="3" s="1"/>
  <c r="C1264" i="3" l="1"/>
  <c r="R1262" i="3"/>
  <c r="W1262" i="3" s="1"/>
  <c r="H1263" i="3"/>
  <c r="S1264" i="3"/>
  <c r="AC1264" i="3" s="1"/>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l="1"/>
  <c r="Q1267" i="3"/>
  <c r="T1267" i="3"/>
  <c r="S1267" i="3" s="1"/>
  <c r="AC1267" i="3" s="1"/>
  <c r="E1268" i="3"/>
  <c r="D1268" i="3"/>
  <c r="R1265" i="3"/>
  <c r="W1265" i="3" s="1"/>
  <c r="H1266" i="3"/>
  <c r="B1266" i="3"/>
  <c r="C1268" i="3" l="1"/>
  <c r="T1268" i="3"/>
  <c r="S1268" i="3" s="1"/>
  <c r="AC1268" i="3" s="1"/>
  <c r="Q1268" i="3"/>
  <c r="R1266" i="3"/>
  <c r="W1266" i="3" s="1"/>
  <c r="H1267" i="3"/>
  <c r="B1267" i="3"/>
  <c r="E1269" i="3"/>
  <c r="D1269" i="3"/>
  <c r="D1270" i="3" l="1"/>
  <c r="E1270" i="3"/>
  <c r="T1269" i="3"/>
  <c r="S1269" i="3" s="1"/>
  <c r="AC1269" i="3" s="1"/>
  <c r="Q1269" i="3"/>
  <c r="C1269" i="3"/>
  <c r="E1271" i="3"/>
  <c r="D1271" i="3"/>
  <c r="R1267" i="3"/>
  <c r="W1267" i="3" s="1"/>
  <c r="H1268" i="3"/>
  <c r="B1268" i="3"/>
  <c r="C1270" i="3" l="1"/>
  <c r="T1270" i="3"/>
  <c r="S1270" i="3" s="1"/>
  <c r="AC1270" i="3" s="1"/>
  <c r="Q1270" i="3"/>
  <c r="Q1271" i="3"/>
  <c r="T1271" i="3"/>
  <c r="S1271" i="3" s="1"/>
  <c r="C1271" i="3"/>
  <c r="R1268" i="3"/>
  <c r="W1268" i="3" s="1"/>
  <c r="H1269" i="3"/>
  <c r="H1270" i="3" s="1"/>
  <c r="B1269" i="3"/>
  <c r="E1272" i="3"/>
  <c r="D1272" i="3"/>
  <c r="B1270" i="3" l="1"/>
  <c r="R1270" i="3"/>
  <c r="W1270" i="3" s="1"/>
  <c r="AL1271" i="3"/>
  <c r="AC1271" i="3" s="1"/>
  <c r="Q1272" i="3"/>
  <c r="T1272" i="3"/>
  <c r="S1272" i="3" s="1"/>
  <c r="AC1272" i="3" s="1"/>
  <c r="C1272" i="3"/>
  <c r="E1273" i="3"/>
  <c r="D1273" i="3"/>
  <c r="R1269" i="3"/>
  <c r="W1269" i="3" s="1"/>
  <c r="H1271" i="3"/>
  <c r="B1271" i="3"/>
  <c r="C1273" i="3" l="1"/>
  <c r="B1272" i="3"/>
  <c r="D1274" i="3"/>
  <c r="E1274" i="3"/>
  <c r="R1271" i="3"/>
  <c r="W1271" i="3" s="1"/>
  <c r="H1272" i="3"/>
  <c r="S1273" i="3"/>
  <c r="AC1273" i="3" s="1"/>
  <c r="B1273" i="3"/>
  <c r="C1274" i="3" l="1"/>
  <c r="R1272" i="3"/>
  <c r="W1272" i="3" s="1"/>
  <c r="H1273" i="3"/>
  <c r="E1275" i="3"/>
  <c r="D1275" i="3"/>
  <c r="S1274" i="3"/>
  <c r="AC1274" i="3" s="1"/>
  <c r="C1275" i="3" l="1"/>
  <c r="T1275" i="3"/>
  <c r="S1275" i="3" s="1"/>
  <c r="AC1275" i="3" s="1"/>
  <c r="Q1275" i="3"/>
  <c r="D1276" i="3"/>
  <c r="R1273" i="3"/>
  <c r="W1273" i="3" s="1"/>
  <c r="H1274" i="3"/>
  <c r="B1274" i="3"/>
  <c r="Q1276" i="3" l="1"/>
  <c r="T1276" i="3"/>
  <c r="S1276" i="3" s="1"/>
  <c r="AC1276" i="3" s="1"/>
  <c r="C1276" i="3"/>
  <c r="R1274" i="3"/>
  <c r="W1274" i="3" s="1"/>
  <c r="E1277" i="3"/>
  <c r="D1277" i="3"/>
  <c r="B1275" i="3"/>
  <c r="H1275" i="3" s="1"/>
  <c r="C1277" i="3" l="1"/>
  <c r="S1277" i="3"/>
  <c r="AC1277" i="3" s="1"/>
  <c r="E1278" i="3"/>
  <c r="D1278" i="3"/>
  <c r="R1275" i="3"/>
  <c r="W1275" i="3" s="1"/>
  <c r="H1276" i="3"/>
  <c r="B1276" i="3"/>
  <c r="C1278" i="3" l="1"/>
  <c r="E1279" i="3"/>
  <c r="D1279" i="3"/>
  <c r="R1276" i="3"/>
  <c r="W1276" i="3" s="1"/>
  <c r="H1277" i="3"/>
  <c r="S1278" i="3"/>
  <c r="AC1278" i="3" s="1"/>
  <c r="B1277" i="3"/>
  <c r="C1279" i="3" l="1"/>
  <c r="B1278" i="3"/>
  <c r="R1277" i="3"/>
  <c r="W1277" i="3" s="1"/>
  <c r="H1278" i="3"/>
  <c r="S1279" i="3"/>
  <c r="AC1279" i="3" s="1"/>
  <c r="D1280" i="3"/>
  <c r="E1280" i="3"/>
  <c r="C1280" i="3" l="1"/>
  <c r="S1280" i="3"/>
  <c r="AC1280" i="3" s="1"/>
  <c r="R1278" i="3"/>
  <c r="W1278" i="3" s="1"/>
  <c r="H1279" i="3"/>
  <c r="E1281" i="3"/>
  <c r="D1281" i="3"/>
  <c r="B1279" i="3"/>
  <c r="B1280" i="3" s="1"/>
  <c r="C1281" i="3" l="1"/>
  <c r="S1281" i="3"/>
  <c r="AC1281" i="3" s="1"/>
  <c r="E1282" i="3"/>
  <c r="D1282" i="3"/>
  <c r="R1279" i="3"/>
  <c r="W1279" i="3" s="1"/>
  <c r="H1280" i="3"/>
  <c r="B1281" i="3"/>
  <c r="C1282" i="3" l="1"/>
  <c r="S1282" i="3"/>
  <c r="AC1282" i="3" s="1"/>
  <c r="E1283" i="3"/>
  <c r="D1283" i="3"/>
  <c r="R1280" i="3"/>
  <c r="W1280" i="3" s="1"/>
  <c r="H1281" i="3"/>
  <c r="B1282" i="3"/>
  <c r="C1283" i="3" l="1"/>
  <c r="B1283" i="3" s="1"/>
  <c r="S1283" i="3"/>
  <c r="AC1283" i="3" s="1"/>
  <c r="D1284" i="3"/>
  <c r="E1284" i="3"/>
  <c r="R1281" i="3"/>
  <c r="W1281" i="3" s="1"/>
  <c r="H1282" i="3"/>
  <c r="C1284" i="3" l="1"/>
  <c r="E1285" i="3"/>
  <c r="D1285" i="3"/>
  <c r="S1284" i="3"/>
  <c r="AC1284" i="3" s="1"/>
  <c r="R1282" i="3"/>
  <c r="W1282" i="3" s="1"/>
  <c r="H1283" i="3"/>
  <c r="B1284" i="3"/>
  <c r="T1285" i="3" l="1"/>
  <c r="S1285" i="3" s="1"/>
  <c r="AC1285" i="3" s="1"/>
  <c r="Q1285" i="3"/>
  <c r="C1285" i="3"/>
  <c r="R1283" i="3"/>
  <c r="W1283" i="3" s="1"/>
  <c r="H1284" i="3"/>
  <c r="D1286" i="3"/>
  <c r="E1286" i="3"/>
  <c r="T1286" i="3" l="1"/>
  <c r="S1286" i="3" s="1"/>
  <c r="Q1286" i="3"/>
  <c r="C1286" i="3"/>
  <c r="R1284" i="3"/>
  <c r="W1284" i="3" s="1"/>
  <c r="H1285" i="3"/>
  <c r="E1287" i="3"/>
  <c r="D1287" i="3"/>
  <c r="B1285" i="3"/>
  <c r="B1286" i="3" l="1"/>
  <c r="AH1286" i="3"/>
  <c r="AC1286" i="3" s="1"/>
  <c r="C1287" i="3"/>
  <c r="B1287" i="3" s="1"/>
  <c r="S1287" i="3"/>
  <c r="AC1287" i="3" s="1"/>
  <c r="E1288" i="3"/>
  <c r="D1288" i="3"/>
  <c r="R1285" i="3"/>
  <c r="W1285" i="3" s="1"/>
  <c r="H1286" i="3"/>
  <c r="C1288" i="3" l="1"/>
  <c r="B1288" i="3" s="1"/>
  <c r="S1288" i="3"/>
  <c r="AC1288" i="3" s="1"/>
  <c r="R1286" i="3"/>
  <c r="W1286" i="3" s="1"/>
  <c r="H1287" i="3"/>
  <c r="E1289" i="3"/>
  <c r="D1289" i="3"/>
  <c r="C1289" i="3" l="1"/>
  <c r="R1287" i="3"/>
  <c r="W1287" i="3" s="1"/>
  <c r="H1288" i="3"/>
  <c r="S1289" i="3"/>
  <c r="AC1289" i="3" s="1"/>
  <c r="E1290" i="3"/>
  <c r="D1290" i="3"/>
  <c r="B1289" i="3"/>
  <c r="T1290" i="3" l="1"/>
  <c r="S1290" i="3" s="1"/>
  <c r="Q1290" i="3"/>
  <c r="C1290" i="3"/>
  <c r="D1291" i="3"/>
  <c r="R1288" i="3"/>
  <c r="W1288" i="3" s="1"/>
  <c r="H1289" i="3"/>
  <c r="AL1290" i="3" l="1"/>
  <c r="AC1290" i="3" s="1"/>
  <c r="C1291" i="3"/>
  <c r="T1291" i="3"/>
  <c r="S1291" i="3" s="1"/>
  <c r="AC1291" i="3" s="1"/>
  <c r="Q1291" i="3"/>
  <c r="R1289" i="3"/>
  <c r="W1289" i="3" s="1"/>
  <c r="H1290" i="3"/>
  <c r="B1290" i="3"/>
  <c r="E1292" i="3"/>
  <c r="D1292" i="3"/>
  <c r="C1292" i="3" l="1"/>
  <c r="E1293" i="3"/>
  <c r="D1293" i="3"/>
  <c r="S1292" i="3"/>
  <c r="AC1292" i="3" s="1"/>
  <c r="R1290" i="3"/>
  <c r="W1290" i="3" s="1"/>
  <c r="H1291" i="3"/>
  <c r="B1291" i="3"/>
  <c r="C1293" i="3" l="1"/>
  <c r="R1291" i="3"/>
  <c r="W1291" i="3" s="1"/>
  <c r="H1292" i="3"/>
  <c r="B1292" i="3"/>
  <c r="S1293" i="3"/>
  <c r="AC1293" i="3" s="1"/>
  <c r="E1294" i="3"/>
  <c r="D1294" i="3"/>
  <c r="T1294" i="3" l="1"/>
  <c r="S1294" i="3" s="1"/>
  <c r="AC1294" i="3" s="1"/>
  <c r="Q1294" i="3"/>
  <c r="C1294" i="3"/>
  <c r="D1295" i="3"/>
  <c r="R1292" i="3"/>
  <c r="W1292" i="3" s="1"/>
  <c r="H1293" i="3"/>
  <c r="B1293" i="3"/>
  <c r="C1295" i="3" l="1"/>
  <c r="Q1295" i="3"/>
  <c r="T1295" i="3"/>
  <c r="S1295" i="3" s="1"/>
  <c r="AC1295" i="3" s="1"/>
  <c r="R1293" i="3"/>
  <c r="W1293" i="3" s="1"/>
  <c r="H1294" i="3"/>
  <c r="E1296" i="3"/>
  <c r="D1296" i="3"/>
  <c r="B1294" i="3"/>
  <c r="C1296" i="3" l="1"/>
  <c r="E1297" i="3"/>
  <c r="D1297" i="3"/>
  <c r="R1294" i="3"/>
  <c r="W1294" i="3" s="1"/>
  <c r="S1296" i="3"/>
  <c r="AC1296" i="3" s="1"/>
  <c r="B1295" i="3"/>
  <c r="H1295" i="3" s="1"/>
  <c r="C1297" i="3" l="1"/>
  <c r="B1296" i="3"/>
  <c r="S1297" i="3"/>
  <c r="AC1297" i="3" s="1"/>
  <c r="E1298" i="3"/>
  <c r="D1298" i="3"/>
  <c r="R1295" i="3"/>
  <c r="W1295" i="3" s="1"/>
  <c r="H1296" i="3"/>
  <c r="C1298" i="3" l="1"/>
  <c r="T1298" i="3"/>
  <c r="S1298" i="3" s="1"/>
  <c r="AC1298" i="3" s="1"/>
  <c r="Q1298" i="3"/>
  <c r="R1296" i="3"/>
  <c r="W1296" i="3" s="1"/>
  <c r="H1297" i="3"/>
  <c r="E1299" i="3"/>
  <c r="D1299" i="3"/>
  <c r="B1297" i="3"/>
  <c r="Q1299" i="3" l="1"/>
  <c r="T1299" i="3"/>
  <c r="S1299" i="3" s="1"/>
  <c r="AC1299" i="3" s="1"/>
  <c r="C1299" i="3"/>
  <c r="R1297" i="3"/>
  <c r="W1297" i="3" s="1"/>
  <c r="H1298" i="3"/>
  <c r="D1300" i="3"/>
  <c r="B1298" i="3"/>
  <c r="C1300" i="3" l="1"/>
  <c r="Q1300" i="3"/>
  <c r="T1300" i="3"/>
  <c r="S1300" i="3" s="1"/>
  <c r="AC1300" i="3" s="1"/>
  <c r="E1301" i="3"/>
  <c r="D1301" i="3"/>
  <c r="R1298" i="3"/>
  <c r="W1298" i="3" s="1"/>
  <c r="H1299" i="3"/>
  <c r="B1299" i="3"/>
  <c r="B1300" i="3" s="1"/>
  <c r="T1301" i="3" l="1"/>
  <c r="S1301" i="3" s="1"/>
  <c r="AC1301" i="3" s="1"/>
  <c r="Q1301" i="3"/>
  <c r="C1301" i="3"/>
  <c r="B1301" i="3" s="1"/>
  <c r="D1302" i="3"/>
  <c r="R1299" i="3"/>
  <c r="W1299" i="3" s="1"/>
  <c r="H1300" i="3"/>
  <c r="T1302" i="3" l="1"/>
  <c r="S1302" i="3" s="1"/>
  <c r="Q1302" i="3"/>
  <c r="C1302" i="3"/>
  <c r="R1300" i="3"/>
  <c r="W1300" i="3" s="1"/>
  <c r="H1301" i="3"/>
  <c r="D1303" i="3"/>
  <c r="AH1302" i="3" l="1"/>
  <c r="AC1302" i="3" s="1"/>
  <c r="T1303" i="3"/>
  <c r="S1303" i="3" s="1"/>
  <c r="Q1303" i="3"/>
  <c r="C1303" i="3"/>
  <c r="R1301" i="3"/>
  <c r="W1301" i="3" s="1"/>
  <c r="H1302" i="3"/>
  <c r="D1304" i="3"/>
  <c r="B1302" i="3"/>
  <c r="AH1303" i="3" l="1"/>
  <c r="AC1303" i="3" s="1"/>
  <c r="C1304" i="3"/>
  <c r="T1304" i="3"/>
  <c r="S1304" i="3" s="1"/>
  <c r="AC1304" i="3" s="1"/>
  <c r="Q1304" i="3"/>
  <c r="E1305" i="3"/>
  <c r="D1305" i="3"/>
  <c r="R1302" i="3"/>
  <c r="W1302" i="3" s="1"/>
  <c r="H1303" i="3"/>
  <c r="B1303" i="3"/>
  <c r="D1306" i="3" l="1"/>
  <c r="C1305" i="3"/>
  <c r="T1305" i="3"/>
  <c r="S1305" i="3" s="1"/>
  <c r="AC1305" i="3" s="1"/>
  <c r="Q1305" i="3"/>
  <c r="R1303" i="3"/>
  <c r="W1303" i="3" s="1"/>
  <c r="H1304" i="3"/>
  <c r="B1304" i="3"/>
  <c r="D1307" i="3"/>
  <c r="C1306" i="3" l="1"/>
  <c r="T1306" i="3"/>
  <c r="Q1306" i="3"/>
  <c r="C1307" i="3"/>
  <c r="Q1307" i="3"/>
  <c r="T1307" i="3"/>
  <c r="S1307" i="3" s="1"/>
  <c r="E1308" i="3"/>
  <c r="D1308" i="3"/>
  <c r="R1304" i="3"/>
  <c r="W1304" i="3" s="1"/>
  <c r="H1305" i="3"/>
  <c r="H1306" i="3" s="1"/>
  <c r="B1305" i="3"/>
  <c r="B1306" i="3" l="1"/>
  <c r="R1306" i="3"/>
  <c r="W1306" i="3" s="1"/>
  <c r="S1306" i="3"/>
  <c r="AC1306" i="3" s="1"/>
  <c r="AL1307" i="3"/>
  <c r="AC1307" i="3" s="1"/>
  <c r="C1308" i="3"/>
  <c r="R1305" i="3"/>
  <c r="W1305" i="3" s="1"/>
  <c r="H1307" i="3"/>
  <c r="S1308" i="3"/>
  <c r="AC1308" i="3" s="1"/>
  <c r="D1309" i="3"/>
  <c r="E1309" i="3"/>
  <c r="B1307" i="3"/>
  <c r="T1309" i="3" l="1"/>
  <c r="S1309" i="3" s="1"/>
  <c r="AC1309" i="3" s="1"/>
  <c r="Q1309" i="3"/>
  <c r="C1309" i="3"/>
  <c r="R1307" i="3"/>
  <c r="W1307" i="3" s="1"/>
  <c r="H1308" i="3"/>
  <c r="D1310" i="3"/>
  <c r="B1308" i="3"/>
  <c r="T1310" i="3" l="1"/>
  <c r="S1310" i="3" s="1"/>
  <c r="AC1310" i="3" s="1"/>
  <c r="Q1310" i="3"/>
  <c r="C1310" i="3"/>
  <c r="E1311" i="3"/>
  <c r="D1311" i="3"/>
  <c r="R1308" i="3"/>
  <c r="W1308" i="3" s="1"/>
  <c r="H1309" i="3"/>
  <c r="B1309" i="3"/>
  <c r="C1311" i="3" l="1"/>
  <c r="E1312" i="3"/>
  <c r="D1312" i="3"/>
  <c r="R1309" i="3"/>
  <c r="W1309" i="3" s="1"/>
  <c r="H1310" i="3"/>
  <c r="S1311" i="3"/>
  <c r="AC1311" i="3" s="1"/>
  <c r="B1310" i="3"/>
  <c r="Q1312" i="3" l="1"/>
  <c r="T1312" i="3"/>
  <c r="S1312" i="3" s="1"/>
  <c r="AC1312" i="3" s="1"/>
  <c r="C1312" i="3"/>
  <c r="B1311" i="3"/>
  <c r="R1310" i="3"/>
  <c r="W1310" i="3" s="1"/>
  <c r="H1311" i="3"/>
  <c r="D1313" i="3"/>
  <c r="Q1313" i="3" l="1"/>
  <c r="T1313" i="3"/>
  <c r="S1313" i="3" s="1"/>
  <c r="AC1313" i="3" s="1"/>
  <c r="C1313" i="3"/>
  <c r="R1311" i="3"/>
  <c r="W1311" i="3" s="1"/>
  <c r="H1312" i="3"/>
  <c r="E1314" i="3"/>
  <c r="D1314" i="3"/>
  <c r="B1312" i="3"/>
  <c r="C1314" i="3" l="1"/>
  <c r="T1314" i="3"/>
  <c r="S1314" i="3" s="1"/>
  <c r="AC1314" i="3" s="1"/>
  <c r="Q1314" i="3"/>
  <c r="D1315" i="3"/>
  <c r="E1315" i="3"/>
  <c r="R1312" i="3"/>
  <c r="W1312" i="3" s="1"/>
  <c r="H1313" i="3"/>
  <c r="B1313" i="3"/>
  <c r="Q1315" i="3" l="1"/>
  <c r="T1315" i="3"/>
  <c r="S1315" i="3" s="1"/>
  <c r="C1315" i="3"/>
  <c r="R1313" i="3"/>
  <c r="W1313" i="3" s="1"/>
  <c r="H1314" i="3"/>
  <c r="D1316" i="3"/>
  <c r="B1314" i="3"/>
  <c r="B1315" i="3" l="1"/>
  <c r="T1316" i="3"/>
  <c r="S1316" i="3" s="1"/>
  <c r="AC1316" i="3" s="1"/>
  <c r="Q1316" i="3"/>
  <c r="AH1315" i="3"/>
  <c r="AC1315" i="3" s="1"/>
  <c r="C1316" i="3"/>
  <c r="R1314" i="3"/>
  <c r="W1314" i="3" s="1"/>
  <c r="H1315" i="3"/>
  <c r="D1317" i="3"/>
  <c r="E1317" i="3"/>
  <c r="T1317" i="3" l="1"/>
  <c r="S1317" i="3" s="1"/>
  <c r="Q1317" i="3"/>
  <c r="C1317" i="3"/>
  <c r="D1318" i="3"/>
  <c r="E1318" i="3"/>
  <c r="B1316" i="3"/>
  <c r="R1315" i="3"/>
  <c r="W1315" i="3" s="1"/>
  <c r="H1316" i="3"/>
  <c r="AH1317" i="3" l="1"/>
  <c r="AC1317" i="3" s="1"/>
  <c r="C1318" i="3"/>
  <c r="R1316" i="3"/>
  <c r="W1316" i="3" s="1"/>
  <c r="H1317" i="3"/>
  <c r="B1317" i="3"/>
  <c r="D1319" i="3"/>
  <c r="E1319" i="3"/>
  <c r="S1318" i="3"/>
  <c r="AC1318" i="3" s="1"/>
  <c r="S1319" i="3" l="1"/>
  <c r="AC1319" i="3" s="1"/>
  <c r="Q1319" i="3"/>
  <c r="C1319" i="3"/>
  <c r="D1320" i="3"/>
  <c r="E1320" i="3"/>
  <c r="R1317" i="3"/>
  <c r="W1317" i="3" s="1"/>
  <c r="H1318" i="3"/>
  <c r="B1318" i="3"/>
  <c r="B1319" i="3" s="1"/>
  <c r="C1320" i="3" l="1"/>
  <c r="R1318" i="3"/>
  <c r="W1318" i="3" s="1"/>
  <c r="H1319" i="3"/>
  <c r="D1321" i="3"/>
  <c r="E1321" i="3"/>
  <c r="S1320" i="3"/>
  <c r="AC1320" i="3" s="1"/>
  <c r="Q1321" i="3" l="1"/>
  <c r="T1321" i="3"/>
  <c r="S1321" i="3" s="1"/>
  <c r="AC1321" i="3" s="1"/>
  <c r="C1321" i="3"/>
  <c r="D1322" i="3"/>
  <c r="E1322" i="3"/>
  <c r="R1319" i="3"/>
  <c r="W1319" i="3" s="1"/>
  <c r="H1320" i="3"/>
  <c r="B1320" i="3"/>
  <c r="C1322" i="3" l="1"/>
  <c r="T1322" i="3"/>
  <c r="S1322" i="3" s="1"/>
  <c r="AC1322" i="3" s="1"/>
  <c r="Q1322" i="3"/>
  <c r="R1320" i="3"/>
  <c r="W1320" i="3" s="1"/>
  <c r="H1321" i="3"/>
  <c r="D1323" i="3"/>
  <c r="E1323" i="3"/>
  <c r="B1321" i="3"/>
  <c r="Q1323" i="3" l="1"/>
  <c r="S1323" i="3"/>
  <c r="C1323" i="3"/>
  <c r="E1324" i="3"/>
  <c r="D1324" i="3"/>
  <c r="R1321" i="3"/>
  <c r="W1321" i="3" s="1"/>
  <c r="H1322" i="3"/>
  <c r="B1322" i="3"/>
  <c r="AH1323" i="3" l="1"/>
  <c r="AC1323" i="3" s="1"/>
  <c r="T1324" i="3"/>
  <c r="S1324" i="3" s="1"/>
  <c r="AC1324" i="3" s="1"/>
  <c r="Q1324" i="3"/>
  <c r="C1324" i="3"/>
  <c r="R1322" i="3"/>
  <c r="W1322" i="3" s="1"/>
  <c r="H1323" i="3"/>
  <c r="B1323" i="3"/>
  <c r="E1325" i="3"/>
  <c r="D1325" i="3"/>
  <c r="C1325" i="3" l="1"/>
  <c r="E1326" i="3"/>
  <c r="D1326" i="3"/>
  <c r="S1325" i="3"/>
  <c r="AC1325" i="3" s="1"/>
  <c r="R1323" i="3"/>
  <c r="W1323" i="3" s="1"/>
  <c r="H1324" i="3"/>
  <c r="B1324" i="3"/>
  <c r="D1327" i="3" l="1"/>
  <c r="T1326" i="3"/>
  <c r="S1326" i="3" s="1"/>
  <c r="AC1326" i="3" s="1"/>
  <c r="Q1326" i="3"/>
  <c r="C1326" i="3"/>
  <c r="R1324" i="3"/>
  <c r="W1324" i="3" s="1"/>
  <c r="E1328" i="3"/>
  <c r="D1328" i="3"/>
  <c r="B1325" i="3"/>
  <c r="H1325" i="3" s="1"/>
  <c r="C1327" i="3" l="1"/>
  <c r="T1327" i="3"/>
  <c r="Q1327" i="3"/>
  <c r="T1328" i="3"/>
  <c r="S1328" i="3" s="1"/>
  <c r="AC1328" i="3" s="1"/>
  <c r="Q1328" i="3"/>
  <c r="C1328" i="3"/>
  <c r="R1325" i="3"/>
  <c r="W1325" i="3" s="1"/>
  <c r="E1329" i="3"/>
  <c r="D1329" i="3"/>
  <c r="B1326" i="3"/>
  <c r="H1326" i="3" s="1"/>
  <c r="H1327" i="3" s="1"/>
  <c r="B1327" i="3" l="1"/>
  <c r="R1327" i="3"/>
  <c r="W1327" i="3" s="1"/>
  <c r="S1327" i="3"/>
  <c r="AC1327" i="3" s="1"/>
  <c r="C1329" i="3"/>
  <c r="Q1329" i="3"/>
  <c r="T1329" i="3"/>
  <c r="S1329" i="3" s="1"/>
  <c r="R1326" i="3"/>
  <c r="W1326" i="3" s="1"/>
  <c r="H1328" i="3"/>
  <c r="E1330" i="3"/>
  <c r="D1330" i="3"/>
  <c r="B1328" i="3"/>
  <c r="AL1329" i="3" l="1"/>
  <c r="AC1329" i="3" s="1"/>
  <c r="C1330" i="3"/>
  <c r="R1328" i="3"/>
  <c r="W1328" i="3" s="1"/>
  <c r="H1329" i="3"/>
  <c r="S1330" i="3"/>
  <c r="AC1330" i="3" s="1"/>
  <c r="E1331" i="3"/>
  <c r="D1331" i="3"/>
  <c r="B1329" i="3"/>
  <c r="C1331" i="3" l="1"/>
  <c r="R1329" i="3"/>
  <c r="W1329" i="3" s="1"/>
  <c r="H1330" i="3"/>
  <c r="S1331" i="3"/>
  <c r="AC1331" i="3" s="1"/>
  <c r="E1332" i="3"/>
  <c r="D1332" i="3"/>
  <c r="B1330" i="3"/>
  <c r="C1332" i="3" l="1"/>
  <c r="R1330" i="3"/>
  <c r="W1330" i="3" s="1"/>
  <c r="H1331" i="3"/>
  <c r="S1332" i="3"/>
  <c r="AC1332" i="3" s="1"/>
  <c r="E1333" i="3"/>
  <c r="D1333" i="3"/>
  <c r="B1331" i="3"/>
  <c r="T1333" i="3" l="1"/>
  <c r="S1333" i="3" s="1"/>
  <c r="AC1333" i="3" s="1"/>
  <c r="Q1333" i="3"/>
  <c r="C1333" i="3"/>
  <c r="R1331" i="3"/>
  <c r="W1331" i="3" s="1"/>
  <c r="H1332" i="3"/>
  <c r="E1334" i="3"/>
  <c r="D1334" i="3"/>
  <c r="B1332" i="3"/>
  <c r="B1333" i="3" l="1"/>
  <c r="C1334" i="3"/>
  <c r="S1334" i="3"/>
  <c r="AC1334" i="3" s="1"/>
  <c r="E1335" i="3"/>
  <c r="D1335" i="3"/>
  <c r="R1332" i="3"/>
  <c r="W1332" i="3" s="1"/>
  <c r="H1333" i="3"/>
  <c r="B1334" i="3"/>
  <c r="C1335" i="3" l="1"/>
  <c r="S1335" i="3"/>
  <c r="AC1335" i="3" s="1"/>
  <c r="E1336" i="3"/>
  <c r="D1336" i="3"/>
  <c r="R1333" i="3"/>
  <c r="W1333" i="3" s="1"/>
  <c r="H1334" i="3"/>
  <c r="B1335" i="3"/>
  <c r="C1336" i="3" l="1"/>
  <c r="S1336" i="3"/>
  <c r="AC1336" i="3" s="1"/>
  <c r="E1337" i="3"/>
  <c r="D1337" i="3"/>
  <c r="R1334" i="3"/>
  <c r="W1334" i="3" s="1"/>
  <c r="H1335" i="3"/>
  <c r="B1336" i="3"/>
  <c r="Q1337" i="3" l="1"/>
  <c r="T1337" i="3"/>
  <c r="S1337" i="3" s="1"/>
  <c r="C1337" i="3"/>
  <c r="B1337" i="3" s="1"/>
  <c r="R1335" i="3"/>
  <c r="W1335" i="3" s="1"/>
  <c r="H1336" i="3"/>
  <c r="E1338" i="3"/>
  <c r="D1338" i="3"/>
  <c r="AH1337" i="3" l="1"/>
  <c r="AC1337" i="3" s="1"/>
  <c r="C1338" i="3"/>
  <c r="E1339" i="3"/>
  <c r="D1339" i="3"/>
  <c r="S1338" i="3"/>
  <c r="AC1338" i="3" s="1"/>
  <c r="R1336" i="3"/>
  <c r="W1336" i="3" s="1"/>
  <c r="H1337" i="3"/>
  <c r="C1339" i="3" l="1"/>
  <c r="R1337" i="3"/>
  <c r="W1337" i="3" s="1"/>
  <c r="H1338" i="3"/>
  <c r="B1338" i="3"/>
  <c r="S1339" i="3"/>
  <c r="AC1339" i="3" s="1"/>
  <c r="E1340" i="3"/>
  <c r="D1340" i="3"/>
  <c r="C1340" i="3" l="1"/>
  <c r="E1341" i="3"/>
  <c r="D1341" i="3"/>
  <c r="S1340" i="3"/>
  <c r="AC1340" i="3" s="1"/>
  <c r="R1338" i="3"/>
  <c r="W1338" i="3" s="1"/>
  <c r="H1339" i="3"/>
  <c r="B1339" i="3"/>
  <c r="C1341" i="3" l="1"/>
  <c r="R1339" i="3"/>
  <c r="W1339" i="3" s="1"/>
  <c r="H1340" i="3"/>
  <c r="S1341" i="3"/>
  <c r="AC1341" i="3" s="1"/>
  <c r="E1342" i="3"/>
  <c r="D1342" i="3"/>
  <c r="B1340" i="3"/>
  <c r="C1342" i="3" l="1"/>
  <c r="R1340" i="3"/>
  <c r="W1340" i="3" s="1"/>
  <c r="H1341" i="3"/>
  <c r="S1342" i="3"/>
  <c r="AC1342" i="3" s="1"/>
  <c r="E1343" i="3"/>
  <c r="D1343" i="3"/>
  <c r="B1341" i="3"/>
  <c r="Q1343" i="3" l="1"/>
  <c r="T1343" i="3"/>
  <c r="S1343" i="3" s="1"/>
  <c r="C1343" i="3"/>
  <c r="R1341" i="3"/>
  <c r="W1341" i="3" s="1"/>
  <c r="H1342" i="3"/>
  <c r="D1344" i="3"/>
  <c r="B1342" i="3"/>
  <c r="AL1343" i="3" l="1"/>
  <c r="AC1343" i="3" s="1"/>
  <c r="C1344" i="3"/>
  <c r="Q1344" i="3"/>
  <c r="T1344" i="3"/>
  <c r="S1344" i="3" s="1"/>
  <c r="AC1344" i="3" s="1"/>
  <c r="D1345" i="3"/>
  <c r="R1342" i="3"/>
  <c r="W1342" i="3" s="1"/>
  <c r="H1343" i="3"/>
  <c r="B1343" i="3"/>
  <c r="Q1345" i="3" l="1"/>
  <c r="T1345" i="3"/>
  <c r="S1345" i="3" s="1"/>
  <c r="AC1345" i="3" s="1"/>
  <c r="B1344" i="3"/>
  <c r="C1345" i="3"/>
  <c r="B1345" i="3" s="1"/>
  <c r="D1346" i="3"/>
  <c r="R1343" i="3"/>
  <c r="W1343" i="3" s="1"/>
  <c r="H1344" i="3"/>
  <c r="Q1346" i="3" l="1"/>
  <c r="T1346" i="3"/>
  <c r="S1346" i="3" s="1"/>
  <c r="AC1346" i="3" s="1"/>
  <c r="C1346" i="3"/>
  <c r="B1346" i="3" s="1"/>
  <c r="D1347" i="3"/>
  <c r="R1344" i="3"/>
  <c r="W1344" i="3" s="1"/>
  <c r="H1345" i="3"/>
  <c r="T1347" i="3" l="1"/>
  <c r="S1347" i="3" s="1"/>
  <c r="AC1347" i="3" s="1"/>
  <c r="Q1347" i="3"/>
  <c r="C1347" i="3"/>
  <c r="E1348" i="3"/>
  <c r="D1348" i="3"/>
  <c r="R1345" i="3"/>
  <c r="W1345" i="3" s="1"/>
  <c r="H1346" i="3"/>
  <c r="B1347" i="3"/>
  <c r="Q1348" i="3" l="1"/>
  <c r="T1348" i="3"/>
  <c r="S1348" i="3" s="1"/>
  <c r="C1348" i="3"/>
  <c r="B1348" i="3" s="1"/>
  <c r="D1349" i="3"/>
  <c r="R1346" i="3"/>
  <c r="W1346" i="3" s="1"/>
  <c r="H1347" i="3"/>
  <c r="AL1348" i="3" l="1"/>
  <c r="AC1348" i="3" s="1"/>
  <c r="Q1349" i="3"/>
  <c r="T1349" i="3"/>
  <c r="S1349" i="3" s="1"/>
  <c r="C1349" i="3"/>
  <c r="B1349" i="3" s="1"/>
  <c r="E1350" i="3"/>
  <c r="D1350" i="3"/>
  <c r="R1347" i="3"/>
  <c r="W1347" i="3" s="1"/>
  <c r="H1348" i="3"/>
  <c r="AH1349" i="3" l="1"/>
  <c r="AC1349" i="3" s="1"/>
  <c r="T1350" i="3"/>
  <c r="S1350" i="3" s="1"/>
  <c r="AC1350" i="3" s="1"/>
  <c r="Q1350" i="3"/>
  <c r="C1350" i="3"/>
  <c r="B1350" i="3" s="1"/>
  <c r="D1351" i="3"/>
  <c r="R1348" i="3"/>
  <c r="W1348" i="3" s="1"/>
  <c r="H1349" i="3"/>
  <c r="T1351" i="3" l="1"/>
  <c r="S1351" i="3" s="1"/>
  <c r="Q1351" i="3"/>
  <c r="C1351" i="3"/>
  <c r="B1351" i="3" s="1"/>
  <c r="E1352" i="3"/>
  <c r="D1352" i="3"/>
  <c r="R1349" i="3"/>
  <c r="W1349" i="3" s="1"/>
  <c r="H1350" i="3"/>
  <c r="AL1351" i="3" l="1"/>
  <c r="AC1351" i="3" s="1"/>
  <c r="C1352" i="3"/>
  <c r="B1352" i="3" s="1"/>
  <c r="S1352" i="3"/>
  <c r="AC1352" i="3" s="1"/>
  <c r="E1353" i="3"/>
  <c r="D1353" i="3"/>
  <c r="R1350" i="3"/>
  <c r="W1350" i="3" s="1"/>
  <c r="H1351" i="3"/>
  <c r="Q1353" i="3" l="1"/>
  <c r="T1353" i="3"/>
  <c r="S1353" i="3" s="1"/>
  <c r="AC1353" i="3" s="1"/>
  <c r="C1353" i="3"/>
  <c r="B1353" i="3" s="1"/>
  <c r="D1354" i="3"/>
  <c r="R1351" i="3"/>
  <c r="W1351" i="3" s="1"/>
  <c r="H1352" i="3"/>
  <c r="C1354" i="3" l="1"/>
  <c r="B1354" i="3" s="1"/>
  <c r="T1354" i="3"/>
  <c r="S1354" i="3" s="1"/>
  <c r="Q1354" i="3"/>
  <c r="D1355" i="3"/>
  <c r="R1352" i="3"/>
  <c r="W1352" i="3" s="1"/>
  <c r="H1353" i="3"/>
  <c r="AH1354" i="3" l="1"/>
  <c r="AC1354" i="3" s="1"/>
  <c r="T1355" i="3"/>
  <c r="S1355" i="3" s="1"/>
  <c r="Q1355" i="3"/>
  <c r="C1355" i="3"/>
  <c r="B1355" i="3" s="1"/>
  <c r="R1353" i="3"/>
  <c r="W1353" i="3" s="1"/>
  <c r="H1354" i="3"/>
  <c r="D1356" i="3"/>
  <c r="AL1355" i="3" l="1"/>
  <c r="AC1355" i="3" s="1"/>
  <c r="C1356" i="3"/>
  <c r="B1356" i="3" s="1"/>
  <c r="T1356" i="3"/>
  <c r="S1356" i="3" s="1"/>
  <c r="Q1356" i="3"/>
  <c r="R1354" i="3"/>
  <c r="W1354" i="3" s="1"/>
  <c r="H1355" i="3"/>
  <c r="D1357" i="3"/>
  <c r="C1357" i="3" l="1"/>
  <c r="Q1357" i="3"/>
  <c r="T1357" i="3"/>
  <c r="S1357" i="3" s="1"/>
  <c r="AC1356" i="3"/>
  <c r="B1357" i="3"/>
  <c r="E1358" i="3"/>
  <c r="D1358" i="3"/>
  <c r="R1355" i="3"/>
  <c r="W1355" i="3" s="1"/>
  <c r="H1356" i="3"/>
  <c r="AH1357" i="3" l="1"/>
  <c r="AC1357" i="3" s="1"/>
  <c r="Q1358" i="3"/>
  <c r="T1358" i="3"/>
  <c r="S1358" i="3" s="1"/>
  <c r="AC1358" i="3" s="1"/>
  <c r="C1358" i="3"/>
  <c r="B1358" i="3" s="1"/>
  <c r="E1359" i="3"/>
  <c r="D1359" i="3"/>
  <c r="R1356" i="3"/>
  <c r="W1356" i="3" s="1"/>
  <c r="H1357" i="3"/>
  <c r="C1359" i="3" l="1"/>
  <c r="B1359" i="3" s="1"/>
  <c r="Q1359" i="3"/>
  <c r="T1359" i="3"/>
  <c r="S1359" i="3" s="1"/>
  <c r="AC1359" i="3" s="1"/>
  <c r="R1357" i="3"/>
  <c r="W1357" i="3" s="1"/>
  <c r="H1358" i="3"/>
  <c r="E1360" i="3"/>
  <c r="D1360" i="3"/>
  <c r="C1360" i="3" l="1"/>
  <c r="T1360" i="3"/>
  <c r="S1360" i="3" s="1"/>
  <c r="Q1360" i="3"/>
  <c r="R1358" i="3"/>
  <c r="W1358" i="3" s="1"/>
  <c r="H1359" i="3"/>
  <c r="D1361" i="3"/>
  <c r="B1360" i="3"/>
  <c r="AL1360" i="3" l="1"/>
  <c r="AC1360" i="3" s="1"/>
  <c r="C1361" i="3"/>
  <c r="B1361" i="3" s="1"/>
  <c r="T1361" i="3"/>
  <c r="Q1361" i="3"/>
  <c r="D1362" i="3"/>
  <c r="R1359" i="3"/>
  <c r="W1359" i="3" s="1"/>
  <c r="H1360" i="3"/>
  <c r="C1362" i="3" l="1"/>
  <c r="B1362" i="3" s="1"/>
  <c r="T1362" i="3"/>
  <c r="S1362" i="3" s="1"/>
  <c r="AC1362" i="3" s="1"/>
  <c r="Q1362" i="3"/>
  <c r="S1361" i="3"/>
  <c r="E1363" i="3"/>
  <c r="D1363" i="3"/>
  <c r="R1360" i="3"/>
  <c r="W1360" i="3" s="1"/>
  <c r="H1361" i="3"/>
  <c r="C1363" i="3" l="1"/>
  <c r="Q1363" i="3"/>
  <c r="T1363" i="3"/>
  <c r="S1363" i="3" s="1"/>
  <c r="AL1361" i="3"/>
  <c r="AC1361" i="3" s="1"/>
  <c r="R1361" i="3"/>
  <c r="W1361" i="3" s="1"/>
  <c r="H1362" i="3"/>
  <c r="D1364" i="3"/>
  <c r="AL1363" i="3" l="1"/>
  <c r="AC1363" i="3" s="1"/>
  <c r="C1364" i="3"/>
  <c r="Q1364" i="3"/>
  <c r="T1364" i="3"/>
  <c r="S1364" i="3" s="1"/>
  <c r="R1362" i="3"/>
  <c r="W1362" i="3" s="1"/>
  <c r="H1363" i="3"/>
  <c r="E1365" i="3"/>
  <c r="D1365" i="3"/>
  <c r="C1365" i="3" s="1"/>
  <c r="B1363" i="3"/>
  <c r="AH1364" i="3" l="1"/>
  <c r="AC1364" i="3" s="1"/>
  <c r="S1365" i="3"/>
  <c r="AC1365" i="3" s="1"/>
  <c r="R1363" i="3"/>
  <c r="W1363" i="3" s="1"/>
  <c r="H1364" i="3"/>
  <c r="E1366" i="3"/>
  <c r="D1366" i="3"/>
  <c r="B1364" i="3"/>
  <c r="C1366" i="3" l="1"/>
  <c r="T1366" i="3"/>
  <c r="S1366" i="3" s="1"/>
  <c r="Q1366" i="3"/>
  <c r="E1367" i="3"/>
  <c r="D1367" i="3"/>
  <c r="R1364" i="3"/>
  <c r="W1364" i="3" s="1"/>
  <c r="H1365" i="3"/>
  <c r="B1365" i="3"/>
  <c r="B1366" i="3" s="1"/>
  <c r="AL1366" i="3" l="1"/>
  <c r="AC1366" i="3" s="1"/>
  <c r="Q1367" i="3"/>
  <c r="T1367" i="3"/>
  <c r="S1367" i="3" s="1"/>
  <c r="AC1367" i="3" s="1"/>
  <c r="C1367" i="3"/>
  <c r="D1368" i="3"/>
  <c r="R1365" i="3"/>
  <c r="W1365" i="3" s="1"/>
  <c r="H1366" i="3"/>
  <c r="T1368" i="3" l="1"/>
  <c r="S1368" i="3" s="1"/>
  <c r="AC1368" i="3" s="1"/>
  <c r="Q1368" i="3"/>
  <c r="C1368" i="3"/>
  <c r="D1369" i="3"/>
  <c r="D1370" i="3" s="1"/>
  <c r="R1366" i="3"/>
  <c r="W1366" i="3" s="1"/>
  <c r="H1367" i="3"/>
  <c r="B1367" i="3"/>
  <c r="B1368" i="3" s="1"/>
  <c r="Q1370" i="3" l="1"/>
  <c r="T1370" i="3"/>
  <c r="C1369" i="3"/>
  <c r="C1370" i="3" s="1"/>
  <c r="T1369" i="3"/>
  <c r="S1369" i="3" s="1"/>
  <c r="Q1369" i="3"/>
  <c r="E1371" i="3"/>
  <c r="D1371" i="3"/>
  <c r="R1367" i="3"/>
  <c r="W1367" i="3" s="1"/>
  <c r="H1368" i="3"/>
  <c r="S1370" i="3" l="1"/>
  <c r="AC1370" i="3" s="1"/>
  <c r="B1369" i="3"/>
  <c r="B1370" i="3" s="1"/>
  <c r="C1371" i="3"/>
  <c r="B1371" i="3" s="1"/>
  <c r="Q1371" i="3"/>
  <c r="T1371" i="3"/>
  <c r="S1371" i="3" s="1"/>
  <c r="AC1371" i="3" s="1"/>
  <c r="AL1369" i="3"/>
  <c r="AC1369" i="3" s="1"/>
  <c r="R1368" i="3"/>
  <c r="W1368" i="3" s="1"/>
  <c r="H1369" i="3"/>
  <c r="H1370" i="3" s="1"/>
  <c r="R1370" i="3" s="1"/>
  <c r="W1370" i="3" s="1"/>
  <c r="D1372" i="3"/>
  <c r="T1372" i="3" l="1"/>
  <c r="S1372" i="3" s="1"/>
  <c r="Q1372" i="3"/>
  <c r="C1372" i="3"/>
  <c r="E1373" i="3"/>
  <c r="D1373" i="3"/>
  <c r="R1369" i="3"/>
  <c r="W1369" i="3" s="1"/>
  <c r="H1371" i="3"/>
  <c r="AL1372" i="3" l="1"/>
  <c r="AC1372" i="3" s="1"/>
  <c r="C1373" i="3"/>
  <c r="R1371" i="3"/>
  <c r="W1371" i="3" s="1"/>
  <c r="H1372" i="3"/>
  <c r="B1372" i="3"/>
  <c r="S1373" i="3"/>
  <c r="AC1373" i="3" s="1"/>
  <c r="E1374" i="3"/>
  <c r="D1374" i="3"/>
  <c r="Q1374" i="3" l="1"/>
  <c r="T1374" i="3"/>
  <c r="S1374" i="3" s="1"/>
  <c r="C1374" i="3"/>
  <c r="E1375" i="3"/>
  <c r="D1375" i="3"/>
  <c r="R1372" i="3"/>
  <c r="W1372" i="3" s="1"/>
  <c r="H1373" i="3"/>
  <c r="B1373" i="3"/>
  <c r="AL1374" i="3" l="1"/>
  <c r="AC1374" i="3" s="1"/>
  <c r="T1375" i="3"/>
  <c r="S1375" i="3" s="1"/>
  <c r="Q1375" i="3"/>
  <c r="C1375" i="3"/>
  <c r="R1373" i="3"/>
  <c r="W1373" i="3" s="1"/>
  <c r="H1374" i="3"/>
  <c r="D1376" i="3"/>
  <c r="B1374" i="3"/>
  <c r="AL1375" i="3" l="1"/>
  <c r="AC1375" i="3" s="1"/>
  <c r="Q1376" i="3"/>
  <c r="T1376" i="3"/>
  <c r="S1376" i="3" s="1"/>
  <c r="AC1376" i="3" s="1"/>
  <c r="C1376" i="3"/>
  <c r="R1374" i="3"/>
  <c r="W1374" i="3" s="1"/>
  <c r="H1375" i="3"/>
  <c r="E1377" i="3"/>
  <c r="D1377" i="3"/>
  <c r="B1375" i="3"/>
  <c r="C1377" i="3" l="1"/>
  <c r="Q1377" i="3"/>
  <c r="T1377" i="3"/>
  <c r="S1377" i="3" s="1"/>
  <c r="B1376" i="3"/>
  <c r="D1378" i="3"/>
  <c r="B1377" i="3"/>
  <c r="R1375" i="3"/>
  <c r="W1375" i="3" s="1"/>
  <c r="H1376" i="3"/>
  <c r="AL1377" i="3" l="1"/>
  <c r="AC1377" i="3" s="1"/>
  <c r="C1378" i="3"/>
  <c r="B1378" i="3" s="1"/>
  <c r="T1378" i="3"/>
  <c r="S1378" i="3" s="1"/>
  <c r="AC1378" i="3" s="1"/>
  <c r="Q1378" i="3"/>
  <c r="D1379" i="3"/>
  <c r="R1376" i="3"/>
  <c r="W1376" i="3" s="1"/>
  <c r="H1377" i="3"/>
  <c r="T1379" i="3" l="1"/>
  <c r="S1379" i="3" s="1"/>
  <c r="AC1379" i="3" s="1"/>
  <c r="Q1379" i="3"/>
  <c r="C1379" i="3"/>
  <c r="B1379" i="3" s="1"/>
  <c r="E1380" i="3"/>
  <c r="D1380" i="3"/>
  <c r="R1377" i="3"/>
  <c r="W1377" i="3" s="1"/>
  <c r="H1378" i="3"/>
  <c r="C1380" i="3" l="1"/>
  <c r="T1380" i="3"/>
  <c r="S1380" i="3" s="1"/>
  <c r="Q1380" i="3"/>
  <c r="E1381" i="3"/>
  <c r="D1381" i="3"/>
  <c r="R1378" i="3"/>
  <c r="W1378" i="3" s="1"/>
  <c r="H1379" i="3"/>
  <c r="B1380" i="3"/>
  <c r="AH1380" i="3" l="1"/>
  <c r="AC1380" i="3" s="1"/>
  <c r="Q1381" i="3"/>
  <c r="T1381" i="3"/>
  <c r="S1381" i="3" s="1"/>
  <c r="C1381" i="3"/>
  <c r="B1381" i="3" s="1"/>
  <c r="D1382" i="3"/>
  <c r="R1379" i="3"/>
  <c r="W1379" i="3" s="1"/>
  <c r="H1380" i="3"/>
  <c r="AL1381" i="3" l="1"/>
  <c r="AC1381" i="3" s="1"/>
  <c r="Q1382" i="3"/>
  <c r="T1382" i="3"/>
  <c r="S1382" i="3" s="1"/>
  <c r="C1382" i="3"/>
  <c r="B1382" i="3" s="1"/>
  <c r="R1380" i="3"/>
  <c r="W1380" i="3" s="1"/>
  <c r="H1381" i="3"/>
  <c r="E1383" i="3"/>
  <c r="D1383" i="3"/>
  <c r="AL1382" i="3" l="1"/>
  <c r="AC1382" i="3" s="1"/>
  <c r="C1383" i="3"/>
  <c r="B1383" i="3" s="1"/>
  <c r="T1383" i="3"/>
  <c r="S1383" i="3" s="1"/>
  <c r="AC1383" i="3" s="1"/>
  <c r="Q1383" i="3"/>
  <c r="R1381" i="3"/>
  <c r="W1381" i="3" s="1"/>
  <c r="H1382" i="3"/>
  <c r="E1384" i="3"/>
  <c r="D1384" i="3"/>
  <c r="C1384" i="3" l="1"/>
  <c r="S1384" i="3"/>
  <c r="AC1384" i="3" s="1"/>
  <c r="E1385" i="3"/>
  <c r="D1385" i="3"/>
  <c r="B1384" i="3"/>
  <c r="R1382" i="3"/>
  <c r="W1382" i="3" s="1"/>
  <c r="H1383" i="3"/>
  <c r="Q1385" i="3" l="1"/>
  <c r="T1385" i="3"/>
  <c r="S1385" i="3" s="1"/>
  <c r="AC1385" i="3" s="1"/>
  <c r="C1385" i="3"/>
  <c r="E1386" i="3"/>
  <c r="D1386" i="3"/>
  <c r="R1383" i="3"/>
  <c r="W1383" i="3" s="1"/>
  <c r="H1384" i="3"/>
  <c r="B1385" i="3"/>
  <c r="Q1386" i="3" l="1"/>
  <c r="T1386" i="3"/>
  <c r="S1386" i="3" s="1"/>
  <c r="AC1386" i="3" s="1"/>
  <c r="C1386" i="3"/>
  <c r="B1386" i="3" s="1"/>
  <c r="D1387" i="3"/>
  <c r="R1384" i="3"/>
  <c r="W1384" i="3" s="1"/>
  <c r="H1385" i="3"/>
  <c r="C1387" i="3" l="1"/>
  <c r="T1387" i="3"/>
  <c r="S1387" i="3" s="1"/>
  <c r="AC1387" i="3" s="1"/>
  <c r="Q1387" i="3"/>
  <c r="E1388" i="3"/>
  <c r="D1388" i="3"/>
  <c r="R1385" i="3"/>
  <c r="W1385" i="3" s="1"/>
  <c r="H1386" i="3"/>
  <c r="B1387" i="3"/>
  <c r="T1388" i="3" l="1"/>
  <c r="S1388" i="3" s="1"/>
  <c r="AC1388" i="3" s="1"/>
  <c r="Q1388" i="3"/>
  <c r="C1388" i="3"/>
  <c r="B1388" i="3" s="1"/>
  <c r="D1389" i="3"/>
  <c r="R1386" i="3"/>
  <c r="W1386" i="3" s="1"/>
  <c r="H1387" i="3"/>
  <c r="Q1389" i="3" l="1"/>
  <c r="T1389" i="3"/>
  <c r="S1389" i="3" s="1"/>
  <c r="AC1389" i="3" s="1"/>
  <c r="C1389" i="3"/>
  <c r="B1389" i="3" s="1"/>
  <c r="R1387" i="3"/>
  <c r="W1387" i="3" s="1"/>
  <c r="H1388" i="3"/>
  <c r="E1390" i="3"/>
  <c r="D1390" i="3"/>
  <c r="C1390" i="3" l="1"/>
  <c r="R1388" i="3"/>
  <c r="W1388" i="3" s="1"/>
  <c r="H1389" i="3"/>
  <c r="E1391" i="3"/>
  <c r="D1391" i="3"/>
  <c r="S1390" i="3"/>
  <c r="AC1390" i="3" s="1"/>
  <c r="C1391" i="3" l="1"/>
  <c r="S1391" i="3"/>
  <c r="AC1391" i="3" s="1"/>
  <c r="E1392" i="3"/>
  <c r="D1392" i="3"/>
  <c r="B1390" i="3"/>
  <c r="B1391" i="3" s="1"/>
  <c r="R1389" i="3"/>
  <c r="W1389" i="3" s="1"/>
  <c r="H1390" i="3"/>
  <c r="C1392" i="3" l="1"/>
  <c r="B1392" i="3" s="1"/>
  <c r="S1392" i="3"/>
  <c r="AC1392" i="3" s="1"/>
  <c r="E1393" i="3"/>
  <c r="D1393" i="3"/>
  <c r="R1390" i="3"/>
  <c r="W1390" i="3" s="1"/>
  <c r="H1391" i="3"/>
  <c r="C1393" i="3" l="1"/>
  <c r="S1393" i="3"/>
  <c r="AC1393" i="3" s="1"/>
  <c r="D1394" i="3"/>
  <c r="E1394" i="3"/>
  <c r="R1391" i="3"/>
  <c r="W1391" i="3" s="1"/>
  <c r="H1392" i="3"/>
  <c r="B1393" i="3"/>
  <c r="Q1394" i="3" l="1"/>
  <c r="T1394" i="3"/>
  <c r="S1394" i="3" s="1"/>
  <c r="AC1394" i="3" s="1"/>
  <c r="C1394" i="3"/>
  <c r="B1394" i="3" s="1"/>
  <c r="E1395" i="3"/>
  <c r="D1395" i="3"/>
  <c r="R1392" i="3"/>
  <c r="W1392" i="3" s="1"/>
  <c r="H1393" i="3"/>
  <c r="C1395" i="3" l="1"/>
  <c r="R1393" i="3"/>
  <c r="W1393" i="3" s="1"/>
  <c r="H1394" i="3"/>
  <c r="S1395" i="3"/>
  <c r="AC1395" i="3" s="1"/>
  <c r="E1396" i="3"/>
  <c r="D1396" i="3"/>
  <c r="Q1396" i="3" l="1"/>
  <c r="T1396" i="3"/>
  <c r="S1396" i="3" s="1"/>
  <c r="AC1396" i="3" s="1"/>
  <c r="C1396" i="3"/>
  <c r="R1394" i="3"/>
  <c r="W1394" i="3" s="1"/>
  <c r="H1395" i="3"/>
  <c r="E1397" i="3"/>
  <c r="D1397" i="3"/>
  <c r="B1395" i="3"/>
  <c r="Q1397" i="3" l="1"/>
  <c r="T1397" i="3"/>
  <c r="S1397" i="3" s="1"/>
  <c r="AC1397" i="3" s="1"/>
  <c r="C1397" i="3"/>
  <c r="R1395" i="3"/>
  <c r="W1395" i="3" s="1"/>
  <c r="H1396" i="3"/>
  <c r="E1398" i="3"/>
  <c r="D1398" i="3"/>
  <c r="B1396" i="3"/>
  <c r="T1398" i="3" l="1"/>
  <c r="S1398" i="3" s="1"/>
  <c r="AC1398" i="3" s="1"/>
  <c r="Q1398" i="3"/>
  <c r="C1398" i="3"/>
  <c r="R1396" i="3"/>
  <c r="W1396" i="3" s="1"/>
  <c r="H1397" i="3"/>
  <c r="E1399" i="3"/>
  <c r="D1399" i="3"/>
  <c r="B1397" i="3"/>
  <c r="C1399" i="3" l="1"/>
  <c r="S1399" i="3"/>
  <c r="AC1399" i="3" s="1"/>
  <c r="E1400" i="3"/>
  <c r="D1400" i="3"/>
  <c r="R1397" i="3"/>
  <c r="W1397" i="3" s="1"/>
  <c r="H1398" i="3"/>
  <c r="B1398" i="3"/>
  <c r="B1399" i="3" s="1"/>
  <c r="C1400" i="3" l="1"/>
  <c r="E1401" i="3"/>
  <c r="D1401" i="3"/>
  <c r="S1400" i="3"/>
  <c r="AC1400" i="3" s="1"/>
  <c r="R1398" i="3"/>
  <c r="W1398" i="3" s="1"/>
  <c r="H1399" i="3"/>
  <c r="B1400" i="3"/>
  <c r="C1401" i="3" l="1"/>
  <c r="Q1401" i="3"/>
  <c r="T1401" i="3"/>
  <c r="S1401" i="3" s="1"/>
  <c r="R1399" i="3"/>
  <c r="W1399" i="3" s="1"/>
  <c r="H1400" i="3"/>
  <c r="D1402" i="3"/>
  <c r="AL1401" i="3" l="1"/>
  <c r="AC1401" i="3" s="1"/>
  <c r="C1402" i="3"/>
  <c r="Q1402" i="3"/>
  <c r="T1402" i="3"/>
  <c r="S1402" i="3" s="1"/>
  <c r="AC1402" i="3" s="1"/>
  <c r="R1400" i="3"/>
  <c r="W1400" i="3" s="1"/>
  <c r="H1401" i="3"/>
  <c r="E1403" i="3"/>
  <c r="D1403" i="3"/>
  <c r="B1401" i="3"/>
  <c r="C1403" i="3" l="1"/>
  <c r="S1403" i="3"/>
  <c r="AC1403" i="3" s="1"/>
  <c r="B1402" i="3"/>
  <c r="E1404" i="3"/>
  <c r="D1404" i="3"/>
  <c r="R1401" i="3"/>
  <c r="W1401" i="3" s="1"/>
  <c r="H1402" i="3"/>
  <c r="C1404" i="3" l="1"/>
  <c r="R1402" i="3"/>
  <c r="W1402" i="3" s="1"/>
  <c r="H1403" i="3"/>
  <c r="S1404" i="3"/>
  <c r="AC1404" i="3" s="1"/>
  <c r="E1405" i="3"/>
  <c r="D1405" i="3"/>
  <c r="B1403" i="3"/>
  <c r="C1405" i="3" l="1"/>
  <c r="E1406" i="3"/>
  <c r="D1406" i="3"/>
  <c r="S1405" i="3"/>
  <c r="AC1405" i="3" s="1"/>
  <c r="B1404" i="3"/>
  <c r="R1403" i="3"/>
  <c r="W1403" i="3" s="1"/>
  <c r="H1404" i="3"/>
  <c r="C1406" i="3" l="1"/>
  <c r="Q1406" i="3"/>
  <c r="B1405" i="3"/>
  <c r="R1404" i="3"/>
  <c r="W1404" i="3" s="1"/>
  <c r="H1405" i="3"/>
  <c r="S1406" i="3"/>
  <c r="AC1406" i="3" s="1"/>
  <c r="E1407" i="3"/>
  <c r="D1407" i="3"/>
  <c r="C1407" i="3" l="1"/>
  <c r="R1405" i="3"/>
  <c r="W1405" i="3" s="1"/>
  <c r="H1406" i="3"/>
  <c r="S1407" i="3"/>
  <c r="AC1407" i="3" s="1"/>
  <c r="E1408" i="3"/>
  <c r="D1408" i="3"/>
  <c r="B1406" i="3"/>
  <c r="Q1408" i="3" l="1"/>
  <c r="T1408" i="3"/>
  <c r="S1408" i="3" s="1"/>
  <c r="C1408" i="3"/>
  <c r="R1406" i="3"/>
  <c r="W1406" i="3" s="1"/>
  <c r="H1407" i="3"/>
  <c r="B1407" i="3"/>
  <c r="AH1408" i="3" l="1"/>
  <c r="AC1408" i="3" s="1"/>
  <c r="C1409" i="3"/>
  <c r="S1409" i="3"/>
  <c r="AC1409" i="3" s="1"/>
  <c r="R1407" i="3"/>
  <c r="W1407" i="3" s="1"/>
  <c r="H1408" i="3"/>
  <c r="B1408" i="3"/>
  <c r="B1409" i="3" s="1"/>
  <c r="C1410" i="3" l="1"/>
  <c r="B1410" i="3" s="1"/>
  <c r="S1410" i="3"/>
  <c r="E1411" i="3"/>
  <c r="D1411" i="3"/>
  <c r="R1408" i="3"/>
  <c r="W1408" i="3" s="1"/>
  <c r="H1409" i="3"/>
  <c r="AL1410" i="3" l="1"/>
  <c r="AC1410" i="3" s="1"/>
  <c r="T1411" i="3"/>
  <c r="S1411" i="3" s="1"/>
  <c r="AC1411" i="3" s="1"/>
  <c r="Q1411" i="3"/>
  <c r="C1411" i="3"/>
  <c r="B1411" i="3" s="1"/>
  <c r="R1409" i="3"/>
  <c r="W1409" i="3" s="1"/>
  <c r="H1410" i="3"/>
  <c r="D1412" i="3"/>
  <c r="C1412" i="3" l="1"/>
  <c r="B1412" i="3" s="1"/>
  <c r="Q1412" i="3"/>
  <c r="T1412" i="3"/>
  <c r="S1412" i="3" s="1"/>
  <c r="R1410" i="3"/>
  <c r="W1410" i="3" s="1"/>
  <c r="H1411" i="3"/>
  <c r="D1413" i="3"/>
  <c r="C1413" i="3" l="1"/>
  <c r="AH1412" i="3"/>
  <c r="AC1412" i="3" s="1"/>
  <c r="E1414" i="3"/>
  <c r="D1414" i="3"/>
  <c r="S1413" i="3"/>
  <c r="AC1413" i="3" s="1"/>
  <c r="R1411" i="3"/>
  <c r="W1411" i="3" s="1"/>
  <c r="H1412" i="3"/>
  <c r="C1414" i="3" l="1"/>
  <c r="T1414" i="3"/>
  <c r="S1414" i="3" s="1"/>
  <c r="AC1414" i="3" s="1"/>
  <c r="Q1414" i="3"/>
  <c r="R1412" i="3"/>
  <c r="W1412" i="3" s="1"/>
  <c r="B1413" i="3"/>
  <c r="H1413" i="3" s="1"/>
  <c r="E1415" i="3"/>
  <c r="D1415" i="3"/>
  <c r="C1415" i="3" l="1"/>
  <c r="E1416" i="3"/>
  <c r="D1416" i="3"/>
  <c r="S1415" i="3"/>
  <c r="AC1415" i="3" s="1"/>
  <c r="R1413" i="3"/>
  <c r="W1413" i="3" s="1"/>
  <c r="B1414" i="3"/>
  <c r="H1414" i="3" s="1"/>
  <c r="T1416" i="3" l="1"/>
  <c r="S1416" i="3" s="1"/>
  <c r="AC1416" i="3" s="1"/>
  <c r="Q1416" i="3"/>
  <c r="C1416" i="3"/>
  <c r="R1414" i="3"/>
  <c r="W1414" i="3" s="1"/>
  <c r="H1415" i="3"/>
  <c r="E1417" i="3"/>
  <c r="D1417" i="3"/>
  <c r="B1415" i="3"/>
  <c r="T1417" i="3" l="1"/>
  <c r="S1417" i="3" s="1"/>
  <c r="AC1417" i="3" s="1"/>
  <c r="Q1417" i="3"/>
  <c r="C1417" i="3"/>
  <c r="D1418" i="3"/>
  <c r="R1415" i="3"/>
  <c r="W1415" i="3" s="1"/>
  <c r="H1416" i="3"/>
  <c r="B1416" i="3"/>
  <c r="Q1418" i="3" l="1"/>
  <c r="T1418" i="3"/>
  <c r="S1418" i="3" s="1"/>
  <c r="C1418" i="3"/>
  <c r="R1416" i="3"/>
  <c r="W1416" i="3" s="1"/>
  <c r="H1417" i="3"/>
  <c r="B1417" i="3"/>
  <c r="D1419" i="3"/>
  <c r="AL1418" i="3" l="1"/>
  <c r="AC1418" i="3" s="1"/>
  <c r="Q1419" i="3"/>
  <c r="T1419" i="3"/>
  <c r="S1419" i="3" s="1"/>
  <c r="AC1419" i="3" s="1"/>
  <c r="C1419" i="3"/>
  <c r="E1420" i="3"/>
  <c r="D1420" i="3"/>
  <c r="R1417" i="3"/>
  <c r="W1417" i="3" s="1"/>
  <c r="H1418" i="3"/>
  <c r="B1418" i="3"/>
  <c r="Q1420" i="3" l="1"/>
  <c r="T1420" i="3"/>
  <c r="S1420" i="3" s="1"/>
  <c r="AC1420" i="3" s="1"/>
  <c r="C1420" i="3"/>
  <c r="R1418" i="3"/>
  <c r="W1418" i="3" s="1"/>
  <c r="H1419" i="3"/>
  <c r="E1421" i="3"/>
  <c r="D1421" i="3"/>
  <c r="B1419" i="3"/>
  <c r="C1421" i="3" l="1"/>
  <c r="R1419" i="3"/>
  <c r="W1419" i="3" s="1"/>
  <c r="H1420" i="3"/>
  <c r="S1421" i="3"/>
  <c r="AC1421" i="3" s="1"/>
  <c r="E1422" i="3"/>
  <c r="D1422" i="3"/>
  <c r="B1420" i="3"/>
  <c r="T1422" i="3" l="1"/>
  <c r="S1422" i="3" s="1"/>
  <c r="AC1422" i="3" s="1"/>
  <c r="Q1422" i="3"/>
  <c r="C1422" i="3"/>
  <c r="R1420" i="3"/>
  <c r="W1420" i="3" s="1"/>
  <c r="H1421" i="3"/>
  <c r="E1423" i="3"/>
  <c r="D1423" i="3"/>
  <c r="B1421" i="3"/>
  <c r="B1422" i="3" l="1"/>
  <c r="C1423" i="3"/>
  <c r="S1423" i="3"/>
  <c r="AC1423" i="3" s="1"/>
  <c r="R1421" i="3"/>
  <c r="W1421" i="3" s="1"/>
  <c r="H1422" i="3"/>
  <c r="E1424" i="3"/>
  <c r="D1424" i="3"/>
  <c r="C1424" i="3" l="1"/>
  <c r="Q1424" i="3"/>
  <c r="T1424" i="3"/>
  <c r="S1424" i="3" s="1"/>
  <c r="AC1424" i="3" s="1"/>
  <c r="D1425" i="3"/>
  <c r="R1422" i="3"/>
  <c r="W1422" i="3" s="1"/>
  <c r="H1423" i="3"/>
  <c r="B1423" i="3"/>
  <c r="T1425" i="3" l="1"/>
  <c r="S1425" i="3" s="1"/>
  <c r="Q1425" i="3"/>
  <c r="C1425" i="3"/>
  <c r="R1423" i="3"/>
  <c r="W1423" i="3" s="1"/>
  <c r="H1424" i="3"/>
  <c r="B1424" i="3"/>
  <c r="D1426" i="3"/>
  <c r="AL1425" i="3" l="1"/>
  <c r="AC1425" i="3" s="1"/>
  <c r="T1426" i="3"/>
  <c r="S1426" i="3" s="1"/>
  <c r="AC1426" i="3" s="1"/>
  <c r="Q1426" i="3"/>
  <c r="C1426" i="3"/>
  <c r="D1427" i="3"/>
  <c r="R1424" i="3"/>
  <c r="W1424" i="3" s="1"/>
  <c r="H1425" i="3"/>
  <c r="B1425" i="3"/>
  <c r="T1427" i="3" l="1"/>
  <c r="S1427" i="3" s="1"/>
  <c r="AC1427" i="3" s="1"/>
  <c r="Q1427" i="3"/>
  <c r="C1427" i="3"/>
  <c r="R1425" i="3"/>
  <c r="W1425" i="3" s="1"/>
  <c r="H1426" i="3"/>
  <c r="B1426" i="3"/>
  <c r="E1428" i="3"/>
  <c r="D1428" i="3"/>
  <c r="T1428" i="3" l="1"/>
  <c r="S1428" i="3" s="1"/>
  <c r="AC1428" i="3" s="1"/>
  <c r="Q1428" i="3"/>
  <c r="C1428" i="3"/>
  <c r="E1429" i="3"/>
  <c r="D1429" i="3"/>
  <c r="R1426" i="3"/>
  <c r="W1426" i="3" s="1"/>
  <c r="H1427" i="3"/>
  <c r="B1427" i="3"/>
  <c r="T1429" i="3" l="1"/>
  <c r="S1429" i="3" s="1"/>
  <c r="AC1429" i="3" s="1"/>
  <c r="Q1429" i="3"/>
  <c r="C1429" i="3"/>
  <c r="R1427" i="3"/>
  <c r="W1427" i="3" s="1"/>
  <c r="E1430" i="3"/>
  <c r="D1430" i="3"/>
  <c r="B1428" i="3"/>
  <c r="H1428" i="3" s="1"/>
  <c r="T1430" i="3" l="1"/>
  <c r="S1430" i="3" s="1"/>
  <c r="AC1430" i="3" s="1"/>
  <c r="Q1430" i="3"/>
  <c r="C1430" i="3"/>
  <c r="R1428" i="3"/>
  <c r="W1428" i="3" s="1"/>
  <c r="H1429" i="3"/>
  <c r="D1431" i="3"/>
  <c r="B1429" i="3"/>
  <c r="C1431" i="3" l="1"/>
  <c r="T1431" i="3"/>
  <c r="S1431" i="3" s="1"/>
  <c r="AC1431" i="3" s="1"/>
  <c r="Q1431" i="3"/>
  <c r="D1432" i="3"/>
  <c r="R1429" i="3"/>
  <c r="W1429" i="3" s="1"/>
  <c r="H1430" i="3"/>
  <c r="B1430" i="3"/>
  <c r="B1431" i="3" l="1"/>
  <c r="T1432" i="3"/>
  <c r="S1432" i="3" s="1"/>
  <c r="AC1432" i="3" s="1"/>
  <c r="Q1432" i="3"/>
  <c r="C1432" i="3"/>
  <c r="B1432" i="3" s="1"/>
  <c r="R1430" i="3"/>
  <c r="W1430" i="3" s="1"/>
  <c r="H1431" i="3"/>
  <c r="E1433" i="3"/>
  <c r="D1433" i="3"/>
  <c r="Q1433" i="3" l="1"/>
  <c r="T1433" i="3"/>
  <c r="S1433" i="3" s="1"/>
  <c r="AC1433" i="3" s="1"/>
  <c r="C1433" i="3"/>
  <c r="D1434" i="3"/>
  <c r="R1431" i="3"/>
  <c r="W1431" i="3" s="1"/>
  <c r="H1432" i="3"/>
  <c r="Q1434" i="3" l="1"/>
  <c r="T1434" i="3"/>
  <c r="S1434" i="3" s="1"/>
  <c r="AC1434" i="3" s="1"/>
  <c r="C1434" i="3"/>
  <c r="R1432" i="3"/>
  <c r="W1432" i="3" s="1"/>
  <c r="H1433" i="3"/>
  <c r="B1433" i="3"/>
  <c r="D1435" i="3"/>
  <c r="Q1435" i="3" l="1"/>
  <c r="T1435" i="3"/>
  <c r="S1435" i="3" s="1"/>
  <c r="C1435" i="3"/>
  <c r="E1436" i="3"/>
  <c r="D1436" i="3"/>
  <c r="R1433" i="3"/>
  <c r="W1433" i="3" s="1"/>
  <c r="H1434" i="3"/>
  <c r="B1434" i="3"/>
  <c r="AH1435" i="3" l="1"/>
  <c r="AC1435" i="3" s="1"/>
  <c r="T1436" i="3"/>
  <c r="S1436" i="3" s="1"/>
  <c r="AC1436" i="3" s="1"/>
  <c r="Q1436" i="3"/>
  <c r="C1436" i="3"/>
  <c r="R1434" i="3"/>
  <c r="W1434" i="3" s="1"/>
  <c r="H1435" i="3"/>
  <c r="E1437" i="3"/>
  <c r="D1437" i="3"/>
  <c r="B1435" i="3"/>
  <c r="T1437" i="3" l="1"/>
  <c r="S1437" i="3" s="1"/>
  <c r="Q1437" i="3"/>
  <c r="C1437" i="3"/>
  <c r="R1435" i="3"/>
  <c r="W1435" i="3" s="1"/>
  <c r="H1436" i="3"/>
  <c r="E1438" i="3"/>
  <c r="D1438" i="3"/>
  <c r="B1436" i="3"/>
  <c r="T1438" i="3" l="1"/>
  <c r="S1438" i="3" s="1"/>
  <c r="AC1438" i="3" s="1"/>
  <c r="Q1438" i="3"/>
  <c r="AH1437" i="3"/>
  <c r="AC1437" i="3" s="1"/>
  <c r="C1438" i="3"/>
  <c r="R1436" i="3"/>
  <c r="W1436" i="3" s="1"/>
  <c r="H1437" i="3"/>
  <c r="E1439" i="3"/>
  <c r="D1439" i="3"/>
  <c r="B1437" i="3"/>
  <c r="C1439" i="3" l="1"/>
  <c r="R1437" i="3"/>
  <c r="W1437" i="3" s="1"/>
  <c r="H1438" i="3"/>
  <c r="S1439" i="3"/>
  <c r="AC1439" i="3" s="1"/>
  <c r="E1440" i="3"/>
  <c r="D1440" i="3"/>
  <c r="B1438" i="3"/>
  <c r="T1440" i="3" l="1"/>
  <c r="S1440" i="3" s="1"/>
  <c r="Q1440" i="3"/>
  <c r="C1440" i="3"/>
  <c r="R1438" i="3"/>
  <c r="W1438" i="3" s="1"/>
  <c r="H1439" i="3"/>
  <c r="E1441" i="3"/>
  <c r="D1441" i="3"/>
  <c r="B1439" i="3"/>
  <c r="AL1440" i="3" l="1"/>
  <c r="AC1440" i="3" s="1"/>
  <c r="Q1441" i="3"/>
  <c r="T1441" i="3"/>
  <c r="S1441" i="3" s="1"/>
  <c r="AC1441" i="3" s="1"/>
  <c r="C1441" i="3"/>
  <c r="R1439" i="3"/>
  <c r="W1439" i="3" s="1"/>
  <c r="H1440" i="3"/>
  <c r="D1442" i="3"/>
  <c r="B1440" i="3"/>
  <c r="C1442" i="3" l="1"/>
  <c r="Q1442" i="3"/>
  <c r="T1442" i="3"/>
  <c r="S1442" i="3" s="1"/>
  <c r="AC1442" i="3" s="1"/>
  <c r="B1441" i="3"/>
  <c r="E1443" i="3"/>
  <c r="D1443" i="3"/>
  <c r="R1440" i="3"/>
  <c r="W1440" i="3" s="1"/>
  <c r="H1441" i="3"/>
  <c r="C1443" i="3" l="1"/>
  <c r="E1444" i="3"/>
  <c r="D1444" i="3"/>
  <c r="R1441" i="3"/>
  <c r="W1441" i="3" s="1"/>
  <c r="H1442" i="3"/>
  <c r="S1443" i="3"/>
  <c r="AC1443" i="3" s="1"/>
  <c r="B1442" i="3"/>
  <c r="D1445" i="3" l="1"/>
  <c r="E1445" i="3"/>
  <c r="C1444" i="3"/>
  <c r="Q1444" i="3"/>
  <c r="T1444" i="3"/>
  <c r="S1444" i="3" s="1"/>
  <c r="AC1444" i="3" s="1"/>
  <c r="B1443" i="3"/>
  <c r="R1442" i="3"/>
  <c r="W1442" i="3" s="1"/>
  <c r="H1443" i="3"/>
  <c r="E1446" i="3"/>
  <c r="D1446" i="3"/>
  <c r="C1445" i="3" l="1"/>
  <c r="Q1445" i="3"/>
  <c r="T1445" i="3"/>
  <c r="Q1446" i="3"/>
  <c r="T1446" i="3"/>
  <c r="S1446" i="3" s="1"/>
  <c r="AC1446" i="3" s="1"/>
  <c r="D1447" i="3"/>
  <c r="C1446" i="3"/>
  <c r="R1443" i="3"/>
  <c r="W1443" i="3" s="1"/>
  <c r="H1444" i="3"/>
  <c r="H1445" i="3" s="1"/>
  <c r="B1444" i="3"/>
  <c r="B1445" i="3" l="1"/>
  <c r="R1445" i="3"/>
  <c r="W1445" i="3" s="1"/>
  <c r="S1445" i="3"/>
  <c r="AC1445" i="3" s="1"/>
  <c r="Q1447" i="3"/>
  <c r="T1447" i="3"/>
  <c r="S1447" i="3" s="1"/>
  <c r="D1448" i="3"/>
  <c r="E1448" i="3"/>
  <c r="C1447" i="3"/>
  <c r="R1444" i="3"/>
  <c r="W1444" i="3" s="1"/>
  <c r="H1446" i="3"/>
  <c r="H1447" i="3" s="1"/>
  <c r="B1446" i="3"/>
  <c r="T1448" i="3" l="1"/>
  <c r="S1448" i="3" s="1"/>
  <c r="AC1448" i="3" s="1"/>
  <c r="Q1448" i="3"/>
  <c r="AH1447" i="3"/>
  <c r="AC1447" i="3" s="1"/>
  <c r="D1449" i="3"/>
  <c r="B1447" i="3"/>
  <c r="C1448" i="3"/>
  <c r="H1448" i="3"/>
  <c r="R1447" i="3"/>
  <c r="W1447" i="3" s="1"/>
  <c r="R1446" i="3"/>
  <c r="W1446" i="3" s="1"/>
  <c r="B1448" i="3" l="1"/>
  <c r="T1449" i="3"/>
  <c r="S1449" i="3" s="1"/>
  <c r="AC1449" i="3" s="1"/>
  <c r="Q1449" i="3"/>
  <c r="E1450" i="3"/>
  <c r="D1450" i="3"/>
  <c r="C1449" i="3"/>
  <c r="R1448" i="3"/>
  <c r="W1448" i="3" s="1"/>
  <c r="H1449" i="3"/>
  <c r="C1450" i="3" l="1"/>
  <c r="S1450" i="3"/>
  <c r="AC1450" i="3" s="1"/>
  <c r="D1451" i="3"/>
  <c r="E1451" i="3"/>
  <c r="B1449" i="3"/>
  <c r="R1449" i="3"/>
  <c r="W1449" i="3" s="1"/>
  <c r="H1450" i="3"/>
  <c r="T1451" i="3" l="1"/>
  <c r="S1451" i="3" s="1"/>
  <c r="AC1451" i="3" s="1"/>
  <c r="Q1451" i="3"/>
  <c r="D1452" i="3"/>
  <c r="E1452" i="3"/>
  <c r="C1451" i="3"/>
  <c r="B1450" i="3"/>
  <c r="R1450" i="3"/>
  <c r="W1450" i="3" s="1"/>
  <c r="H1451" i="3"/>
  <c r="B1451" i="3" l="1"/>
  <c r="D1453" i="3"/>
  <c r="E1453" i="3"/>
  <c r="C1452" i="3"/>
  <c r="S1452" i="3"/>
  <c r="AC1452" i="3" s="1"/>
  <c r="R1451" i="3"/>
  <c r="W1451" i="3" s="1"/>
  <c r="H1452" i="3"/>
  <c r="Q1453" i="3" l="1"/>
  <c r="T1453" i="3"/>
  <c r="S1453" i="3" s="1"/>
  <c r="D1454" i="3"/>
  <c r="B1452" i="3"/>
  <c r="C1453" i="3"/>
  <c r="R1452" i="3"/>
  <c r="W1452" i="3" s="1"/>
  <c r="H1453" i="3"/>
  <c r="AL1453" i="3" l="1"/>
  <c r="AC1453" i="3" s="1"/>
  <c r="Q1454" i="3"/>
  <c r="T1454" i="3"/>
  <c r="S1454" i="3" s="1"/>
  <c r="AC1454" i="3" s="1"/>
  <c r="C1454" i="3"/>
  <c r="B1453" i="3"/>
  <c r="D1455" i="3"/>
  <c r="R1453" i="3"/>
  <c r="W1453" i="3" s="1"/>
  <c r="H1454" i="3"/>
  <c r="T1455" i="3" l="1"/>
  <c r="S1455" i="3" s="1"/>
  <c r="AC1455" i="3" s="1"/>
  <c r="Q1455" i="3"/>
  <c r="C1455" i="3"/>
  <c r="D1456" i="3"/>
  <c r="E1456" i="3"/>
  <c r="B1454" i="3"/>
  <c r="R1454" i="3"/>
  <c r="W1454" i="3" s="1"/>
  <c r="H1455" i="3"/>
  <c r="B1455" i="3" l="1"/>
  <c r="D1457" i="3"/>
  <c r="E1457" i="3"/>
  <c r="C1456" i="3"/>
  <c r="B1456" i="3" s="1"/>
  <c r="S1456" i="3"/>
  <c r="AC1456" i="3" s="1"/>
  <c r="R1455" i="3"/>
  <c r="W1455" i="3" s="1"/>
  <c r="H1456" i="3"/>
  <c r="T1457" i="3" l="1"/>
  <c r="S1457" i="3" s="1"/>
  <c r="AC1457" i="3" s="1"/>
  <c r="Q1457" i="3"/>
  <c r="E1458" i="3"/>
  <c r="D1458" i="3"/>
  <c r="C1457" i="3"/>
  <c r="R1456" i="3"/>
  <c r="W1456" i="3" s="1"/>
  <c r="H1457" i="3"/>
  <c r="Q1458" i="3" l="1"/>
  <c r="T1458" i="3"/>
  <c r="S1458" i="3" s="1"/>
  <c r="AC1458" i="3" s="1"/>
  <c r="E1459" i="3"/>
  <c r="D1459" i="3"/>
  <c r="C1458" i="3"/>
  <c r="B1457" i="3"/>
  <c r="R1457" i="3"/>
  <c r="W1457" i="3" s="1"/>
  <c r="H1458" i="3"/>
  <c r="Q1459" i="3" l="1"/>
  <c r="T1459" i="3"/>
  <c r="S1459" i="3" s="1"/>
  <c r="C1459" i="3"/>
  <c r="D1460" i="3"/>
  <c r="B1458" i="3"/>
  <c r="R1458" i="3"/>
  <c r="W1458" i="3" s="1"/>
  <c r="H1459" i="3"/>
  <c r="B1459" i="3" l="1"/>
  <c r="AL1459" i="3"/>
  <c r="AC1459" i="3" s="1"/>
  <c r="Q1460" i="3"/>
  <c r="T1460" i="3"/>
  <c r="S1460" i="3" s="1"/>
  <c r="AC1460" i="3" s="1"/>
  <c r="C1460" i="3"/>
  <c r="B1460" i="3" s="1"/>
  <c r="D1461" i="3"/>
  <c r="R1459" i="3"/>
  <c r="W1459" i="3" s="1"/>
  <c r="H1460" i="3"/>
  <c r="T1461" i="3" l="1"/>
  <c r="S1461" i="3" s="1"/>
  <c r="AC1461" i="3" s="1"/>
  <c r="Q1461" i="3"/>
  <c r="C1461" i="3"/>
  <c r="B1461" i="3" s="1"/>
  <c r="E1462" i="3"/>
  <c r="D1462" i="3"/>
  <c r="R1460" i="3"/>
  <c r="W1460" i="3" s="1"/>
  <c r="H1461" i="3"/>
  <c r="T1462" i="3" l="1"/>
  <c r="S1462" i="3" s="1"/>
  <c r="Q1462" i="3"/>
  <c r="C1462" i="3"/>
  <c r="B1462" i="3" s="1"/>
  <c r="D1463" i="3"/>
  <c r="R1461" i="3"/>
  <c r="W1461" i="3" s="1"/>
  <c r="H1462" i="3"/>
  <c r="AL1462" i="3" l="1"/>
  <c r="AC1462" i="3" s="1"/>
  <c r="Q1463" i="3"/>
  <c r="T1463" i="3"/>
  <c r="S1463" i="3" s="1"/>
  <c r="AC1463" i="3" s="1"/>
  <c r="D1464" i="3"/>
  <c r="E1464" i="3"/>
  <c r="C1463" i="3"/>
  <c r="B1463" i="3" s="1"/>
  <c r="R1462" i="3"/>
  <c r="W1462" i="3" s="1"/>
  <c r="H1463" i="3"/>
  <c r="T1464" i="3" l="1"/>
  <c r="S1464" i="3" s="1"/>
  <c r="AC1464" i="3" s="1"/>
  <c r="Q1464" i="3"/>
  <c r="D1465" i="3"/>
  <c r="C1464" i="3"/>
  <c r="R1463" i="3"/>
  <c r="W1463" i="3" s="1"/>
  <c r="H1464" i="3"/>
  <c r="Q1465" i="3" l="1"/>
  <c r="T1465" i="3"/>
  <c r="S1465" i="3" s="1"/>
  <c r="AC1465" i="3" s="1"/>
  <c r="E1466" i="3"/>
  <c r="D1466" i="3"/>
  <c r="B1464" i="3"/>
  <c r="C1465" i="3"/>
  <c r="R1464" i="3"/>
  <c r="W1464" i="3" s="1"/>
  <c r="H1465" i="3"/>
  <c r="T1466" i="3" l="1"/>
  <c r="S1466" i="3" s="1"/>
  <c r="AC1466" i="3" s="1"/>
  <c r="Q1466" i="3"/>
  <c r="C1466" i="3"/>
  <c r="B1465" i="3"/>
  <c r="D1467" i="3"/>
  <c r="D1468" i="3" s="1"/>
  <c r="R1465" i="3"/>
  <c r="W1465" i="3" s="1"/>
  <c r="H1466" i="3"/>
  <c r="Q1468" i="3" l="1"/>
  <c r="T1468" i="3"/>
  <c r="T1467" i="3"/>
  <c r="S1467" i="3" s="1"/>
  <c r="Q1467" i="3"/>
  <c r="C1467" i="3"/>
  <c r="D1469" i="3"/>
  <c r="B1466" i="3"/>
  <c r="R1466" i="3"/>
  <c r="W1466" i="3" s="1"/>
  <c r="H1467" i="3"/>
  <c r="H1468" i="3" s="1"/>
  <c r="B1467" i="3" l="1"/>
  <c r="R1468" i="3"/>
  <c r="W1468" i="3" s="1"/>
  <c r="S1468" i="3"/>
  <c r="C1468" i="3"/>
  <c r="B1468" i="3" s="1"/>
  <c r="AL1467" i="3"/>
  <c r="AC1467" i="3" s="1"/>
  <c r="T1469" i="3"/>
  <c r="S1469" i="3" s="1"/>
  <c r="Q1469" i="3"/>
  <c r="D1470" i="3"/>
  <c r="D1471" i="3" s="1"/>
  <c r="C1469" i="3"/>
  <c r="B1469" i="3" s="1"/>
  <c r="R1467" i="3"/>
  <c r="W1467" i="3" s="1"/>
  <c r="H1469" i="3"/>
  <c r="AL1468" i="3" l="1"/>
  <c r="AC1468" i="3" s="1"/>
  <c r="Q1471" i="3"/>
  <c r="T1471" i="3"/>
  <c r="AC1469" i="3"/>
  <c r="Q1470" i="3"/>
  <c r="T1470" i="3"/>
  <c r="S1470" i="3" s="1"/>
  <c r="C1470" i="3"/>
  <c r="B1470" i="3" s="1"/>
  <c r="E1472" i="3"/>
  <c r="D1472" i="3"/>
  <c r="R1469" i="3"/>
  <c r="W1469" i="3" s="1"/>
  <c r="H1470" i="3"/>
  <c r="H1471" i="3" s="1"/>
  <c r="R1471" i="3" l="1"/>
  <c r="W1471" i="3" s="1"/>
  <c r="S1471" i="3"/>
  <c r="C1471" i="3"/>
  <c r="B1471" i="3" s="1"/>
  <c r="AL1470" i="3"/>
  <c r="AC1470" i="3" s="1"/>
  <c r="Q1472" i="3"/>
  <c r="T1472" i="3"/>
  <c r="S1472" i="3" s="1"/>
  <c r="AC1472" i="3" s="1"/>
  <c r="C1472" i="3"/>
  <c r="D1473" i="3"/>
  <c r="R1470" i="3"/>
  <c r="W1470" i="3" s="1"/>
  <c r="H1472" i="3"/>
  <c r="AL1471" i="3" l="1"/>
  <c r="AC1471" i="3" s="1"/>
  <c r="T1473" i="3"/>
  <c r="S1473" i="3" s="1"/>
  <c r="AC1473" i="3" s="1"/>
  <c r="Q1473" i="3"/>
  <c r="C1473" i="3"/>
  <c r="D1474" i="3"/>
  <c r="B1472" i="3"/>
  <c r="R1472" i="3"/>
  <c r="W1472" i="3" s="1"/>
  <c r="H1473" i="3"/>
  <c r="B1473" i="3" l="1"/>
  <c r="Q1474" i="3"/>
  <c r="T1474" i="3"/>
  <c r="S1474" i="3" s="1"/>
  <c r="D1475" i="3"/>
  <c r="C1474" i="3"/>
  <c r="B1474" i="3" s="1"/>
  <c r="R1473" i="3"/>
  <c r="W1473" i="3" s="1"/>
  <c r="H1474" i="3"/>
  <c r="Q1475" i="3" l="1"/>
  <c r="T1475" i="3"/>
  <c r="S1475" i="3" s="1"/>
  <c r="AC1475" i="3" s="1"/>
  <c r="AH1474" i="3"/>
  <c r="AC1474" i="3" s="1"/>
  <c r="C1475" i="3"/>
  <c r="D1476" i="3"/>
  <c r="R1474" i="3"/>
  <c r="W1474" i="3" s="1"/>
  <c r="H1475" i="3"/>
  <c r="Q1476" i="3" l="1"/>
  <c r="T1476" i="3"/>
  <c r="S1476" i="3" s="1"/>
  <c r="D1477" i="3"/>
  <c r="C1476" i="3"/>
  <c r="B1475" i="3"/>
  <c r="R1475" i="3"/>
  <c r="W1475" i="3" s="1"/>
  <c r="H1476" i="3"/>
  <c r="B1476" i="3" l="1"/>
  <c r="AL1476" i="3"/>
  <c r="AC1476" i="3" s="1"/>
  <c r="T1477" i="3"/>
  <c r="S1477" i="3" s="1"/>
  <c r="AC1477" i="3" s="1"/>
  <c r="Q1477" i="3"/>
  <c r="C1477" i="3"/>
  <c r="D1478" i="3"/>
  <c r="R1476" i="3"/>
  <c r="W1476" i="3" s="1"/>
  <c r="H1477" i="3"/>
  <c r="T1478" i="3" l="1"/>
  <c r="S1478" i="3" s="1"/>
  <c r="Q1478" i="3"/>
  <c r="D1479" i="3"/>
  <c r="C1478" i="3"/>
  <c r="B1477" i="3"/>
  <c r="R1477" i="3"/>
  <c r="W1477" i="3" s="1"/>
  <c r="H1478" i="3"/>
  <c r="B1478" i="3" l="1"/>
  <c r="AH1478" i="3"/>
  <c r="AC1478" i="3" s="1"/>
  <c r="Q1479" i="3"/>
  <c r="T1479" i="3"/>
  <c r="S1479" i="3" s="1"/>
  <c r="C1479" i="3"/>
  <c r="D1480" i="3"/>
  <c r="R1478" i="3"/>
  <c r="W1478" i="3" s="1"/>
  <c r="H1479" i="3"/>
  <c r="Q1480" i="3" l="1"/>
  <c r="T1480" i="3"/>
  <c r="S1480" i="3" s="1"/>
  <c r="AL1479" i="3"/>
  <c r="AC1479" i="3" s="1"/>
  <c r="C1480" i="3"/>
  <c r="D1481" i="3"/>
  <c r="B1479" i="3"/>
  <c r="R1479" i="3"/>
  <c r="W1479" i="3" s="1"/>
  <c r="H1480" i="3"/>
  <c r="B1480" i="3" l="1"/>
  <c r="AL1480" i="3"/>
  <c r="AC1480" i="3" s="1"/>
  <c r="T1481" i="3"/>
  <c r="S1481" i="3" s="1"/>
  <c r="AC1481" i="3" s="1"/>
  <c r="Q1481" i="3"/>
  <c r="C1481" i="3"/>
  <c r="B1481" i="3" s="1"/>
  <c r="D1482" i="3"/>
  <c r="R1480" i="3"/>
  <c r="W1480" i="3" s="1"/>
  <c r="H1481" i="3"/>
  <c r="T1482" i="3" l="1"/>
  <c r="S1482" i="3" s="1"/>
  <c r="AC1482" i="3" s="1"/>
  <c r="Q1482" i="3"/>
  <c r="E1483" i="3"/>
  <c r="D1483" i="3"/>
  <c r="C1482" i="3"/>
  <c r="B1482" i="3" s="1"/>
  <c r="R1481" i="3"/>
  <c r="W1481" i="3" s="1"/>
  <c r="H1482" i="3"/>
  <c r="T1483" i="3" l="1"/>
  <c r="S1483" i="3" s="1"/>
  <c r="Q1483" i="3"/>
  <c r="C1483" i="3"/>
  <c r="D1484" i="3"/>
  <c r="R1482" i="3"/>
  <c r="W1482" i="3" s="1"/>
  <c r="H1483" i="3"/>
  <c r="AL1483" i="3" l="1"/>
  <c r="AC1483" i="3" s="1"/>
  <c r="T1484" i="3"/>
  <c r="S1484" i="3" s="1"/>
  <c r="Q1484" i="3"/>
  <c r="C1484" i="3"/>
  <c r="D1485" i="3"/>
  <c r="B1483" i="3"/>
  <c r="R1483" i="3"/>
  <c r="W1483" i="3" s="1"/>
  <c r="H1484" i="3"/>
  <c r="B1484" i="3" l="1"/>
  <c r="Q1485" i="3"/>
  <c r="T1485" i="3"/>
  <c r="S1485" i="3" s="1"/>
  <c r="AC1485" i="3" s="1"/>
  <c r="AH1484" i="3"/>
  <c r="AC1484" i="3" s="1"/>
  <c r="D1486" i="3"/>
  <c r="E1486" i="3"/>
  <c r="C1485" i="3"/>
  <c r="B1485" i="3" s="1"/>
  <c r="R1484" i="3"/>
  <c r="W1484" i="3" s="1"/>
  <c r="H1485" i="3"/>
  <c r="Q1486" i="3" l="1"/>
  <c r="T1486" i="3"/>
  <c r="S1486" i="3" s="1"/>
  <c r="AC1486" i="3" s="1"/>
  <c r="D1487" i="3"/>
  <c r="C1486" i="3"/>
  <c r="R1485" i="3"/>
  <c r="W1485" i="3" s="1"/>
  <c r="H1486" i="3"/>
  <c r="Q1487" i="3" l="1"/>
  <c r="T1487" i="3"/>
  <c r="S1487" i="3" s="1"/>
  <c r="C1487" i="3"/>
  <c r="B1486" i="3"/>
  <c r="D1488" i="3"/>
  <c r="R1486" i="3"/>
  <c r="W1486" i="3" s="1"/>
  <c r="H1487" i="3"/>
  <c r="B1487" i="3" l="1"/>
  <c r="AL1487" i="3"/>
  <c r="AC1487" i="3" s="1"/>
  <c r="Q1488" i="3"/>
  <c r="T1488" i="3"/>
  <c r="S1488" i="3" s="1"/>
  <c r="AC1488" i="3" s="1"/>
  <c r="D1489" i="3"/>
  <c r="C1488" i="3"/>
  <c r="B1488" i="3" s="1"/>
  <c r="R1487" i="3"/>
  <c r="W1487" i="3" s="1"/>
  <c r="H1488" i="3"/>
  <c r="Q1489" i="3" l="1"/>
  <c r="T1489" i="3"/>
  <c r="S1489" i="3" s="1"/>
  <c r="AC1489" i="3" s="1"/>
  <c r="D1490" i="3"/>
  <c r="E1490" i="3"/>
  <c r="C1489" i="3"/>
  <c r="B1489" i="3" s="1"/>
  <c r="R1488" i="3"/>
  <c r="W1488" i="3" s="1"/>
  <c r="H1489" i="3"/>
  <c r="T1490" i="3" l="1"/>
  <c r="S1490" i="3" s="1"/>
  <c r="AC1490" i="3" s="1"/>
  <c r="Q1490" i="3"/>
  <c r="D1491" i="3"/>
  <c r="C1490" i="3"/>
  <c r="R1489" i="3"/>
  <c r="W1489" i="3" s="1"/>
  <c r="H1490" i="3"/>
  <c r="Q1491" i="3" l="1"/>
  <c r="T1491" i="3"/>
  <c r="S1491" i="3" s="1"/>
  <c r="AC1491" i="3" s="1"/>
  <c r="C1491" i="3"/>
  <c r="B1490" i="3"/>
  <c r="D1492" i="3"/>
  <c r="R1490" i="3"/>
  <c r="W1490" i="3" s="1"/>
  <c r="H1491" i="3"/>
  <c r="B1491" i="3" l="1"/>
  <c r="T1492" i="3"/>
  <c r="S1492" i="3" s="1"/>
  <c r="Q1492" i="3"/>
  <c r="C1492" i="3"/>
  <c r="B1492" i="3" s="1"/>
  <c r="D1493" i="3"/>
  <c r="R1491" i="3"/>
  <c r="W1491" i="3" s="1"/>
  <c r="H1492" i="3"/>
  <c r="AH1492" i="3" l="1"/>
  <c r="AC1492" i="3" s="1"/>
  <c r="T1493" i="3"/>
  <c r="S1493" i="3" s="1"/>
  <c r="AC1493" i="3" s="1"/>
  <c r="Q1493" i="3"/>
  <c r="C1493" i="3"/>
  <c r="B1493" i="3" s="1"/>
  <c r="D1494" i="3"/>
  <c r="E1494" i="3"/>
  <c r="R1492" i="3"/>
  <c r="W1492" i="3" s="1"/>
  <c r="H1493" i="3"/>
  <c r="Q1494" i="3" l="1"/>
  <c r="T1494" i="3"/>
  <c r="S1494" i="3" s="1"/>
  <c r="D1495" i="3"/>
  <c r="C1494" i="3"/>
  <c r="B1494" i="3" s="1"/>
  <c r="R1493" i="3"/>
  <c r="W1493" i="3" s="1"/>
  <c r="H1494" i="3"/>
  <c r="AL1494" i="3" l="1"/>
  <c r="AC1494" i="3" s="1"/>
  <c r="Q1495" i="3"/>
  <c r="T1495" i="3"/>
  <c r="S1495" i="3" s="1"/>
  <c r="C1495" i="3"/>
  <c r="B1495" i="3" s="1"/>
  <c r="D1496" i="3"/>
  <c r="R1494" i="3"/>
  <c r="W1494" i="3" s="1"/>
  <c r="H1495" i="3"/>
  <c r="AL1495" i="3" l="1"/>
  <c r="AC1495" i="3" s="1"/>
  <c r="T1496" i="3"/>
  <c r="S1496" i="3" s="1"/>
  <c r="Q1496" i="3"/>
  <c r="D1497" i="3"/>
  <c r="E1497" i="3"/>
  <c r="C1496" i="3"/>
  <c r="B1496" i="3" s="1"/>
  <c r="R1495" i="3"/>
  <c r="W1495" i="3" s="1"/>
  <c r="H1496" i="3"/>
  <c r="AL1496" i="3" l="1"/>
  <c r="AC1496" i="3" s="1"/>
  <c r="T1497" i="3"/>
  <c r="S1497" i="3" s="1"/>
  <c r="Q1497" i="3"/>
  <c r="D1498" i="3"/>
  <c r="E1498" i="3"/>
  <c r="C1497" i="3"/>
  <c r="R1496" i="3"/>
  <c r="W1496" i="3" s="1"/>
  <c r="H1497" i="3"/>
  <c r="Q1498" i="3" l="1"/>
  <c r="T1498" i="3"/>
  <c r="S1498" i="3" s="1"/>
  <c r="AC1497" i="3"/>
  <c r="E1499" i="3"/>
  <c r="D1499" i="3"/>
  <c r="B1497" i="3"/>
  <c r="C1498" i="3"/>
  <c r="R1497" i="3"/>
  <c r="W1497" i="3" s="1"/>
  <c r="H1498" i="3"/>
  <c r="AH1498" i="3" l="1"/>
  <c r="AC1498" i="3" s="1"/>
  <c r="Q1499" i="3"/>
  <c r="T1499" i="3"/>
  <c r="S1499" i="3" s="1"/>
  <c r="C1499" i="3"/>
  <c r="B1498" i="3"/>
  <c r="D1500" i="3"/>
  <c r="R1498" i="3"/>
  <c r="W1498" i="3" s="1"/>
  <c r="H1499" i="3"/>
  <c r="AL1499" i="3" l="1"/>
  <c r="AC1499" i="3" s="1"/>
  <c r="Q1500" i="3"/>
  <c r="T1500" i="3"/>
  <c r="S1500" i="3" s="1"/>
  <c r="D1501" i="3"/>
  <c r="E1501" i="3"/>
  <c r="C1500" i="3"/>
  <c r="B1499" i="3"/>
  <c r="R1499" i="3"/>
  <c r="W1499" i="3" s="1"/>
  <c r="H1500" i="3"/>
  <c r="B1500" i="3" l="1"/>
  <c r="AC1500" i="3"/>
  <c r="E1502" i="3"/>
  <c r="D1502" i="3"/>
  <c r="C1501" i="3"/>
  <c r="S1501" i="3"/>
  <c r="AC1501" i="3" s="1"/>
  <c r="R1500" i="3"/>
  <c r="W1500" i="3" s="1"/>
  <c r="H1501" i="3"/>
  <c r="Q1502" i="3" l="1"/>
  <c r="T1502" i="3"/>
  <c r="S1502" i="3" s="1"/>
  <c r="D1503" i="3"/>
  <c r="C1502" i="3"/>
  <c r="B1501" i="3"/>
  <c r="R1501" i="3"/>
  <c r="W1501" i="3" s="1"/>
  <c r="H1502" i="3"/>
  <c r="AL1502" i="3" l="1"/>
  <c r="AC1502" i="3" s="1"/>
  <c r="Q1503" i="3"/>
  <c r="T1503" i="3"/>
  <c r="S1503" i="3" s="1"/>
  <c r="C1503" i="3"/>
  <c r="D1504" i="3"/>
  <c r="B1502" i="3"/>
  <c r="R1502" i="3"/>
  <c r="W1502" i="3" s="1"/>
  <c r="H1503" i="3"/>
  <c r="B1503" i="3" l="1"/>
  <c r="AH1503" i="3"/>
  <c r="AC1503" i="3" s="1"/>
  <c r="T1504" i="3"/>
  <c r="S1504" i="3" s="1"/>
  <c r="Q1504" i="3"/>
  <c r="C1504" i="3"/>
  <c r="B1504" i="3" s="1"/>
  <c r="E1505" i="3"/>
  <c r="D1505" i="3"/>
  <c r="R1503" i="3"/>
  <c r="W1503" i="3" s="1"/>
  <c r="H1504" i="3"/>
  <c r="AL1504" i="3" l="1"/>
  <c r="AC1504" i="3" s="1"/>
  <c r="C1505" i="3"/>
  <c r="S1505" i="3"/>
  <c r="AC1505" i="3" s="1"/>
  <c r="D1506" i="3"/>
  <c r="E1506" i="3"/>
  <c r="B1505" i="3"/>
  <c r="R1504" i="3"/>
  <c r="W1504" i="3" s="1"/>
  <c r="H1505" i="3"/>
  <c r="Q1506" i="3" l="1"/>
  <c r="T1506" i="3"/>
  <c r="S1506" i="3" s="1"/>
  <c r="E1507" i="3"/>
  <c r="D1507" i="3"/>
  <c r="C1506" i="3"/>
  <c r="B1506" i="3" s="1"/>
  <c r="R1505" i="3"/>
  <c r="W1505" i="3" s="1"/>
  <c r="H1506" i="3"/>
  <c r="AH1506" i="3" l="1"/>
  <c r="AC1506" i="3" s="1"/>
  <c r="T1507" i="3"/>
  <c r="S1507" i="3" s="1"/>
  <c r="AC1507" i="3" s="1"/>
  <c r="Q1507" i="3"/>
  <c r="C1507" i="3"/>
  <c r="B1507" i="3" s="1"/>
  <c r="D1508" i="3"/>
  <c r="R1506" i="3"/>
  <c r="W1506" i="3" s="1"/>
  <c r="H1507" i="3"/>
  <c r="T1508" i="3" l="1"/>
  <c r="S1508" i="3" s="1"/>
  <c r="AC1508" i="3" s="1"/>
  <c r="Q1508" i="3"/>
  <c r="D1509" i="3"/>
  <c r="C1508" i="3"/>
  <c r="B1508" i="3" s="1"/>
  <c r="R1507" i="3"/>
  <c r="W1507" i="3" s="1"/>
  <c r="H1508" i="3"/>
  <c r="Q1509" i="3" l="1"/>
  <c r="T1509" i="3"/>
  <c r="S1509" i="3" s="1"/>
  <c r="D1510" i="3"/>
  <c r="C1509" i="3"/>
  <c r="R1508" i="3"/>
  <c r="W1508" i="3" s="1"/>
  <c r="H1509" i="3"/>
  <c r="AL1509" i="3" l="1"/>
  <c r="AC1509" i="3" s="1"/>
  <c r="Q1510" i="3"/>
  <c r="T1510" i="3"/>
  <c r="S1510" i="3" s="1"/>
  <c r="D1511" i="3"/>
  <c r="C1510" i="3"/>
  <c r="B1509" i="3"/>
  <c r="R1509" i="3"/>
  <c r="W1509" i="3" s="1"/>
  <c r="H1510" i="3"/>
  <c r="B1510" i="3" l="1"/>
  <c r="AL1510" i="3"/>
  <c r="AC1510" i="3" s="1"/>
  <c r="Q1511" i="3"/>
  <c r="T1511" i="3"/>
  <c r="S1511" i="3" s="1"/>
  <c r="AC1511" i="3" s="1"/>
  <c r="C1511" i="3"/>
  <c r="D1512" i="3"/>
  <c r="R1510" i="3"/>
  <c r="W1510" i="3" s="1"/>
  <c r="H1511" i="3"/>
  <c r="T1512" i="3" l="1"/>
  <c r="S1512" i="3" s="1"/>
  <c r="Q1512" i="3"/>
  <c r="D1513" i="3"/>
  <c r="E1513" i="3"/>
  <c r="C1512" i="3"/>
  <c r="B1511" i="3"/>
  <c r="R1511" i="3"/>
  <c r="W1511" i="3" s="1"/>
  <c r="H1512" i="3"/>
  <c r="B1512" i="3" l="1"/>
  <c r="AL1512" i="3"/>
  <c r="AC1512" i="3" s="1"/>
  <c r="T1513" i="3"/>
  <c r="S1513" i="3" s="1"/>
  <c r="Q1513" i="3"/>
  <c r="D1514" i="3"/>
  <c r="C1513" i="3"/>
  <c r="R1512" i="3"/>
  <c r="W1512" i="3" s="1"/>
  <c r="H1513" i="3"/>
  <c r="AL1513" i="3" l="1"/>
  <c r="AC1513" i="3" s="1"/>
  <c r="T1514" i="3"/>
  <c r="S1514" i="3" s="1"/>
  <c r="AC1514" i="3" s="1"/>
  <c r="Q1514" i="3"/>
  <c r="D1515" i="3"/>
  <c r="B1513" i="3"/>
  <c r="C1514" i="3"/>
  <c r="R1513" i="3"/>
  <c r="W1513" i="3" s="1"/>
  <c r="H1514" i="3"/>
  <c r="T1515" i="3" l="1"/>
  <c r="S1515" i="3" s="1"/>
  <c r="Q1515" i="3"/>
  <c r="B1514" i="3"/>
  <c r="C1515" i="3"/>
  <c r="D1516" i="3"/>
  <c r="E1516" i="3"/>
  <c r="R1514" i="3"/>
  <c r="W1514" i="3" s="1"/>
  <c r="H1515" i="3"/>
  <c r="AH1515" i="3" l="1"/>
  <c r="AC1515" i="3" s="1"/>
  <c r="C1516" i="3"/>
  <c r="S1516" i="3"/>
  <c r="AC1516" i="3" s="1"/>
  <c r="D1517" i="3"/>
  <c r="E1517" i="3"/>
  <c r="B1515" i="3"/>
  <c r="B1516" i="3" s="1"/>
  <c r="R1515" i="3"/>
  <c r="W1515" i="3" s="1"/>
  <c r="H1516" i="3"/>
  <c r="Q1517" i="3" l="1"/>
  <c r="T1517" i="3"/>
  <c r="S1517" i="3" s="1"/>
  <c r="AC1517" i="3" s="1"/>
  <c r="D1518" i="3"/>
  <c r="C1517" i="3"/>
  <c r="B1517" i="3" s="1"/>
  <c r="R1516" i="3"/>
  <c r="W1516" i="3" s="1"/>
  <c r="H1517" i="3"/>
  <c r="Q1518" i="3" l="1"/>
  <c r="T1518" i="3"/>
  <c r="S1518" i="3" s="1"/>
  <c r="C1518" i="3"/>
  <c r="D1519" i="3"/>
  <c r="R1517" i="3"/>
  <c r="W1517" i="3" s="1"/>
  <c r="H1518" i="3"/>
  <c r="AL1518" i="3" l="1"/>
  <c r="AC1518" i="3" s="1"/>
  <c r="T1519" i="3"/>
  <c r="S1519" i="3" s="1"/>
  <c r="Q1519" i="3"/>
  <c r="C1519" i="3"/>
  <c r="D1520" i="3"/>
  <c r="B1518" i="3"/>
  <c r="R1518" i="3"/>
  <c r="W1518" i="3" s="1"/>
  <c r="H1519" i="3"/>
  <c r="B1519" i="3" l="1"/>
  <c r="AL1519" i="3"/>
  <c r="AC1519" i="3" s="1"/>
  <c r="T1520" i="3"/>
  <c r="S1520" i="3" s="1"/>
  <c r="AC1520" i="3" s="1"/>
  <c r="Q1520" i="3"/>
  <c r="C1520" i="3"/>
  <c r="B1520" i="3" s="1"/>
  <c r="D1521" i="3"/>
  <c r="R1519" i="3"/>
  <c r="W1519" i="3" s="1"/>
  <c r="H1520" i="3"/>
  <c r="T1521" i="3" l="1"/>
  <c r="S1521" i="3" s="1"/>
  <c r="AC1521" i="3" s="1"/>
  <c r="Q1521" i="3"/>
  <c r="C1521" i="3"/>
  <c r="B1521" i="3" s="1"/>
  <c r="D1522" i="3"/>
  <c r="E1522" i="3"/>
  <c r="R1520" i="3"/>
  <c r="W1520" i="3" s="1"/>
  <c r="H1521" i="3"/>
  <c r="Q1522" i="3" l="1"/>
  <c r="T1522" i="3"/>
  <c r="S1522" i="3" s="1"/>
  <c r="C1522" i="3"/>
  <c r="B1522" i="3" s="1"/>
  <c r="D1523" i="3"/>
  <c r="R1521" i="3"/>
  <c r="W1521" i="3" s="1"/>
  <c r="H1522" i="3"/>
  <c r="AL1522" i="3" l="1"/>
  <c r="AC1522" i="3" s="1"/>
  <c r="T1523" i="3"/>
  <c r="S1523" i="3" s="1"/>
  <c r="Q1523" i="3"/>
  <c r="C1523" i="3"/>
  <c r="B1523" i="3" s="1"/>
  <c r="D1524" i="3"/>
  <c r="D1525" i="3" s="1"/>
  <c r="R1522" i="3"/>
  <c r="W1522" i="3" s="1"/>
  <c r="H1523" i="3"/>
  <c r="T1525" i="3" l="1"/>
  <c r="Q1525" i="3"/>
  <c r="AL1523" i="3"/>
  <c r="AC1523" i="3" s="1"/>
  <c r="Q1524" i="3"/>
  <c r="T1524" i="3"/>
  <c r="S1524" i="3" s="1"/>
  <c r="AC1524" i="3" s="1"/>
  <c r="D1526" i="3"/>
  <c r="E1526" i="3"/>
  <c r="C1524" i="3"/>
  <c r="B1524" i="3" s="1"/>
  <c r="R1523" i="3"/>
  <c r="W1523" i="3" s="1"/>
  <c r="H1524" i="3"/>
  <c r="H1525" i="3" s="1"/>
  <c r="R1525" i="3" l="1"/>
  <c r="W1525" i="3" s="1"/>
  <c r="C1525" i="3"/>
  <c r="B1525" i="3" s="1"/>
  <c r="S1525" i="3"/>
  <c r="AC1525" i="3" s="1"/>
  <c r="Q1526" i="3"/>
  <c r="T1526" i="3"/>
  <c r="S1526" i="3" s="1"/>
  <c r="AC1526" i="3" s="1"/>
  <c r="E1527" i="3"/>
  <c r="D1527" i="3"/>
  <c r="C1526" i="3"/>
  <c r="B1526" i="3" s="1"/>
  <c r="R1524" i="3"/>
  <c r="W1524" i="3" s="1"/>
  <c r="H1526" i="3"/>
  <c r="T1527" i="3" l="1"/>
  <c r="S1527" i="3" s="1"/>
  <c r="Q1527" i="3"/>
  <c r="C1527" i="3"/>
  <c r="D1528" i="3"/>
  <c r="R1526" i="3"/>
  <c r="W1526" i="3" s="1"/>
  <c r="H1527" i="3"/>
  <c r="AC1527" i="3" l="1"/>
  <c r="T1528" i="3"/>
  <c r="S1528" i="3" s="1"/>
  <c r="AC1528" i="3" s="1"/>
  <c r="Q1528" i="3"/>
  <c r="C1528" i="3"/>
  <c r="D1529" i="3"/>
  <c r="B1527" i="3"/>
  <c r="R1527" i="3"/>
  <c r="W1527" i="3" s="1"/>
  <c r="H1528" i="3"/>
  <c r="B1528" i="3" l="1"/>
  <c r="Q1529" i="3"/>
  <c r="T1529" i="3"/>
  <c r="S1529" i="3" s="1"/>
  <c r="D1530" i="3"/>
  <c r="E1530" i="3"/>
  <c r="C1529" i="3"/>
  <c r="B1529" i="3" s="1"/>
  <c r="R1528" i="3"/>
  <c r="W1528" i="3" s="1"/>
  <c r="H1529" i="3"/>
  <c r="AL1529" i="3" l="1"/>
  <c r="AC1529" i="3" s="1"/>
  <c r="T1530" i="3"/>
  <c r="S1530" i="3" s="1"/>
  <c r="AC1530" i="3" s="1"/>
  <c r="Q1530" i="3"/>
  <c r="D1531" i="3"/>
  <c r="C1530" i="3"/>
  <c r="B1530" i="3" s="1"/>
  <c r="R1529" i="3"/>
  <c r="W1529" i="3" s="1"/>
  <c r="H1530" i="3"/>
  <c r="Q1531" i="3" l="1"/>
  <c r="T1531" i="3"/>
  <c r="S1531" i="3" s="1"/>
  <c r="C1531" i="3"/>
  <c r="D1532" i="3"/>
  <c r="R1530" i="3"/>
  <c r="W1530" i="3" s="1"/>
  <c r="H1531" i="3"/>
  <c r="AL1531" i="3" l="1"/>
  <c r="AC1531" i="3" s="1"/>
  <c r="Q1532" i="3"/>
  <c r="T1532" i="3"/>
  <c r="S1532" i="3" s="1"/>
  <c r="C1532" i="3"/>
  <c r="D1533" i="3"/>
  <c r="E1533" i="3"/>
  <c r="B1531" i="3"/>
  <c r="R1531" i="3"/>
  <c r="W1531" i="3" s="1"/>
  <c r="H1532" i="3"/>
  <c r="B1532" i="3" l="1"/>
  <c r="T1533" i="3"/>
  <c r="S1533" i="3" s="1"/>
  <c r="AC1533" i="3" s="1"/>
  <c r="Q1533" i="3"/>
  <c r="AC1532" i="3"/>
  <c r="D1534" i="3"/>
  <c r="C1533" i="3"/>
  <c r="B1533" i="3" s="1"/>
  <c r="R1532" i="3"/>
  <c r="W1532" i="3" s="1"/>
  <c r="H1533" i="3"/>
  <c r="Q1534" i="3" l="1"/>
  <c r="T1534" i="3"/>
  <c r="S1534" i="3" s="1"/>
  <c r="C1534" i="3"/>
  <c r="D1535" i="3"/>
  <c r="R1533" i="3"/>
  <c r="W1533" i="3" s="1"/>
  <c r="H1534" i="3"/>
  <c r="AL1534" i="3" l="1"/>
  <c r="AC1534" i="3" s="1"/>
  <c r="T1535" i="3"/>
  <c r="S1535" i="3" s="1"/>
  <c r="AC1535" i="3" s="1"/>
  <c r="Q1535" i="3"/>
  <c r="D1536" i="3"/>
  <c r="C1535" i="3"/>
  <c r="B1534" i="3"/>
  <c r="R1534" i="3"/>
  <c r="W1534" i="3" s="1"/>
  <c r="H1535" i="3"/>
  <c r="B1535" i="3" l="1"/>
  <c r="T1536" i="3"/>
  <c r="S1536" i="3" s="1"/>
  <c r="Q1536" i="3"/>
  <c r="C1536" i="3"/>
  <c r="D1537" i="3"/>
  <c r="E1537" i="3"/>
  <c r="R1535" i="3"/>
  <c r="W1535" i="3" s="1"/>
  <c r="H1536" i="3"/>
  <c r="AL1536" i="3" l="1"/>
  <c r="AC1536" i="3" s="1"/>
  <c r="T1537" i="3"/>
  <c r="S1537" i="3" s="1"/>
  <c r="AC1537" i="3" s="1"/>
  <c r="Q1537" i="3"/>
  <c r="D1538" i="3"/>
  <c r="C1537" i="3"/>
  <c r="B1536" i="3"/>
  <c r="R1536" i="3"/>
  <c r="W1536" i="3" s="1"/>
  <c r="H1537" i="3"/>
  <c r="B1537" i="3" l="1"/>
  <c r="T1538" i="3"/>
  <c r="S1538" i="3" s="1"/>
  <c r="Q1538" i="3"/>
  <c r="D1539" i="3"/>
  <c r="E1539" i="3"/>
  <c r="C1538" i="3"/>
  <c r="B1538" i="3" s="1"/>
  <c r="R1537" i="3"/>
  <c r="W1537" i="3" s="1"/>
  <c r="H1538" i="3"/>
  <c r="AH1538" i="3" l="1"/>
  <c r="AC1538" i="3" s="1"/>
  <c r="T1539" i="3"/>
  <c r="S1539" i="3" s="1"/>
  <c r="AC1539" i="3" s="1"/>
  <c r="Q1539" i="3"/>
  <c r="D1540" i="3"/>
  <c r="C1539" i="3"/>
  <c r="R1538" i="3"/>
  <c r="W1538" i="3" s="1"/>
  <c r="H1539" i="3"/>
  <c r="Q1540" i="3" l="1"/>
  <c r="T1540" i="3"/>
  <c r="S1540" i="3" s="1"/>
  <c r="AC1540" i="3" s="1"/>
  <c r="C1540" i="3"/>
  <c r="D1541" i="3"/>
  <c r="D1542" i="3" s="1"/>
  <c r="B1539" i="3"/>
  <c r="R1539" i="3"/>
  <c r="W1539" i="3" s="1"/>
  <c r="H1540" i="3"/>
  <c r="B1540" i="3" l="1"/>
  <c r="Q1542" i="3"/>
  <c r="T1542" i="3"/>
  <c r="T1541" i="3"/>
  <c r="S1541" i="3" s="1"/>
  <c r="AC1541" i="3" s="1"/>
  <c r="Q1541" i="3"/>
  <c r="D1543" i="3"/>
  <c r="C1541" i="3"/>
  <c r="B1541" i="3" s="1"/>
  <c r="R1540" i="3"/>
  <c r="W1540" i="3" s="1"/>
  <c r="H1541" i="3"/>
  <c r="H1542" i="3" s="1"/>
  <c r="R1542" i="3" l="1"/>
  <c r="W1542" i="3" s="1"/>
  <c r="S1542" i="3"/>
  <c r="AC1542" i="3" s="1"/>
  <c r="C1542" i="3"/>
  <c r="B1542" i="3" s="1"/>
  <c r="Q1543" i="3"/>
  <c r="T1543" i="3"/>
  <c r="S1543" i="3" s="1"/>
  <c r="D1544" i="3"/>
  <c r="C1543" i="3"/>
  <c r="R1541" i="3"/>
  <c r="W1541" i="3" s="1"/>
  <c r="H1543" i="3"/>
  <c r="AL1543" i="3" l="1"/>
  <c r="AC1543" i="3" s="1"/>
  <c r="T1544" i="3"/>
  <c r="S1544" i="3" s="1"/>
  <c r="AC1544" i="3" s="1"/>
  <c r="Q1544" i="3"/>
  <c r="B1543" i="3"/>
  <c r="E1545" i="3"/>
  <c r="D1545" i="3"/>
  <c r="C1544" i="3"/>
  <c r="R1543" i="3"/>
  <c r="W1543" i="3" s="1"/>
  <c r="H1544" i="3"/>
  <c r="D1546" i="3" l="1"/>
  <c r="Q1545" i="3"/>
  <c r="T1545" i="3"/>
  <c r="S1545" i="3" s="1"/>
  <c r="AC1545" i="3" s="1"/>
  <c r="D1547" i="3"/>
  <c r="C1545" i="3"/>
  <c r="B1544" i="3"/>
  <c r="R1544" i="3"/>
  <c r="W1544" i="3" s="1"/>
  <c r="H1545" i="3"/>
  <c r="H1546" i="3" s="1"/>
  <c r="C1546" i="3" l="1"/>
  <c r="Q1546" i="3"/>
  <c r="R1546" i="3" s="1"/>
  <c r="T1546" i="3"/>
  <c r="Q1547" i="3"/>
  <c r="T1547" i="3"/>
  <c r="S1547" i="3" s="1"/>
  <c r="AC1547" i="3" s="1"/>
  <c r="D1548" i="3"/>
  <c r="E1548" i="3"/>
  <c r="C1547" i="3"/>
  <c r="B1545" i="3"/>
  <c r="R1545" i="3"/>
  <c r="W1545" i="3" s="1"/>
  <c r="H1547" i="3"/>
  <c r="B1546" i="3" l="1"/>
  <c r="W1546" i="3"/>
  <c r="S1546" i="3"/>
  <c r="AC1546" i="3" s="1"/>
  <c r="T1548" i="3"/>
  <c r="S1548" i="3" s="1"/>
  <c r="AC1548" i="3" s="1"/>
  <c r="Q1548" i="3"/>
  <c r="B1547" i="3"/>
  <c r="C1548" i="3"/>
  <c r="R1547" i="3"/>
  <c r="W1547" i="3" s="1"/>
  <c r="H1548" i="3"/>
  <c r="B1548" i="3" l="1"/>
  <c r="C1549" i="3"/>
  <c r="S1549" i="3"/>
  <c r="AC1549" i="3" s="1"/>
  <c r="R1548" i="3"/>
  <c r="W1548" i="3" s="1"/>
  <c r="H1549" i="3"/>
  <c r="C1550" i="3" l="1"/>
  <c r="S1550" i="3"/>
  <c r="AC1550" i="3" s="1"/>
  <c r="B1549" i="3"/>
  <c r="R1549" i="3"/>
  <c r="W1549" i="3" s="1"/>
  <c r="H1550" i="3"/>
  <c r="C1551" i="3" l="1"/>
  <c r="S1551" i="3"/>
  <c r="B1550" i="3"/>
  <c r="R1550" i="3"/>
  <c r="W1550" i="3" s="1"/>
  <c r="H1551" i="3"/>
  <c r="AH1551" i="3" l="1"/>
  <c r="AC1551" i="3" s="1"/>
  <c r="D1553" i="3"/>
  <c r="E1553" i="3"/>
  <c r="B1551" i="3"/>
  <c r="C1552" i="3"/>
  <c r="S1552" i="3"/>
  <c r="AC1552" i="3" s="1"/>
  <c r="R1551" i="3"/>
  <c r="W1551" i="3" s="1"/>
  <c r="H1552" i="3"/>
  <c r="T1553" i="3" l="1"/>
  <c r="S1553" i="3" s="1"/>
  <c r="AC1553" i="3" s="1"/>
  <c r="Q1553" i="3"/>
  <c r="D1554" i="3"/>
  <c r="B1552" i="3"/>
  <c r="C1553" i="3"/>
  <c r="R1552" i="3"/>
  <c r="W1552" i="3" s="1"/>
  <c r="T1554" i="3" l="1"/>
  <c r="S1554" i="3" s="1"/>
  <c r="Q1554" i="3"/>
  <c r="C1554" i="3"/>
  <c r="D1555" i="3"/>
  <c r="E1555" i="3"/>
  <c r="B1553" i="3"/>
  <c r="H1553" i="3" s="1"/>
  <c r="R1553" i="3" s="1"/>
  <c r="W1553" i="3" s="1"/>
  <c r="B1554" i="3" l="1"/>
  <c r="H1554" i="3" s="1"/>
  <c r="H1555" i="3" s="1"/>
  <c r="AH1554" i="3"/>
  <c r="AC1554" i="3" s="1"/>
  <c r="Q1555" i="3"/>
  <c r="T1555" i="3"/>
  <c r="S1555" i="3" s="1"/>
  <c r="AC1555" i="3" s="1"/>
  <c r="C1555" i="3"/>
  <c r="B1555" i="3" s="1"/>
  <c r="D1556" i="3"/>
  <c r="R1554" i="3" l="1"/>
  <c r="W1554" i="3" s="1"/>
  <c r="T1556" i="3"/>
  <c r="S1556" i="3" s="1"/>
  <c r="AC1556" i="3" s="1"/>
  <c r="Q1556" i="3"/>
  <c r="E1557" i="3"/>
  <c r="D1557" i="3"/>
  <c r="C1556" i="3"/>
  <c r="B1556" i="3" s="1"/>
  <c r="R1555" i="3"/>
  <c r="W1555" i="3" s="1"/>
  <c r="H1556" i="3"/>
  <c r="T1557" i="3" l="1"/>
  <c r="S1557" i="3" s="1"/>
  <c r="AC1557" i="3" s="1"/>
  <c r="Q1557" i="3"/>
  <c r="C1557" i="3"/>
  <c r="D1558" i="3"/>
  <c r="R1556" i="3"/>
  <c r="W1556" i="3" s="1"/>
  <c r="H1557" i="3"/>
  <c r="T1558" i="3" l="1"/>
  <c r="S1558" i="3" s="1"/>
  <c r="Q1558" i="3"/>
  <c r="C1558" i="3"/>
  <c r="D1559" i="3"/>
  <c r="E1559" i="3"/>
  <c r="B1557" i="3"/>
  <c r="R1557" i="3"/>
  <c r="W1557" i="3" s="1"/>
  <c r="H1558" i="3"/>
  <c r="B1558" i="3" l="1"/>
  <c r="AL1558" i="3"/>
  <c r="AC1558" i="3" s="1"/>
  <c r="Q1559" i="3"/>
  <c r="T1559" i="3"/>
  <c r="S1559" i="3" s="1"/>
  <c r="AC1559" i="3" s="1"/>
  <c r="D1560" i="3"/>
  <c r="C1559" i="3"/>
  <c r="B1559" i="3" s="1"/>
  <c r="R1558" i="3"/>
  <c r="W1558" i="3" s="1"/>
  <c r="H1559" i="3"/>
  <c r="T1560" i="3" l="1"/>
  <c r="S1560" i="3" s="1"/>
  <c r="Q1560" i="3"/>
  <c r="D1561" i="3"/>
  <c r="E1561" i="3"/>
  <c r="C1560" i="3"/>
  <c r="R1559" i="3"/>
  <c r="W1559" i="3" s="1"/>
  <c r="H1560" i="3"/>
  <c r="AH1560" i="3" l="1"/>
  <c r="AC1560" i="3" s="1"/>
  <c r="D1562" i="3"/>
  <c r="E1562" i="3"/>
  <c r="B1560" i="3"/>
  <c r="C1561" i="3"/>
  <c r="S1561" i="3"/>
  <c r="AC1561" i="3" s="1"/>
  <c r="R1560" i="3"/>
  <c r="W1560" i="3" s="1"/>
  <c r="H1561" i="3"/>
  <c r="T1562" i="3" l="1"/>
  <c r="S1562" i="3" s="1"/>
  <c r="AC1562" i="3" s="1"/>
  <c r="Q1562" i="3"/>
  <c r="D1563" i="3"/>
  <c r="B1561" i="3"/>
  <c r="C1562" i="3"/>
  <c r="R1561" i="3"/>
  <c r="W1561" i="3" s="1"/>
  <c r="H1562" i="3"/>
  <c r="T1563" i="3" l="1"/>
  <c r="S1563" i="3" s="1"/>
  <c r="Q1563" i="3"/>
  <c r="D1564" i="3"/>
  <c r="E1564" i="3"/>
  <c r="C1563" i="3"/>
  <c r="B1562" i="3"/>
  <c r="R1562" i="3"/>
  <c r="W1562" i="3" s="1"/>
  <c r="H1563" i="3"/>
  <c r="AL1563" i="3" l="1"/>
  <c r="AC1563" i="3" s="1"/>
  <c r="D1565" i="3"/>
  <c r="E1565" i="3"/>
  <c r="C1564" i="3"/>
  <c r="S1564" i="3"/>
  <c r="AC1564" i="3" s="1"/>
  <c r="B1563" i="3"/>
  <c r="R1563" i="3"/>
  <c r="W1563" i="3" s="1"/>
  <c r="H1564" i="3"/>
  <c r="T1565" i="3" l="1"/>
  <c r="S1565" i="3" s="1"/>
  <c r="AC1565" i="3" s="1"/>
  <c r="Q1565" i="3"/>
  <c r="D1566" i="3"/>
  <c r="E1566" i="3"/>
  <c r="B1564" i="3"/>
  <c r="C1565" i="3"/>
  <c r="R1564" i="3"/>
  <c r="W1564" i="3" s="1"/>
  <c r="H1565" i="3"/>
  <c r="T1566" i="3" l="1"/>
  <c r="S1566" i="3" s="1"/>
  <c r="AC1566" i="3" s="1"/>
  <c r="Q1566" i="3"/>
  <c r="D1567" i="3"/>
  <c r="E1567" i="3"/>
  <c r="B1565" i="3"/>
  <c r="C1566" i="3"/>
  <c r="R1565" i="3"/>
  <c r="W1565" i="3" s="1"/>
  <c r="H1566" i="3"/>
  <c r="Q1567" i="3" l="1"/>
  <c r="T1567" i="3"/>
  <c r="S1567" i="3" s="1"/>
  <c r="D1568" i="3"/>
  <c r="C1567" i="3"/>
  <c r="B1566" i="3"/>
  <c r="R1566" i="3"/>
  <c r="W1566" i="3" s="1"/>
  <c r="H1567" i="3"/>
  <c r="AL1567" i="3" l="1"/>
  <c r="AC1567" i="3" s="1"/>
  <c r="Q1568" i="3"/>
  <c r="T1568" i="3"/>
  <c r="S1568" i="3" s="1"/>
  <c r="AC1568" i="3" s="1"/>
  <c r="D1569" i="3"/>
  <c r="E1569" i="3"/>
  <c r="C1568" i="3"/>
  <c r="B1567" i="3"/>
  <c r="R1567" i="3"/>
  <c r="W1567" i="3" s="1"/>
  <c r="H1568" i="3"/>
  <c r="D1570" i="3" l="1"/>
  <c r="E1570" i="3"/>
  <c r="B1568" i="3"/>
  <c r="C1569" i="3"/>
  <c r="S1569" i="3"/>
  <c r="AC1569" i="3" s="1"/>
  <c r="R1568" i="3"/>
  <c r="W1568" i="3" s="1"/>
  <c r="H1569" i="3"/>
  <c r="D1571" i="3" l="1"/>
  <c r="E1571" i="3"/>
  <c r="B1569" i="3"/>
  <c r="C1570" i="3"/>
  <c r="S1570" i="3"/>
  <c r="AC1570" i="3" s="1"/>
  <c r="R1569" i="3"/>
  <c r="W1569" i="3" s="1"/>
  <c r="H1570" i="3"/>
  <c r="Q1571" i="3" l="1"/>
  <c r="T1571" i="3"/>
  <c r="S1571" i="3" s="1"/>
  <c r="AC1571" i="3" s="1"/>
  <c r="D1572" i="3"/>
  <c r="C1571" i="3"/>
  <c r="B1570" i="3"/>
  <c r="R1570" i="3"/>
  <c r="W1570" i="3" s="1"/>
  <c r="H1571" i="3"/>
  <c r="T1572" i="3" l="1"/>
  <c r="S1572" i="3" s="1"/>
  <c r="AC1572" i="3" s="1"/>
  <c r="Q1572" i="3"/>
  <c r="D1573" i="3"/>
  <c r="E1573" i="3"/>
  <c r="C1572" i="3"/>
  <c r="B1571" i="3"/>
  <c r="R1571" i="3"/>
  <c r="W1571" i="3" s="1"/>
  <c r="H1572" i="3"/>
  <c r="Q1573" i="3" l="1"/>
  <c r="T1573" i="3"/>
  <c r="S1573" i="3" s="1"/>
  <c r="AC1573" i="3" s="1"/>
  <c r="D1574" i="3"/>
  <c r="B1572" i="3"/>
  <c r="C1573" i="3"/>
  <c r="R1572" i="3"/>
  <c r="W1572" i="3" s="1"/>
  <c r="H1573" i="3"/>
  <c r="T1574" i="3" l="1"/>
  <c r="S1574" i="3" s="1"/>
  <c r="AC1574" i="3" s="1"/>
  <c r="Q1574" i="3"/>
  <c r="D1575" i="3"/>
  <c r="C1574" i="3"/>
  <c r="B1573" i="3"/>
  <c r="R1573" i="3"/>
  <c r="W1573" i="3" s="1"/>
  <c r="H1574" i="3"/>
  <c r="Q1575" i="3" l="1"/>
  <c r="T1575" i="3"/>
  <c r="S1575" i="3" s="1"/>
  <c r="AC1575" i="3" s="1"/>
  <c r="D1576" i="3"/>
  <c r="E1576" i="3"/>
  <c r="C1575" i="3"/>
  <c r="B1574" i="3"/>
  <c r="R1574" i="3"/>
  <c r="W1574" i="3" s="1"/>
  <c r="H1575" i="3"/>
  <c r="Q1576" i="3" l="1"/>
  <c r="D1577" i="3"/>
  <c r="B1575" i="3"/>
  <c r="C1576" i="3"/>
  <c r="B1576" i="3" s="1"/>
  <c r="S1576" i="3"/>
  <c r="AC1576" i="3" s="1"/>
  <c r="R1575" i="3"/>
  <c r="W1575" i="3" s="1"/>
  <c r="H1576" i="3"/>
  <c r="Q1577" i="3" l="1"/>
  <c r="T1577" i="3"/>
  <c r="S1577" i="3" s="1"/>
  <c r="AC1577" i="3" s="1"/>
  <c r="D1578" i="3"/>
  <c r="E1578" i="3"/>
  <c r="C1577" i="3"/>
  <c r="R1576" i="3"/>
  <c r="W1576" i="3" s="1"/>
  <c r="H1577" i="3"/>
  <c r="Q1578" i="3" l="1"/>
  <c r="T1578" i="3"/>
  <c r="S1578" i="3" s="1"/>
  <c r="AC1578" i="3" s="1"/>
  <c r="D1579" i="3"/>
  <c r="E1579" i="3"/>
  <c r="B1577" i="3"/>
  <c r="C1578" i="3"/>
  <c r="R1577" i="3"/>
  <c r="W1577" i="3" s="1"/>
  <c r="H1578" i="3"/>
  <c r="B1578" i="3" l="1"/>
  <c r="E1580" i="3"/>
  <c r="D1580" i="3"/>
  <c r="C1579" i="3"/>
  <c r="S1579" i="3"/>
  <c r="AC1579" i="3" s="1"/>
  <c r="R1578" i="3"/>
  <c r="W1578" i="3" s="1"/>
  <c r="H1579" i="3"/>
  <c r="E1581" i="3" l="1"/>
  <c r="D1581" i="3"/>
  <c r="C1580" i="3"/>
  <c r="S1580" i="3"/>
  <c r="AC1580" i="3" s="1"/>
  <c r="B1579" i="3"/>
  <c r="R1579" i="3"/>
  <c r="W1579" i="3" s="1"/>
  <c r="H1580" i="3"/>
  <c r="D1582" i="3" l="1"/>
  <c r="Q1581" i="3"/>
  <c r="T1581" i="3"/>
  <c r="S1581" i="3" s="1"/>
  <c r="AC1581" i="3" s="1"/>
  <c r="D1583" i="3"/>
  <c r="E1583" i="3"/>
  <c r="C1581" i="3"/>
  <c r="B1580" i="3"/>
  <c r="R1580" i="3"/>
  <c r="W1580" i="3" s="1"/>
  <c r="H1581" i="3"/>
  <c r="H1582" i="3" s="1"/>
  <c r="Q1582" i="3" l="1"/>
  <c r="R1582" i="3" s="1"/>
  <c r="T1582" i="3"/>
  <c r="C1582" i="3"/>
  <c r="R1581" i="3"/>
  <c r="W1581" i="3" s="1"/>
  <c r="Q1583" i="3"/>
  <c r="T1583" i="3"/>
  <c r="S1583" i="3" s="1"/>
  <c r="AC1583" i="3" s="1"/>
  <c r="B1581" i="3"/>
  <c r="E1584" i="3"/>
  <c r="D1584" i="3"/>
  <c r="H1583" i="3"/>
  <c r="C1583" i="3"/>
  <c r="B1582" i="3" l="1"/>
  <c r="T1584" i="3"/>
  <c r="S1584" i="3" s="1"/>
  <c r="AC1584" i="3" s="1"/>
  <c r="Q1584" i="3"/>
  <c r="W1582" i="3"/>
  <c r="S1582" i="3"/>
  <c r="AC1582" i="3" s="1"/>
  <c r="R1583" i="3"/>
  <c r="W1583" i="3" s="1"/>
  <c r="C1584" i="3"/>
  <c r="D1585" i="3"/>
  <c r="H1584" i="3"/>
  <c r="B1583" i="3"/>
  <c r="T1585" i="3" l="1"/>
  <c r="S1585" i="3" s="1"/>
  <c r="AC1585" i="3" s="1"/>
  <c r="Q1585" i="3"/>
  <c r="R1584" i="3"/>
  <c r="W1584" i="3" s="1"/>
  <c r="C1585" i="3"/>
  <c r="H1585" i="3"/>
  <c r="D1586" i="3"/>
  <c r="E1586" i="3"/>
  <c r="B1584" i="3"/>
  <c r="B1585" i="3" l="1"/>
  <c r="R1585" i="3"/>
  <c r="W1585" i="3" s="1"/>
  <c r="Q1586" i="3"/>
  <c r="T1586" i="3"/>
  <c r="S1586" i="3" s="1"/>
  <c r="AC1586" i="3" s="1"/>
  <c r="H1586" i="3"/>
  <c r="E1587" i="3"/>
  <c r="D1587" i="3"/>
  <c r="C1586" i="3"/>
  <c r="B1586" i="3" s="1"/>
  <c r="R1586" i="3" l="1"/>
  <c r="W1586" i="3" s="1"/>
  <c r="H1587" i="3"/>
  <c r="R1587" i="3" s="1"/>
  <c r="W1587" i="3" s="1"/>
  <c r="S1587" i="3"/>
  <c r="AC1587" i="3" s="1"/>
  <c r="C1587" i="3"/>
  <c r="D1588" i="3"/>
  <c r="E1588" i="3"/>
  <c r="H1588" i="3" l="1"/>
  <c r="T1588" i="3"/>
  <c r="S1588" i="3" s="1"/>
  <c r="AC1588" i="3" s="1"/>
  <c r="Q1588" i="3"/>
  <c r="R1588" i="3" s="1"/>
  <c r="W1588" i="3" s="1"/>
  <c r="D1589" i="3"/>
  <c r="E1589" i="3"/>
  <c r="C1588" i="3"/>
  <c r="B1587" i="3"/>
  <c r="H1589" i="3" l="1"/>
  <c r="H1590" i="3" s="1"/>
  <c r="B1588" i="3"/>
  <c r="Q1589" i="3"/>
  <c r="R1589" i="3" s="1"/>
  <c r="T1589" i="3"/>
  <c r="S1589" i="3" s="1"/>
  <c r="AC1589" i="3" s="1"/>
  <c r="D1590" i="3"/>
  <c r="C1589" i="3"/>
  <c r="W1589" i="3" l="1"/>
  <c r="T1590" i="3"/>
  <c r="Q1590" i="3"/>
  <c r="R1590" i="3" s="1"/>
  <c r="D1591" i="3"/>
  <c r="H1591" i="3"/>
  <c r="C1590" i="3"/>
  <c r="B1589" i="3"/>
  <c r="W1590" i="3" l="1"/>
  <c r="Q1591" i="3"/>
  <c r="R1591" i="3" s="1"/>
  <c r="T1591" i="3"/>
  <c r="S1590" i="3"/>
  <c r="B1590" i="3"/>
  <c r="D1592" i="3"/>
  <c r="E1592" i="3"/>
  <c r="H1592" i="3"/>
  <c r="C1591" i="3"/>
  <c r="W1591" i="3" l="1"/>
  <c r="Q1592" i="3"/>
  <c r="R1592" i="3" s="1"/>
  <c r="T1592" i="3"/>
  <c r="S1592" i="3" s="1"/>
  <c r="AL1590" i="3"/>
  <c r="AC1590" i="3" s="1"/>
  <c r="S1591" i="3"/>
  <c r="AC1591" i="3" s="1"/>
  <c r="C1592" i="3"/>
  <c r="D1593" i="3"/>
  <c r="H1593" i="3"/>
  <c r="B1591" i="3"/>
  <c r="AH1592" i="3" l="1"/>
  <c r="AC1592" i="3" s="1"/>
  <c r="T1593" i="3"/>
  <c r="S1593" i="3" s="1"/>
  <c r="AC1593" i="3" s="1"/>
  <c r="Q1593" i="3"/>
  <c r="R1593" i="3" s="1"/>
  <c r="W1592" i="3"/>
  <c r="C1593" i="3"/>
  <c r="E1594" i="3"/>
  <c r="H1594" i="3"/>
  <c r="D1594" i="3"/>
  <c r="B1592" i="3"/>
  <c r="B1593" i="3" l="1"/>
  <c r="W1593" i="3"/>
  <c r="T1594" i="3"/>
  <c r="Q1594" i="3"/>
  <c r="R1594" i="3" s="1"/>
  <c r="C1594" i="3"/>
  <c r="D1595" i="3"/>
  <c r="H1595" i="3"/>
  <c r="R1595" i="3" s="1"/>
  <c r="E1595" i="3"/>
  <c r="B1594" i="3"/>
  <c r="W1594" i="3" l="1"/>
  <c r="S1594" i="3"/>
  <c r="AC1594" i="3" s="1"/>
  <c r="D1596" i="3"/>
  <c r="H1596" i="3"/>
  <c r="E1596" i="3"/>
  <c r="C1595" i="3"/>
  <c r="B1595" i="3" s="1"/>
  <c r="S1595" i="3"/>
  <c r="AC1595" i="3" s="1"/>
  <c r="W1595" i="3"/>
  <c r="Q1596" i="3" l="1"/>
  <c r="R1596" i="3" s="1"/>
  <c r="T1596" i="3"/>
  <c r="E1597" i="3"/>
  <c r="D1597" i="3"/>
  <c r="H1597" i="3"/>
  <c r="C1596" i="3"/>
  <c r="W1596" i="3" l="1"/>
  <c r="S1596" i="3"/>
  <c r="AC1596" i="3" s="1"/>
  <c r="Q1597" i="3"/>
  <c r="R1597" i="3" s="1"/>
  <c r="T1597" i="3"/>
  <c r="S1597" i="3" s="1"/>
  <c r="B1596" i="3"/>
  <c r="C1597" i="3"/>
  <c r="D1598" i="3"/>
  <c r="E1598" i="3"/>
  <c r="H1598" i="3" s="1"/>
  <c r="R1598" i="3" s="1"/>
  <c r="AL1597" i="3" l="1"/>
  <c r="AC1597" i="3" s="1"/>
  <c r="W1597" i="3"/>
  <c r="C1598" i="3"/>
  <c r="S1598" i="3"/>
  <c r="AC1598" i="3" s="1"/>
  <c r="W1598" i="3"/>
  <c r="D1599" i="3"/>
  <c r="E1599" i="3"/>
  <c r="H1599" i="3" s="1"/>
  <c r="R1599" i="3" s="1"/>
  <c r="B1597" i="3"/>
  <c r="B1598" i="3" l="1"/>
  <c r="D1600" i="3"/>
  <c r="E1600" i="3"/>
  <c r="H1600" i="3"/>
  <c r="R1600" i="3" s="1"/>
  <c r="C1599" i="3"/>
  <c r="B1599" i="3" s="1"/>
  <c r="W1599" i="3"/>
  <c r="S1599" i="3"/>
  <c r="AC1599" i="3" s="1"/>
  <c r="D1601" i="3" l="1"/>
  <c r="E1601" i="3"/>
  <c r="H1601" i="3"/>
  <c r="W1600" i="3"/>
  <c r="C1600" i="3"/>
  <c r="S1600" i="3"/>
  <c r="AC1600" i="3" s="1"/>
  <c r="T1601" i="3" l="1"/>
  <c r="S1601" i="3" s="1"/>
  <c r="AC1601" i="3" s="1"/>
  <c r="Q1601" i="3"/>
  <c r="R1601" i="3" s="1"/>
  <c r="B1600" i="3"/>
  <c r="E1602" i="3"/>
  <c r="H1602" i="3" s="1"/>
  <c r="R1602" i="3" s="1"/>
  <c r="D1602" i="3"/>
  <c r="C1601" i="3"/>
  <c r="W1601" i="3" l="1"/>
  <c r="C1602" i="3"/>
  <c r="S1602" i="3"/>
  <c r="AC1602" i="3" s="1"/>
  <c r="W1602" i="3"/>
  <c r="D1603" i="3"/>
  <c r="H1603" i="3"/>
  <c r="R1603" i="3" s="1"/>
  <c r="E1603" i="3"/>
  <c r="B1601" i="3"/>
  <c r="B1602" i="3" l="1"/>
  <c r="D1604" i="3"/>
  <c r="E1604" i="3"/>
  <c r="H1604" i="3"/>
  <c r="R1604" i="3" s="1"/>
  <c r="C1603" i="3"/>
  <c r="B1603" i="3" s="1"/>
  <c r="W1603" i="3"/>
  <c r="S1603" i="3"/>
  <c r="AC1603" i="3" s="1"/>
  <c r="D1605" i="3" l="1"/>
  <c r="E1605" i="3"/>
  <c r="H1605" i="3"/>
  <c r="C1604" i="3"/>
  <c r="S1604" i="3"/>
  <c r="AC1604" i="3" s="1"/>
  <c r="W1604" i="3"/>
  <c r="Q1605" i="3" l="1"/>
  <c r="R1605" i="3" s="1"/>
  <c r="T1605" i="3"/>
  <c r="S1605" i="3" s="1"/>
  <c r="H1606" i="3"/>
  <c r="D1606" i="3"/>
  <c r="C1605" i="3"/>
  <c r="B1604" i="3"/>
  <c r="AL1605" i="3" l="1"/>
  <c r="AC1605" i="3" s="1"/>
  <c r="W1605" i="3"/>
  <c r="T1606" i="3"/>
  <c r="S1606" i="3" s="1"/>
  <c r="AC1606" i="3" s="1"/>
  <c r="Q1606" i="3"/>
  <c r="R1606" i="3" s="1"/>
  <c r="D1607" i="3"/>
  <c r="H1607" i="3"/>
  <c r="R1607" i="3" s="1"/>
  <c r="E1607" i="3"/>
  <c r="C1606" i="3"/>
  <c r="B1605" i="3"/>
  <c r="W1606" i="3" l="1"/>
  <c r="B1606" i="3"/>
  <c r="E1608" i="3"/>
  <c r="H1608" i="3"/>
  <c r="R1608" i="3" s="1"/>
  <c r="D1608" i="3"/>
  <c r="C1607" i="3"/>
  <c r="S1607" i="3"/>
  <c r="AC1607" i="3" s="1"/>
  <c r="W1607" i="3"/>
  <c r="S1608" i="3" l="1"/>
  <c r="AC1608" i="3" s="1"/>
  <c r="C1608" i="3"/>
  <c r="W1608" i="3"/>
  <c r="E1609" i="3"/>
  <c r="H1609" i="3"/>
  <c r="D1609" i="3"/>
  <c r="B1607" i="3"/>
  <c r="Q1609" i="3" l="1"/>
  <c r="R1609" i="3" s="1"/>
  <c r="T1609" i="3"/>
  <c r="C1609" i="3"/>
  <c r="E1610" i="3"/>
  <c r="H1610" i="3" s="1"/>
  <c r="R1610" i="3" s="1"/>
  <c r="D1610" i="3"/>
  <c r="B1608" i="3"/>
  <c r="B1609" i="3" l="1"/>
  <c r="W1609" i="3"/>
  <c r="S1609" i="3"/>
  <c r="AC1609" i="3" s="1"/>
  <c r="C1610" i="3"/>
  <c r="W1610" i="3"/>
  <c r="S1610" i="3"/>
  <c r="AC1610" i="3" s="1"/>
  <c r="D1611" i="3"/>
  <c r="E1611" i="3"/>
  <c r="H1611" i="3" s="1"/>
  <c r="R1611" i="3" s="1"/>
  <c r="B1610" i="3"/>
  <c r="E1612" i="3" l="1"/>
  <c r="D1612" i="3"/>
  <c r="H1612" i="3"/>
  <c r="C1611" i="3"/>
  <c r="B1611" i="3" s="1"/>
  <c r="S1611" i="3"/>
  <c r="AC1611" i="3" s="1"/>
  <c r="W1611" i="3"/>
  <c r="Q1612" i="3" l="1"/>
  <c r="R1612" i="3" s="1"/>
  <c r="T1612" i="3"/>
  <c r="S1612" i="3" s="1"/>
  <c r="AC1612" i="3" s="1"/>
  <c r="C1612" i="3"/>
  <c r="D1613" i="3"/>
  <c r="E1613" i="3"/>
  <c r="H1613" i="3" s="1"/>
  <c r="R1613" i="3" s="1"/>
  <c r="W1612" i="3" l="1"/>
  <c r="D1614" i="3"/>
  <c r="E1614" i="3"/>
  <c r="H1614" i="3" s="1"/>
  <c r="R1614" i="3" s="1"/>
  <c r="C1613" i="3"/>
  <c r="W1613" i="3"/>
  <c r="S1613" i="3"/>
  <c r="AC1613" i="3" s="1"/>
  <c r="B1612" i="3"/>
  <c r="B1613" i="3" s="1"/>
  <c r="D1615" i="3" l="1"/>
  <c r="H1615" i="3"/>
  <c r="E1615" i="3"/>
  <c r="C1614" i="3"/>
  <c r="W1614" i="3"/>
  <c r="S1614" i="3"/>
  <c r="AC1614" i="3" s="1"/>
  <c r="Q1615" i="3" l="1"/>
  <c r="R1615" i="3" s="1"/>
  <c r="T1615" i="3"/>
  <c r="B1614" i="3"/>
  <c r="E1616" i="3"/>
  <c r="D1616" i="3"/>
  <c r="H1616" i="3"/>
  <c r="R1616" i="3" s="1"/>
  <c r="C1615" i="3"/>
  <c r="W1615" i="3" l="1"/>
  <c r="S1615" i="3"/>
  <c r="AC1615" i="3" s="1"/>
  <c r="C1616" i="3"/>
  <c r="S1616" i="3"/>
  <c r="AC1616" i="3" s="1"/>
  <c r="W1616" i="3"/>
  <c r="D1617" i="3"/>
  <c r="H1617" i="3"/>
  <c r="R1617" i="3" s="1"/>
  <c r="E1617" i="3"/>
  <c r="B1615" i="3"/>
  <c r="D1618" i="3" l="1"/>
  <c r="E1618" i="3"/>
  <c r="H1618" i="3" s="1"/>
  <c r="R1618" i="3" s="1"/>
  <c r="W1617" i="3"/>
  <c r="C1617" i="3"/>
  <c r="S1617" i="3"/>
  <c r="AC1617" i="3" s="1"/>
  <c r="B1616" i="3"/>
  <c r="B1617" i="3" l="1"/>
  <c r="D1619" i="3"/>
  <c r="E1619" i="3"/>
  <c r="H1619" i="3"/>
  <c r="R1619" i="3" s="1"/>
  <c r="C1618" i="3"/>
  <c r="S1618" i="3"/>
  <c r="AC1618" i="3" s="1"/>
  <c r="W1618" i="3"/>
  <c r="E1620" i="3" l="1"/>
  <c r="H1620" i="3"/>
  <c r="R1620" i="3" s="1"/>
  <c r="D1620" i="3"/>
  <c r="C1619" i="3"/>
  <c r="S1619" i="3"/>
  <c r="AC1619" i="3" s="1"/>
  <c r="W1619" i="3"/>
  <c r="B1618" i="3"/>
  <c r="C1620" i="3" l="1"/>
  <c r="S1620" i="3"/>
  <c r="AC1620" i="3" s="1"/>
  <c r="W1620" i="3"/>
  <c r="D1621" i="3"/>
  <c r="E1621" i="3"/>
  <c r="H1621" i="3"/>
  <c r="R1621" i="3" s="1"/>
  <c r="B1619" i="3"/>
  <c r="E1622" i="3" l="1"/>
  <c r="H1622" i="3"/>
  <c r="R1622" i="3" s="1"/>
  <c r="D1622" i="3"/>
  <c r="C1621" i="3"/>
  <c r="W1621" i="3"/>
  <c r="S1621" i="3"/>
  <c r="AC1621" i="3" s="1"/>
  <c r="B1620" i="3"/>
  <c r="B1621" i="3" s="1"/>
  <c r="C1622" i="3" l="1"/>
  <c r="S1622" i="3"/>
  <c r="AC1622" i="3" s="1"/>
  <c r="W1622" i="3"/>
  <c r="D1623" i="3"/>
  <c r="E1623" i="3"/>
  <c r="H1623" i="3" s="1"/>
  <c r="R1623" i="3" s="1"/>
  <c r="D1624" i="3" l="1"/>
  <c r="E1624" i="3"/>
  <c r="H1624" i="3" s="1"/>
  <c r="R1624" i="3" s="1"/>
  <c r="C1623" i="3"/>
  <c r="S1623" i="3"/>
  <c r="AC1623" i="3" s="1"/>
  <c r="W1623" i="3"/>
  <c r="B1622" i="3"/>
  <c r="B1623" i="3" s="1"/>
  <c r="D1625" i="3" l="1"/>
  <c r="E1625" i="3"/>
  <c r="H1625" i="3"/>
  <c r="R1625" i="3" s="1"/>
  <c r="C1624" i="3"/>
  <c r="S1624" i="3"/>
  <c r="AC1624" i="3" s="1"/>
  <c r="W1624" i="3"/>
  <c r="B1624" i="3" l="1"/>
  <c r="E1626" i="3"/>
  <c r="H1626" i="3"/>
  <c r="R1626" i="3" s="1"/>
  <c r="D1626" i="3"/>
  <c r="C1625" i="3"/>
  <c r="S1625" i="3"/>
  <c r="AC1625" i="3" s="1"/>
  <c r="W1625" i="3"/>
  <c r="C1626" i="3" l="1"/>
  <c r="S1626" i="3"/>
  <c r="AC1626" i="3" s="1"/>
  <c r="W1626" i="3"/>
  <c r="D1627" i="3"/>
  <c r="E1627" i="3"/>
  <c r="H1627" i="3" s="1"/>
  <c r="B1625" i="3"/>
  <c r="T1627" i="3" l="1"/>
  <c r="Q1627" i="3"/>
  <c r="R1627" i="3" s="1"/>
  <c r="E1628" i="3"/>
  <c r="H1628" i="3" s="1"/>
  <c r="R1628" i="3" s="1"/>
  <c r="D1628" i="3"/>
  <c r="C1627" i="3"/>
  <c r="B1626" i="3"/>
  <c r="B1627" i="3" l="1"/>
  <c r="W1627" i="3"/>
  <c r="S1627" i="3"/>
  <c r="C1628" i="3"/>
  <c r="S1628" i="3"/>
  <c r="AC1628" i="3" s="1"/>
  <c r="W1628" i="3"/>
  <c r="D1629" i="3"/>
  <c r="E1629" i="3"/>
  <c r="H1629" i="3" s="1"/>
  <c r="S1629" i="3" l="1"/>
  <c r="AC1629" i="3" s="1"/>
  <c r="Q1629" i="3"/>
  <c r="R1629" i="3" s="1"/>
  <c r="AL1627" i="3"/>
  <c r="AC1627" i="3" s="1"/>
  <c r="H1630" i="3"/>
  <c r="R1630" i="3" s="1"/>
  <c r="C1629" i="3"/>
  <c r="B1628" i="3"/>
  <c r="B1629" i="3" l="1"/>
  <c r="W1629" i="3"/>
  <c r="C1630" i="3"/>
  <c r="W1630" i="3"/>
  <c r="S1630" i="3"/>
  <c r="H1631" i="3"/>
  <c r="R1631" i="3" s="1"/>
  <c r="AL1630" i="3" l="1"/>
  <c r="AC1630" i="3" s="1"/>
  <c r="C1631" i="3"/>
  <c r="W1631" i="3"/>
  <c r="S1631" i="3"/>
  <c r="AC1631" i="3" s="1"/>
  <c r="E1632" i="3"/>
  <c r="D1632" i="3"/>
  <c r="B1630" i="3"/>
  <c r="B1631" i="3" l="1"/>
  <c r="C1632" i="3"/>
  <c r="B1632" i="3" s="1"/>
  <c r="H1632" i="3" s="1"/>
  <c r="R1632" i="3" s="1"/>
  <c r="W1632" i="3" s="1"/>
  <c r="S1632" i="3"/>
  <c r="AC1632" i="3" s="1"/>
  <c r="D1633" i="3"/>
  <c r="E1633" i="3"/>
  <c r="D1634" i="3" l="1"/>
  <c r="E1634" i="3"/>
  <c r="C1633" i="3"/>
  <c r="B1633" i="3" s="1"/>
  <c r="H1633" i="3" s="1"/>
  <c r="S1633" i="3"/>
  <c r="AC1633" i="3" s="1"/>
  <c r="R1633" i="3" l="1"/>
  <c r="W1633" i="3" s="1"/>
  <c r="H1634" i="3"/>
  <c r="T1634" i="3"/>
  <c r="S1634" i="3" s="1"/>
  <c r="Q1634" i="3"/>
  <c r="R1634" i="3" s="1"/>
  <c r="D1635" i="3"/>
  <c r="E1635" i="3"/>
  <c r="H1635" i="3" s="1"/>
  <c r="R1635" i="3" s="1"/>
  <c r="C1634" i="3"/>
  <c r="AH1634" i="3" l="1"/>
  <c r="AC1634" i="3" s="1"/>
  <c r="W1634" i="3"/>
  <c r="B1634" i="3"/>
  <c r="D1636" i="3"/>
  <c r="E1636" i="3"/>
  <c r="H1636" i="3" s="1"/>
  <c r="W1635" i="3"/>
  <c r="C1635" i="3"/>
  <c r="S1635" i="3"/>
  <c r="AC1635" i="3" s="1"/>
  <c r="B1635" i="3" l="1"/>
  <c r="T1636" i="3"/>
  <c r="Q1636" i="3"/>
  <c r="R1636" i="3" s="1"/>
  <c r="D1637" i="3"/>
  <c r="E1637" i="3"/>
  <c r="H1637" i="3" s="1"/>
  <c r="R1637" i="3" s="1"/>
  <c r="C1636" i="3"/>
  <c r="W1636" i="3" l="1"/>
  <c r="S1636" i="3"/>
  <c r="AC1636" i="3" s="1"/>
  <c r="B1636" i="3"/>
  <c r="H1638" i="3"/>
  <c r="R1638" i="3" s="1"/>
  <c r="E1638" i="3"/>
  <c r="D1638" i="3"/>
  <c r="C1637" i="3"/>
  <c r="W1637" i="3"/>
  <c r="S1637" i="3"/>
  <c r="AC1637" i="3" s="1"/>
  <c r="C1638" i="3" l="1"/>
  <c r="W1638" i="3"/>
  <c r="S1638" i="3"/>
  <c r="AC1638" i="3" s="1"/>
  <c r="E1639" i="3"/>
  <c r="H1639" i="3"/>
  <c r="R1639" i="3" s="1"/>
  <c r="D1639" i="3"/>
  <c r="B1637" i="3"/>
  <c r="B1638" i="3" l="1"/>
  <c r="B1639" i="3" s="1"/>
  <c r="C1639" i="3"/>
  <c r="S1639" i="3"/>
  <c r="AC1639" i="3" s="1"/>
  <c r="W1639" i="3"/>
  <c r="D1640" i="3"/>
  <c r="E1640" i="3"/>
  <c r="H1640" i="3" s="1"/>
  <c r="R1640" i="3" s="1"/>
  <c r="D1641" i="3" l="1"/>
  <c r="E1641" i="3"/>
  <c r="H1641" i="3" s="1"/>
  <c r="R1641" i="3" s="1"/>
  <c r="W1640" i="3"/>
  <c r="C1640" i="3"/>
  <c r="B1640" i="3" s="1"/>
  <c r="S1640" i="3"/>
  <c r="AC1640" i="3" s="1"/>
  <c r="D1642" i="3" l="1"/>
  <c r="E1642" i="3"/>
  <c r="H1642" i="3"/>
  <c r="R1642" i="3" s="1"/>
  <c r="C1641" i="3"/>
  <c r="S1641" i="3"/>
  <c r="AC1641" i="3" s="1"/>
  <c r="W1641" i="3"/>
  <c r="E1643" i="3" l="1"/>
  <c r="H1643" i="3" s="1"/>
  <c r="R1643" i="3" s="1"/>
  <c r="D1643" i="3"/>
  <c r="C1642" i="3"/>
  <c r="W1642" i="3"/>
  <c r="S1642" i="3"/>
  <c r="AC1642" i="3" s="1"/>
  <c r="B1641" i="3"/>
  <c r="C1643" i="3" l="1"/>
  <c r="S1643" i="3"/>
  <c r="AC1643" i="3" s="1"/>
  <c r="W1643" i="3"/>
  <c r="E1644" i="3"/>
  <c r="H1644" i="3" s="1"/>
  <c r="R1644" i="3" s="1"/>
  <c r="D1644" i="3"/>
  <c r="B1642" i="3"/>
  <c r="C1644" i="3" l="1"/>
  <c r="S1644" i="3"/>
  <c r="AC1644" i="3" s="1"/>
  <c r="W1644" i="3"/>
  <c r="D1645" i="3"/>
  <c r="H1645" i="3"/>
  <c r="R1645" i="3" s="1"/>
  <c r="E1645" i="3"/>
  <c r="B1643" i="3"/>
  <c r="B1644" i="3" s="1"/>
  <c r="E1646" i="3" l="1"/>
  <c r="H1646" i="3" s="1"/>
  <c r="R1646" i="3" s="1"/>
  <c r="D1646" i="3"/>
  <c r="C1645" i="3"/>
  <c r="S1645" i="3"/>
  <c r="AC1645" i="3" s="1"/>
  <c r="W1645" i="3"/>
  <c r="B1645" i="3" l="1"/>
  <c r="C1646" i="3"/>
  <c r="B1646" i="3" s="1"/>
  <c r="W1646" i="3"/>
  <c r="S1646" i="3"/>
  <c r="AC1646" i="3" s="1"/>
  <c r="D1647" i="3"/>
  <c r="E1647" i="3"/>
  <c r="H1647" i="3" s="1"/>
  <c r="R1647" i="3" s="1"/>
  <c r="D1648" i="3" l="1"/>
  <c r="E1648" i="3"/>
  <c r="H1648" i="3" s="1"/>
  <c r="R1648" i="3" s="1"/>
  <c r="C1647" i="3"/>
  <c r="B1647" i="3" s="1"/>
  <c r="W1647" i="3"/>
  <c r="S1647" i="3"/>
  <c r="AC1647" i="3" s="1"/>
  <c r="D1649" i="3" l="1"/>
  <c r="E1649" i="3"/>
  <c r="H1649" i="3"/>
  <c r="R1649" i="3" s="1"/>
  <c r="C1648" i="3"/>
  <c r="B1648" i="3" s="1"/>
  <c r="S1648" i="3"/>
  <c r="AC1648" i="3" s="1"/>
  <c r="W1648" i="3"/>
  <c r="D1650" i="3" l="1"/>
  <c r="E1650" i="3"/>
  <c r="H1650" i="3" s="1"/>
  <c r="R1650" i="3" s="1"/>
  <c r="C1649" i="3"/>
  <c r="S1649" i="3"/>
  <c r="AC1649" i="3" s="1"/>
  <c r="W1649" i="3"/>
  <c r="D1651" i="3" l="1"/>
  <c r="E1651" i="3"/>
  <c r="H1651" i="3"/>
  <c r="R1651" i="3" s="1"/>
  <c r="B1649" i="3"/>
  <c r="C1650" i="3"/>
  <c r="S1650" i="3"/>
  <c r="AC1650" i="3" s="1"/>
  <c r="W1650" i="3"/>
  <c r="B1650" i="3" l="1"/>
  <c r="D1652" i="3"/>
  <c r="E1652" i="3"/>
  <c r="H1652" i="3" s="1"/>
  <c r="R1652" i="3" s="1"/>
  <c r="C1651" i="3"/>
  <c r="B1651" i="3" s="1"/>
  <c r="S1651" i="3"/>
  <c r="AC1651" i="3" s="1"/>
  <c r="W1651" i="3"/>
  <c r="D1653" i="3" l="1"/>
  <c r="H1653" i="3"/>
  <c r="R1653" i="3" s="1"/>
  <c r="E1653" i="3"/>
  <c r="C1652" i="3"/>
  <c r="S1652" i="3"/>
  <c r="AC1652" i="3" s="1"/>
  <c r="W1652" i="3"/>
  <c r="B1652" i="3" l="1"/>
  <c r="D1654" i="3"/>
  <c r="E1654" i="3"/>
  <c r="H1654" i="3" s="1"/>
  <c r="R1654" i="3" s="1"/>
  <c r="C1653" i="3"/>
  <c r="W1653" i="3"/>
  <c r="S1653" i="3"/>
  <c r="AC1653" i="3" s="1"/>
  <c r="B1653" i="3" l="1"/>
  <c r="D1655" i="3"/>
  <c r="E1655" i="3"/>
  <c r="H1655" i="3"/>
  <c r="R1655" i="3" s="1"/>
  <c r="C1654" i="3"/>
  <c r="W1654" i="3"/>
  <c r="S1654" i="3"/>
  <c r="AC1654" i="3" s="1"/>
  <c r="C1655" i="3" l="1"/>
  <c r="W1655" i="3"/>
  <c r="S1655" i="3"/>
  <c r="AC1655" i="3" s="1"/>
  <c r="E1656" i="3"/>
  <c r="H1656" i="3"/>
  <c r="R1656" i="3" s="1"/>
  <c r="D1656" i="3"/>
  <c r="B1654" i="3"/>
  <c r="B1655" i="3" s="1"/>
  <c r="C1656" i="3" l="1"/>
  <c r="W1656" i="3"/>
  <c r="S1656" i="3"/>
  <c r="AC1656" i="3" s="1"/>
  <c r="E1657" i="3"/>
  <c r="H1657" i="3"/>
  <c r="R1657" i="3" s="1"/>
  <c r="D1657" i="3"/>
  <c r="B1656" i="3"/>
  <c r="C1657" i="3" l="1"/>
  <c r="W1657" i="3"/>
  <c r="S1657" i="3"/>
  <c r="AC1657" i="3" s="1"/>
  <c r="D1658" i="3"/>
  <c r="E1658" i="3"/>
  <c r="H1658" i="3" s="1"/>
  <c r="R1658" i="3" s="1"/>
  <c r="B1657" i="3"/>
  <c r="D1659" i="3" l="1"/>
  <c r="H1659" i="3"/>
  <c r="R1659" i="3" s="1"/>
  <c r="E1659" i="3"/>
  <c r="C1658" i="3"/>
  <c r="W1658" i="3"/>
  <c r="S1658" i="3"/>
  <c r="AC1658" i="3" s="1"/>
  <c r="B1658" i="3"/>
  <c r="E1660" i="3" l="1"/>
  <c r="H1660" i="3" s="1"/>
  <c r="R1660" i="3" s="1"/>
  <c r="D1660" i="3"/>
  <c r="C1659" i="3"/>
  <c r="S1659" i="3"/>
  <c r="AC1659" i="3" s="1"/>
  <c r="W1659" i="3"/>
  <c r="C1660" i="3" l="1"/>
  <c r="S1660" i="3"/>
  <c r="AC1660" i="3" s="1"/>
  <c r="W1660" i="3"/>
  <c r="E1661" i="3"/>
  <c r="D1661" i="3"/>
  <c r="H1661" i="3"/>
  <c r="R1661" i="3" s="1"/>
  <c r="B1659" i="3"/>
  <c r="C1661" i="3" l="1"/>
  <c r="W1661" i="3"/>
  <c r="S1661" i="3"/>
  <c r="AC1661" i="3" s="1"/>
  <c r="D1662" i="3"/>
  <c r="E1662" i="3"/>
  <c r="H1662" i="3" s="1"/>
  <c r="R1662" i="3" s="1"/>
  <c r="B1660" i="3"/>
  <c r="B1661" i="3" s="1"/>
  <c r="D1663" i="3" l="1"/>
  <c r="H1663" i="3"/>
  <c r="R1663" i="3" s="1"/>
  <c r="E1663" i="3"/>
  <c r="S1662" i="3"/>
  <c r="AC1662" i="3" s="1"/>
  <c r="C1662" i="3"/>
  <c r="B1662" i="3" s="1"/>
  <c r="W1662" i="3"/>
  <c r="D1664" i="3" l="1"/>
  <c r="H1664" i="3"/>
  <c r="R1664" i="3" s="1"/>
  <c r="E1664" i="3"/>
  <c r="C1663" i="3"/>
  <c r="B1663" i="3" s="1"/>
  <c r="S1663" i="3"/>
  <c r="AC1663" i="3" s="1"/>
  <c r="W1663" i="3"/>
  <c r="E1665" i="3" l="1"/>
  <c r="D1665" i="3"/>
  <c r="H1665" i="3"/>
  <c r="R1665" i="3" s="1"/>
  <c r="C1664" i="3"/>
  <c r="S1664" i="3"/>
  <c r="AC1664" i="3" s="1"/>
  <c r="W1664" i="3"/>
  <c r="B1664" i="3" l="1"/>
  <c r="C1665" i="3"/>
  <c r="S1665" i="3"/>
  <c r="AC1665" i="3" s="1"/>
  <c r="W1665" i="3"/>
  <c r="E1666" i="3"/>
  <c r="H1666" i="3" s="1"/>
  <c r="R1666" i="3" s="1"/>
  <c r="D1666" i="3"/>
  <c r="B1665" i="3" l="1"/>
  <c r="C1666" i="3"/>
  <c r="W1666" i="3"/>
  <c r="S1666" i="3"/>
  <c r="AC1666" i="3" s="1"/>
  <c r="B166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<sst xmlns="http://schemas.openxmlformats.org/spreadsheetml/2006/main" count="1539" uniqueCount="99">
  <si>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</si>
  <si>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</si>
  <si>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</si>
  <si>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</si>
  <si>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</si>
  <si>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</si>
  <si>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</si>
  <si>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</si>
  <si>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</si>
  <si>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</si>
  <si>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</si>
  <si>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</si>
  <si>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</si>
  <si>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</si>
  <si>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</si>
  <si>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</si>
  <si>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</si>
  <si>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</si>
  <si>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</si>
  <si>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</si>
  <si>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</si>
  <si>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</si>
  <si>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</si>
  <si>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</si>
  <si>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</si>
  <si>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</si>
  <si>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</si>
  <si>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</si>
  <si>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</si>
  <si>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</si>
  <si>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</si>
  <si>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</si>
  <si>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</si>
  <si>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</si>
  <si>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</si>
  <si>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</si>
  <si>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</si>
  <si>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</si>
  <si>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</si>
  <si>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</si>
  <si>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</si>
  <si>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</si>
  <si>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</si>
  <si>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</si>
  <si>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</si>
  <si>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</si>
  <si>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</si>
  <si>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</si>
  <si>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</si>
  <si>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</si>
  <si>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</si>
  <si>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</si>
  <si>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</si>
  <si>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</si>
  <si>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</si>
  <si>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</si>
  <si>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Senecio</t>
  </si>
  <si>
    <t>burtoni</t>
  </si>
  <si>
    <t>Nov</t>
  </si>
  <si>
    <t>Acalyptratae sp.</t>
  </si>
  <si>
    <t>Diptera</t>
  </si>
  <si>
    <t>Brachycera sp.</t>
  </si>
  <si>
    <t>Ichneumonidae sp.?</t>
  </si>
  <si>
    <t>Hymenoptera</t>
  </si>
  <si>
    <t xml:space="preserve"> </t>
  </si>
  <si>
    <t>Small bug</t>
  </si>
  <si>
    <t>Coleoptera</t>
  </si>
  <si>
    <t>Moth</t>
  </si>
  <si>
    <t>Lepidoptera</t>
  </si>
  <si>
    <t>Ichneumonidae sp.</t>
  </si>
  <si>
    <t>Small apoidea sp.</t>
  </si>
  <si>
    <t>Apis mellifera sp.</t>
  </si>
  <si>
    <t>diptera</t>
  </si>
  <si>
    <t>Apoidea sp.</t>
  </si>
  <si>
    <t>Unknown departure</t>
  </si>
  <si>
    <t>Very hard to keep track which is which now</t>
  </si>
  <si>
    <t xml:space="preserve">  </t>
  </si>
  <si>
    <t>it is there till the end of the video</t>
  </si>
  <si>
    <t>Brachycera</t>
  </si>
  <si>
    <t>Grey fly with dots</t>
  </si>
  <si>
    <t>yes</t>
  </si>
  <si>
    <t>small parasitic wasp</t>
  </si>
  <si>
    <t>Anthomyiidae</t>
  </si>
  <si>
    <t>small beetle</t>
  </si>
  <si>
    <t>Striped fly with ant</t>
  </si>
  <si>
    <t>Acalyptratae</t>
  </si>
  <si>
    <t>Big black and white abdomen fly</t>
  </si>
  <si>
    <t>small Apoidea</t>
  </si>
  <si>
    <t>Blue metallic fly</t>
  </si>
  <si>
    <t>Striped Halictidae</t>
  </si>
  <si>
    <t>Apoidea</t>
  </si>
  <si>
    <t>small Hymenoptera</t>
  </si>
  <si>
    <t>Morphospecies</t>
  </si>
  <si>
    <t>JH/SD IDs</t>
  </si>
  <si>
    <t>Noctuidae sp.07</t>
  </si>
  <si>
    <t>Noctuidae</t>
  </si>
  <si>
    <t>Anthomyia sp.02</t>
  </si>
  <si>
    <t>Anthomyia sp.04</t>
  </si>
  <si>
    <t>Noctuidae sp.14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</si>
</sst>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19">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3" fillId="18" borderId="12"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Pollination%20experiment\Hut2%20(Elevation%202)\SenBur06%20oui.xlsx" TargetMode="External"/><Relationship Id="rId1" Type="http://schemas.openxmlformats.org/officeDocument/2006/relationships/externalLinkPath" Target="SenBur06%20ou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nBur06"/>
      <sheetName val="Morphospecies"/>
      <sheetName val="SenBur06 oui"/>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666"/>
  <sheetViews>
    <sheetView tabSelected="1" zoomScale="80" zoomScaleNormal="80" workbookViewId="0">
      <pane xSplit="6" ySplit="2" topLeftCell="L160" activePane="bottomRight" state="frozen"/>
      <selection pane="topRight" activeCell="G1" sqref="G1"/>
      <selection pane="bottomLeft" activeCell="A3" sqref="A3"/>
      <selection pane="bottomRight" activeCell="Y1667" sqref="Y1667"/>
    </sheetView>
  </sheetViews>
  <sheetFormatPr defaultColWidth="5" defaultRowHeight="14.5" x14ac:dyDescent="0.35"/>
  <cols>
    <col min="1" max="1" width="5.54296875" customWidth="1"/>
    <col min="2" max="2" width="8.1796875" customWidth="1"/>
    <col min="3" max="3" width="5" style="87" customWidth="1"/>
    <col min="4" max="5" width="5" customWidth="1"/>
    <col min="6" max="6" width="7.45312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6" width="18.81640625" customWidth="1"/>
    <col min="27" max="27" width="13.26953125" customWidth="1"/>
    <col min="28" max="28" width="5" customWidth="1"/>
    <col min="29" max="29" width="3" style="86" customWidth="1"/>
    <col min="34" max="34" width="7.26953125"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7"/>
      <c r="Z1" s="117"/>
      <c r="AA1" s="117"/>
      <c r="AB1" s="118"/>
      <c r="AC1" s="7"/>
      <c r="AD1" s="116" t="s">
        <v>14</v>
      </c>
      <c r="AE1" s="117"/>
      <c r="AF1" s="117"/>
      <c r="AG1" s="117"/>
      <c r="AH1" s="117"/>
      <c r="AI1" s="117"/>
      <c r="AJ1" s="117"/>
      <c r="AK1" s="117"/>
      <c r="AL1" s="117"/>
      <c r="AM1" s="117"/>
      <c r="AN1" s="117"/>
      <c r="AO1" s="117"/>
      <c r="AP1" s="117"/>
      <c r="AQ1" s="117"/>
      <c r="AR1" s="117"/>
      <c r="AS1" s="117"/>
      <c r="AT1" s="117"/>
      <c r="AU1" s="117"/>
      <c r="AV1" s="117"/>
      <c r="AW1" s="118"/>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9" t="s">
        <v>93</v>
      </c>
      <c r="Z2" s="99" t="s">
        <v>92</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16</v>
      </c>
      <c r="D3" s="35">
        <v>15</v>
      </c>
      <c r="E3" s="36">
        <v>50</v>
      </c>
      <c r="F3" s="37"/>
      <c r="G3" s="38"/>
      <c r="H3" s="39" t="str">
        <f>CONCATENATE(LEFT(J3,3),LEFT(K3,3),L3,"_",A3,TEXT(MONTH(DATEVALUE(B3&amp;" 1")),"00"),TEXT(IF(AND(E3&lt;G3, D3=0), C3-1, C3),"00"),"_",TEXT(IF(E3&lt;G3, IF(D3-1=-1, 23, D3-1), D3), "00"),"_",TEXT(G3,"00"))</f>
        <v>Senbur6_20191116_15_00</v>
      </c>
      <c r="I3" s="40">
        <v>1</v>
      </c>
      <c r="J3" s="41" t="s">
        <v>56</v>
      </c>
      <c r="K3" s="42" t="s">
        <v>57</v>
      </c>
      <c r="L3" s="43">
        <v>6</v>
      </c>
      <c r="M3" s="43">
        <v>12</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INDEX([1]!VISITORS[INSECT ORDER], MATCH(X3,[1]!VISITORS[NAME USED],0))</f>
        <v>#REF!</v>
      </c>
      <c r="AB3" s="48" t="e">
        <f>IF(AA3&lt;&gt;0,"NA","")</f>
        <v>#REF!</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16</v>
      </c>
      <c r="D4" s="65">
        <f t="shared" ref="D4:D67" si="3">IF(IF(E3=59,D3+1,D3)=24,0,IF(E3=59,D3+1,D3))</f>
        <v>15</v>
      </c>
      <c r="E4" s="66">
        <f t="shared" ref="E4:E67" si="4">IF(E3&lt;59,E3+1,0)</f>
        <v>51</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Senbur6_20191116_15_00</v>
      </c>
      <c r="I4" s="70">
        <f>I3</f>
        <v>1</v>
      </c>
      <c r="J4" s="71" t="str">
        <f t="shared" ref="J4:N19" si="5">J3</f>
        <v>Senecio</v>
      </c>
      <c r="K4" s="71" t="str">
        <f t="shared" si="5"/>
        <v>burtoni</v>
      </c>
      <c r="L4" s="72">
        <f t="shared" si="5"/>
        <v>6</v>
      </c>
      <c r="M4" s="72">
        <f t="shared" si="5"/>
        <v>12</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INDEX([1]!VISITORS[INSECT ORDER], MATCH(X4,[1]!VISITORS[NAME USED],0))</f>
        <v>#REF!</v>
      </c>
      <c r="AB4" s="48" t="e">
        <f t="shared" ref="AB4:AB67" si="11">IF(AA4&lt;&gt;0,"NA","")</f>
        <v>#REF!</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16</v>
      </c>
      <c r="D5" s="75">
        <f t="shared" si="3"/>
        <v>15</v>
      </c>
      <c r="E5" s="76">
        <f t="shared" si="4"/>
        <v>52</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Senbur6_20191116_15_00</v>
      </c>
      <c r="I5" s="70">
        <f t="shared" ref="I5:N20" si="28">I4</f>
        <v>1</v>
      </c>
      <c r="J5" s="77" t="str">
        <f t="shared" si="5"/>
        <v>Senecio</v>
      </c>
      <c r="K5" s="77" t="str">
        <f t="shared" si="5"/>
        <v>burtoni</v>
      </c>
      <c r="L5" s="78">
        <f t="shared" si="5"/>
        <v>6</v>
      </c>
      <c r="M5" s="78">
        <f t="shared" si="5"/>
        <v>12</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INDEX([1]!VISITORS[INSECT ORDER], MATCH(X5,[1]!VISITORS[NAME USED],0))</f>
        <v>#REF!</v>
      </c>
      <c r="AB5" s="48" t="e">
        <f t="shared" si="11"/>
        <v>#REF!</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16</v>
      </c>
      <c r="D6" s="75">
        <f t="shared" si="3"/>
        <v>15</v>
      </c>
      <c r="E6" s="76">
        <f t="shared" si="4"/>
        <v>53</v>
      </c>
      <c r="F6" s="67"/>
      <c r="G6" s="68"/>
      <c r="H6" s="69" t="str">
        <f t="shared" si="27"/>
        <v>Senbur6_20191116_15_00</v>
      </c>
      <c r="I6" s="70">
        <f t="shared" si="28"/>
        <v>1</v>
      </c>
      <c r="J6" s="77" t="str">
        <f t="shared" si="5"/>
        <v>Senecio</v>
      </c>
      <c r="K6" s="77" t="str">
        <f t="shared" si="5"/>
        <v>burtoni</v>
      </c>
      <c r="L6" s="78">
        <f t="shared" si="5"/>
        <v>6</v>
      </c>
      <c r="M6" s="78">
        <f t="shared" si="5"/>
        <v>12</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INDEX([1]!VISITORS[INSECT ORDER], MATCH(X6,[1]!VISITORS[NAME USED],0))</f>
        <v>#REF!</v>
      </c>
      <c r="AB6" s="48" t="e">
        <f t="shared" si="11"/>
        <v>#REF!</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16</v>
      </c>
      <c r="D7" s="75">
        <f t="shared" si="3"/>
        <v>15</v>
      </c>
      <c r="E7" s="76">
        <f t="shared" si="4"/>
        <v>54</v>
      </c>
      <c r="F7" s="67"/>
      <c r="G7" s="68"/>
      <c r="H7" s="69" t="str">
        <f t="shared" si="27"/>
        <v>Senbur6_20191116_15_00</v>
      </c>
      <c r="I7" s="70">
        <f t="shared" si="28"/>
        <v>1</v>
      </c>
      <c r="J7" s="77" t="str">
        <f t="shared" si="5"/>
        <v>Senecio</v>
      </c>
      <c r="K7" s="77" t="str">
        <f t="shared" si="5"/>
        <v>burtoni</v>
      </c>
      <c r="L7" s="78">
        <f t="shared" si="5"/>
        <v>6</v>
      </c>
      <c r="M7" s="78">
        <f t="shared" si="5"/>
        <v>12</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INDEX([1]!VISITORS[INSECT ORDER], MATCH(X7,[1]!VISITORS[NAME USED],0))</f>
        <v>#REF!</v>
      </c>
      <c r="AB7" s="48" t="e">
        <f t="shared" si="11"/>
        <v>#REF!</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16</v>
      </c>
      <c r="D8" s="75">
        <f t="shared" si="3"/>
        <v>15</v>
      </c>
      <c r="E8" s="76">
        <f t="shared" si="4"/>
        <v>55</v>
      </c>
      <c r="F8" s="67"/>
      <c r="G8" s="79"/>
      <c r="H8" s="69" t="str">
        <f t="shared" si="27"/>
        <v>Senbur6_20191116_15_00</v>
      </c>
      <c r="I8" s="70">
        <f t="shared" si="28"/>
        <v>1</v>
      </c>
      <c r="J8" s="77" t="str">
        <f t="shared" si="5"/>
        <v>Senecio</v>
      </c>
      <c r="K8" s="77" t="str">
        <f t="shared" si="5"/>
        <v>burtoni</v>
      </c>
      <c r="L8" s="78">
        <f t="shared" si="5"/>
        <v>6</v>
      </c>
      <c r="M8" s="78">
        <f t="shared" si="5"/>
        <v>12</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INDEX([1]!VISITORS[INSECT ORDER], MATCH(X8,[1]!VISITORS[NAME USED],0))</f>
        <v>#REF!</v>
      </c>
      <c r="AB8" s="48" t="e">
        <f t="shared" si="11"/>
        <v>#REF!</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16</v>
      </c>
      <c r="D9" s="75">
        <f t="shared" si="3"/>
        <v>15</v>
      </c>
      <c r="E9" s="76">
        <f t="shared" si="4"/>
        <v>56</v>
      </c>
      <c r="F9" s="80"/>
      <c r="G9" s="81"/>
      <c r="H9" s="69" t="str">
        <f t="shared" si="27"/>
        <v>Senbur6_20191116_15_00</v>
      </c>
      <c r="I9" s="70">
        <f t="shared" si="28"/>
        <v>1</v>
      </c>
      <c r="J9" s="77" t="str">
        <f t="shared" si="5"/>
        <v>Senecio</v>
      </c>
      <c r="K9" s="77" t="str">
        <f t="shared" si="5"/>
        <v>burtoni</v>
      </c>
      <c r="L9" s="78">
        <f t="shared" si="5"/>
        <v>6</v>
      </c>
      <c r="M9" s="78">
        <f t="shared" si="5"/>
        <v>12</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INDEX([1]!VISITORS[INSECT ORDER], MATCH(X9,[1]!VISITORS[NAME USED],0))</f>
        <v>#REF!</v>
      </c>
      <c r="AB9" s="48" t="e">
        <f t="shared" si="11"/>
        <v>#REF!</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16</v>
      </c>
      <c r="D10" s="75">
        <f t="shared" si="3"/>
        <v>15</v>
      </c>
      <c r="E10" s="76">
        <f t="shared" si="4"/>
        <v>57</v>
      </c>
      <c r="F10" s="80">
        <v>34</v>
      </c>
      <c r="G10" s="82"/>
      <c r="H10" s="69" t="str">
        <f t="shared" si="27"/>
        <v>Senbur6_20191116_15_00</v>
      </c>
      <c r="I10" s="70">
        <f t="shared" si="28"/>
        <v>1</v>
      </c>
      <c r="J10" s="77" t="str">
        <f t="shared" si="5"/>
        <v>Senecio</v>
      </c>
      <c r="K10" s="77" t="str">
        <f t="shared" si="5"/>
        <v>burtoni</v>
      </c>
      <c r="L10" s="78">
        <f t="shared" si="5"/>
        <v>6</v>
      </c>
      <c r="M10" s="78">
        <f t="shared" si="5"/>
        <v>12</v>
      </c>
      <c r="N10" s="72">
        <f t="shared" si="5"/>
        <v>0</v>
      </c>
      <c r="O10" s="45"/>
      <c r="P10" s="46">
        <f t="shared" si="6"/>
        <v>1</v>
      </c>
      <c r="Q10" s="47" t="str">
        <f t="shared" si="7"/>
        <v>15:57:34</v>
      </c>
      <c r="R10" s="48" t="str">
        <f t="shared" si="8"/>
        <v>57:34</v>
      </c>
      <c r="S10" s="49">
        <f t="shared" si="0"/>
        <v>59</v>
      </c>
      <c r="T10" s="48" t="str">
        <f t="shared" si="9"/>
        <v>15</v>
      </c>
      <c r="U10" s="50">
        <v>58</v>
      </c>
      <c r="V10" s="51">
        <v>33</v>
      </c>
      <c r="W10" s="52" t="str">
        <f t="shared" si="10"/>
        <v>58:33</v>
      </c>
      <c r="X10" s="53" t="s">
        <v>61</v>
      </c>
      <c r="Y10" s="97" t="s">
        <v>78</v>
      </c>
      <c r="Z10" s="97"/>
      <c r="AA10" s="48" t="s">
        <v>60</v>
      </c>
      <c r="AB10" s="48" t="str">
        <f t="shared" si="11"/>
        <v>NA</v>
      </c>
      <c r="AC10" s="54">
        <f t="shared" si="12"/>
        <v>0</v>
      </c>
      <c r="AD10" s="55">
        <f t="shared" si="13"/>
        <v>1</v>
      </c>
      <c r="AE10" s="55"/>
      <c r="AF10" s="55"/>
      <c r="AG10" s="56">
        <v>1</v>
      </c>
      <c r="AH10" s="57">
        <v>19</v>
      </c>
      <c r="AI10" s="56"/>
      <c r="AJ10" s="57" t="str">
        <f t="shared" si="16"/>
        <v/>
      </c>
      <c r="AK10" s="56">
        <v>1</v>
      </c>
      <c r="AL10" s="57">
        <v>40</v>
      </c>
      <c r="AM10" s="56"/>
      <c r="AN10" s="57" t="str">
        <f t="shared" si="18"/>
        <v/>
      </c>
      <c r="AO10" s="56"/>
      <c r="AP10" s="57" t="str">
        <f t="shared" si="19"/>
        <v/>
      </c>
      <c r="AQ10" s="56"/>
      <c r="AR10" s="57" t="str">
        <f t="shared" si="20"/>
        <v/>
      </c>
      <c r="AS10" s="56"/>
      <c r="AT10" s="57" t="str">
        <f t="shared" si="21"/>
        <v/>
      </c>
      <c r="AU10" s="58"/>
      <c r="AV10" s="59"/>
      <c r="AW10" s="59"/>
      <c r="AX10" s="60"/>
      <c r="AY10" s="61">
        <v>1</v>
      </c>
      <c r="AZ10" s="62">
        <f t="shared" si="23"/>
        <v>1</v>
      </c>
      <c r="BA10" s="61">
        <f t="shared" si="24"/>
        <v>0</v>
      </c>
      <c r="BB10" s="62" t="str">
        <f t="shared" si="25"/>
        <v/>
      </c>
    </row>
    <row r="11" spans="1:54" s="3" customFormat="1" hidden="1" x14ac:dyDescent="0.35">
      <c r="A11" s="73">
        <f t="shared" si="1"/>
        <v>2019</v>
      </c>
      <c r="B11" s="73" t="str">
        <f t="shared" si="2"/>
        <v>Nov</v>
      </c>
      <c r="C11" s="74">
        <f t="shared" si="26"/>
        <v>16</v>
      </c>
      <c r="D11" s="75">
        <f t="shared" si="3"/>
        <v>15</v>
      </c>
      <c r="E11" s="76">
        <f t="shared" si="4"/>
        <v>58</v>
      </c>
      <c r="F11" s="80"/>
      <c r="G11" s="83"/>
      <c r="H11" s="69" t="str">
        <f t="shared" si="27"/>
        <v>Senbur6_20191116_15_00</v>
      </c>
      <c r="I11" s="70">
        <f t="shared" si="28"/>
        <v>1</v>
      </c>
      <c r="J11" s="77" t="str">
        <f t="shared" si="5"/>
        <v>Senecio</v>
      </c>
      <c r="K11" s="77" t="str">
        <f t="shared" si="5"/>
        <v>burtoni</v>
      </c>
      <c r="L11" s="78">
        <f t="shared" si="5"/>
        <v>6</v>
      </c>
      <c r="M11" s="78">
        <f t="shared" si="5"/>
        <v>12</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INDEX([1]!VISITORS[INSECT ORDER], MATCH(X11,[1]!VISITORS[NAME USED],0))</f>
        <v>#REF!</v>
      </c>
      <c r="AB11" s="48" t="e">
        <f t="shared" si="11"/>
        <v>#REF!</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16</v>
      </c>
      <c r="D12" s="75">
        <f t="shared" si="3"/>
        <v>15</v>
      </c>
      <c r="E12" s="76">
        <f t="shared" si="4"/>
        <v>59</v>
      </c>
      <c r="F12" s="80"/>
      <c r="G12" s="83"/>
      <c r="H12" s="69" t="str">
        <f t="shared" si="27"/>
        <v>Senbur6_20191116_15_00</v>
      </c>
      <c r="I12" s="70">
        <f t="shared" si="28"/>
        <v>1</v>
      </c>
      <c r="J12" s="77" t="str">
        <f t="shared" si="5"/>
        <v>Senecio</v>
      </c>
      <c r="K12" s="77" t="str">
        <f t="shared" si="5"/>
        <v>burtoni</v>
      </c>
      <c r="L12" s="78">
        <f t="shared" si="5"/>
        <v>6</v>
      </c>
      <c r="M12" s="78">
        <f t="shared" si="5"/>
        <v>12</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INDEX([1]!VISITORS[INSECT ORDER], MATCH(X12,[1]!VISITORS[NAME USED],0))</f>
        <v>#REF!</v>
      </c>
      <c r="AB12" s="48" t="e">
        <f t="shared" si="11"/>
        <v>#REF!</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16</v>
      </c>
      <c r="D13" s="75">
        <f t="shared" si="3"/>
        <v>16</v>
      </c>
      <c r="E13" s="76">
        <f t="shared" si="4"/>
        <v>0</v>
      </c>
      <c r="F13" s="80"/>
      <c r="G13" s="83"/>
      <c r="H13" s="69" t="str">
        <f t="shared" si="27"/>
        <v>Senbur6_20191116_16_00</v>
      </c>
      <c r="I13" s="70">
        <f t="shared" si="28"/>
        <v>1</v>
      </c>
      <c r="J13" s="77" t="str">
        <f t="shared" si="5"/>
        <v>Senecio</v>
      </c>
      <c r="K13" s="77" t="str">
        <f t="shared" si="5"/>
        <v>burtoni</v>
      </c>
      <c r="L13" s="78">
        <f t="shared" si="5"/>
        <v>6</v>
      </c>
      <c r="M13" s="78">
        <f t="shared" si="5"/>
        <v>12</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INDEX([1]!VISITORS[INSECT ORDER], MATCH(X13,[1]!VISITORS[NAME USED],0))</f>
        <v>#REF!</v>
      </c>
      <c r="AB13" s="48" t="e">
        <f t="shared" si="11"/>
        <v>#REF!</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16</v>
      </c>
      <c r="D14" s="75">
        <f t="shared" si="3"/>
        <v>16</v>
      </c>
      <c r="E14" s="76">
        <f t="shared" si="4"/>
        <v>1</v>
      </c>
      <c r="F14" s="80"/>
      <c r="G14" s="83"/>
      <c r="H14" s="69" t="str">
        <f t="shared" si="27"/>
        <v>Senbur6_20191116_16_00</v>
      </c>
      <c r="I14" s="70">
        <f t="shared" si="28"/>
        <v>1</v>
      </c>
      <c r="J14" s="77" t="str">
        <f t="shared" si="5"/>
        <v>Senecio</v>
      </c>
      <c r="K14" s="77" t="str">
        <f t="shared" si="5"/>
        <v>burtoni</v>
      </c>
      <c r="L14" s="78">
        <f t="shared" si="5"/>
        <v>6</v>
      </c>
      <c r="M14" s="78">
        <f t="shared" si="5"/>
        <v>12</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INDEX([1]!VISITORS[INSECT ORDER], MATCH(X14,[1]!VISITORS[NAME USED],0))</f>
        <v>#REF!</v>
      </c>
      <c r="AB14" s="48" t="e">
        <f t="shared" si="11"/>
        <v>#REF!</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16</v>
      </c>
      <c r="D15" s="75">
        <f t="shared" si="3"/>
        <v>16</v>
      </c>
      <c r="E15" s="76">
        <f t="shared" si="4"/>
        <v>2</v>
      </c>
      <c r="F15" s="80"/>
      <c r="G15" s="83"/>
      <c r="H15" s="69" t="str">
        <f t="shared" si="27"/>
        <v>Senbur6_20191116_16_00</v>
      </c>
      <c r="I15" s="70">
        <f t="shared" si="28"/>
        <v>1</v>
      </c>
      <c r="J15" s="77" t="str">
        <f t="shared" si="5"/>
        <v>Senecio</v>
      </c>
      <c r="K15" s="77" t="str">
        <f t="shared" si="5"/>
        <v>burtoni</v>
      </c>
      <c r="L15" s="78">
        <f t="shared" si="5"/>
        <v>6</v>
      </c>
      <c r="M15" s="78">
        <f t="shared" si="5"/>
        <v>12</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INDEX([1]!VISITORS[INSECT ORDER], MATCH(X15,[1]!VISITORS[NAME USED],0))</f>
        <v>#REF!</v>
      </c>
      <c r="AB15" s="48" t="e">
        <f t="shared" si="11"/>
        <v>#REF!</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16</v>
      </c>
      <c r="D16" s="75">
        <f t="shared" si="3"/>
        <v>16</v>
      </c>
      <c r="E16" s="76">
        <f t="shared" si="4"/>
        <v>3</v>
      </c>
      <c r="F16" s="80"/>
      <c r="G16" s="83"/>
      <c r="H16" s="69" t="str">
        <f t="shared" si="27"/>
        <v>Senbur6_20191116_16_00</v>
      </c>
      <c r="I16" s="70">
        <f t="shared" si="28"/>
        <v>1</v>
      </c>
      <c r="J16" s="77" t="str">
        <f t="shared" si="5"/>
        <v>Senecio</v>
      </c>
      <c r="K16" s="77" t="str">
        <f t="shared" si="5"/>
        <v>burtoni</v>
      </c>
      <c r="L16" s="78">
        <f t="shared" si="5"/>
        <v>6</v>
      </c>
      <c r="M16" s="78">
        <f t="shared" si="5"/>
        <v>12</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INDEX([1]!VISITORS[INSECT ORDER], MATCH(X16,[1]!VISITORS[NAME USED],0))</f>
        <v>#REF!</v>
      </c>
      <c r="AB16" s="48" t="e">
        <f t="shared" si="11"/>
        <v>#REF!</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16</v>
      </c>
      <c r="D17" s="75">
        <f t="shared" si="3"/>
        <v>16</v>
      </c>
      <c r="E17" s="76">
        <f t="shared" si="4"/>
        <v>4</v>
      </c>
      <c r="F17" s="80">
        <v>48</v>
      </c>
      <c r="G17" s="83"/>
      <c r="H17" s="69" t="str">
        <f t="shared" si="27"/>
        <v>Senbur6_20191116_16_00</v>
      </c>
      <c r="I17" s="70">
        <f t="shared" si="28"/>
        <v>1</v>
      </c>
      <c r="J17" s="77" t="str">
        <f t="shared" si="5"/>
        <v>Senecio</v>
      </c>
      <c r="K17" s="77" t="str">
        <f t="shared" si="5"/>
        <v>burtoni</v>
      </c>
      <c r="L17" s="78">
        <f t="shared" si="5"/>
        <v>6</v>
      </c>
      <c r="M17" s="78">
        <f t="shared" si="5"/>
        <v>12</v>
      </c>
      <c r="N17" s="72">
        <f t="shared" si="5"/>
        <v>0</v>
      </c>
      <c r="O17" s="45"/>
      <c r="P17" s="46">
        <f t="shared" si="6"/>
        <v>1</v>
      </c>
      <c r="Q17" s="47" t="str">
        <f t="shared" si="7"/>
        <v>16:04:48</v>
      </c>
      <c r="R17" s="48" t="str">
        <f t="shared" si="8"/>
        <v>04:48</v>
      </c>
      <c r="S17" s="49">
        <f t="shared" si="0"/>
        <v>126</v>
      </c>
      <c r="T17" s="48" t="str">
        <f t="shared" si="9"/>
        <v>16</v>
      </c>
      <c r="U17" s="50">
        <v>6</v>
      </c>
      <c r="V17" s="51">
        <v>54</v>
      </c>
      <c r="W17" s="52" t="str">
        <f t="shared" si="10"/>
        <v>06:54</v>
      </c>
      <c r="X17" s="53" t="s">
        <v>61</v>
      </c>
      <c r="Y17" s="97" t="s">
        <v>78</v>
      </c>
      <c r="Z17" s="97"/>
      <c r="AA17" s="48" t="s">
        <v>60</v>
      </c>
      <c r="AB17" s="48" t="str">
        <f t="shared" si="11"/>
        <v>NA</v>
      </c>
      <c r="AC17" s="54">
        <f t="shared" si="12"/>
        <v>0</v>
      </c>
      <c r="AD17" s="55">
        <f t="shared" si="13"/>
        <v>1</v>
      </c>
      <c r="AE17" s="55"/>
      <c r="AF17" s="55"/>
      <c r="AG17" s="56">
        <v>1</v>
      </c>
      <c r="AH17" s="57">
        <v>40</v>
      </c>
      <c r="AI17" s="56"/>
      <c r="AJ17" s="57" t="str">
        <f t="shared" si="16"/>
        <v/>
      </c>
      <c r="AK17" s="56">
        <v>1</v>
      </c>
      <c r="AL17" s="57">
        <v>86</v>
      </c>
      <c r="AM17" s="56"/>
      <c r="AN17" s="57" t="str">
        <f t="shared" si="18"/>
        <v/>
      </c>
      <c r="AO17" s="56"/>
      <c r="AP17" s="57" t="str">
        <f t="shared" si="19"/>
        <v/>
      </c>
      <c r="AQ17" s="56"/>
      <c r="AR17" s="57" t="str">
        <f t="shared" si="20"/>
        <v/>
      </c>
      <c r="AS17" s="56"/>
      <c r="AT17" s="57" t="str">
        <f t="shared" si="21"/>
        <v/>
      </c>
      <c r="AU17" s="58"/>
      <c r="AV17" s="59"/>
      <c r="AW17" s="59"/>
      <c r="AX17" s="60"/>
      <c r="AY17" s="61">
        <v>1</v>
      </c>
      <c r="AZ17" s="62">
        <f t="shared" si="23"/>
        <v>1</v>
      </c>
      <c r="BA17" s="61">
        <f t="shared" si="24"/>
        <v>0</v>
      </c>
      <c r="BB17" s="62" t="str">
        <f t="shared" si="25"/>
        <v/>
      </c>
    </row>
    <row r="18" spans="1:54" s="3" customFormat="1" hidden="1" x14ac:dyDescent="0.35">
      <c r="A18" s="73">
        <f t="shared" si="1"/>
        <v>2019</v>
      </c>
      <c r="B18" s="73" t="str">
        <f t="shared" si="2"/>
        <v>Nov</v>
      </c>
      <c r="C18" s="74">
        <f t="shared" si="26"/>
        <v>16</v>
      </c>
      <c r="D18" s="75">
        <f t="shared" si="3"/>
        <v>16</v>
      </c>
      <c r="E18" s="76">
        <f t="shared" si="4"/>
        <v>5</v>
      </c>
      <c r="F18" s="80"/>
      <c r="G18" s="83"/>
      <c r="H18" s="69" t="str">
        <f t="shared" si="27"/>
        <v>Senbur6_20191116_16_00</v>
      </c>
      <c r="I18" s="70">
        <f t="shared" si="28"/>
        <v>1</v>
      </c>
      <c r="J18" s="77" t="str">
        <f t="shared" si="5"/>
        <v>Senecio</v>
      </c>
      <c r="K18" s="77" t="str">
        <f t="shared" si="5"/>
        <v>burtoni</v>
      </c>
      <c r="L18" s="78">
        <f t="shared" si="5"/>
        <v>6</v>
      </c>
      <c r="M18" s="78">
        <f t="shared" si="5"/>
        <v>12</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INDEX([1]!VISITORS[INSECT ORDER], MATCH(X18,[1]!VISITORS[NAME USED],0))</f>
        <v>#REF!</v>
      </c>
      <c r="AB18" s="48" t="e">
        <f t="shared" si="11"/>
        <v>#REF!</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16</v>
      </c>
      <c r="D19" s="75">
        <f t="shared" si="3"/>
        <v>16</v>
      </c>
      <c r="E19" s="76">
        <f t="shared" si="4"/>
        <v>6</v>
      </c>
      <c r="F19" s="80"/>
      <c r="G19" s="83"/>
      <c r="H19" s="69" t="str">
        <f t="shared" si="27"/>
        <v>Senbur6_20191116_16_00</v>
      </c>
      <c r="I19" s="70">
        <f t="shared" si="28"/>
        <v>1</v>
      </c>
      <c r="J19" s="77" t="str">
        <f t="shared" si="5"/>
        <v>Senecio</v>
      </c>
      <c r="K19" s="77" t="str">
        <f t="shared" si="5"/>
        <v>burtoni</v>
      </c>
      <c r="L19" s="78">
        <f t="shared" si="5"/>
        <v>6</v>
      </c>
      <c r="M19" s="78">
        <f t="shared" si="5"/>
        <v>12</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INDEX([1]!VISITORS[INSECT ORDER], MATCH(X19,[1]!VISITORS[NAME USED],0))</f>
        <v>#REF!</v>
      </c>
      <c r="AB19" s="48" t="e">
        <f t="shared" si="11"/>
        <v>#REF!</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16</v>
      </c>
      <c r="D20" s="75">
        <f t="shared" si="3"/>
        <v>16</v>
      </c>
      <c r="E20" s="76">
        <f t="shared" si="4"/>
        <v>7</v>
      </c>
      <c r="F20" s="80">
        <v>5</v>
      </c>
      <c r="G20" s="83"/>
      <c r="H20" s="69" t="str">
        <f t="shared" si="27"/>
        <v>Senbur6_20191116_16_00</v>
      </c>
      <c r="I20" s="70">
        <f t="shared" si="28"/>
        <v>1</v>
      </c>
      <c r="J20" s="77" t="str">
        <f t="shared" si="28"/>
        <v>Senecio</v>
      </c>
      <c r="K20" s="77" t="str">
        <f t="shared" si="28"/>
        <v>burtoni</v>
      </c>
      <c r="L20" s="78">
        <f t="shared" si="28"/>
        <v>6</v>
      </c>
      <c r="M20" s="78">
        <f t="shared" si="28"/>
        <v>12</v>
      </c>
      <c r="N20" s="72">
        <f t="shared" si="28"/>
        <v>0</v>
      </c>
      <c r="O20" s="45"/>
      <c r="P20" s="46">
        <f t="shared" si="6"/>
        <v>1</v>
      </c>
      <c r="Q20" s="47" t="str">
        <f t="shared" si="7"/>
        <v>16:07:05</v>
      </c>
      <c r="R20" s="48" t="str">
        <f t="shared" si="8"/>
        <v>07:05</v>
      </c>
      <c r="S20" s="49">
        <f t="shared" si="0"/>
        <v>72</v>
      </c>
      <c r="T20" s="48" t="str">
        <f t="shared" si="9"/>
        <v>16</v>
      </c>
      <c r="U20" s="50">
        <v>8</v>
      </c>
      <c r="V20" s="51">
        <v>17</v>
      </c>
      <c r="W20" s="52" t="str">
        <f t="shared" si="10"/>
        <v>08:17</v>
      </c>
      <c r="X20" s="53" t="s">
        <v>59</v>
      </c>
      <c r="Y20" s="97" t="s">
        <v>78</v>
      </c>
      <c r="Z20" s="97"/>
      <c r="AA20" s="48" t="s">
        <v>60</v>
      </c>
      <c r="AB20" s="48" t="str">
        <f t="shared" si="11"/>
        <v>NA</v>
      </c>
      <c r="AC20" s="54">
        <f t="shared" si="12"/>
        <v>0</v>
      </c>
      <c r="AD20" s="55">
        <v>5</v>
      </c>
      <c r="AE20" s="55"/>
      <c r="AF20" s="55"/>
      <c r="AG20" s="56"/>
      <c r="AH20" s="57" t="str">
        <f t="shared" si="15"/>
        <v/>
      </c>
      <c r="AI20" s="56">
        <v>1</v>
      </c>
      <c r="AJ20" s="57">
        <v>4</v>
      </c>
      <c r="AK20" s="56">
        <v>1</v>
      </c>
      <c r="AL20" s="57">
        <v>68</v>
      </c>
      <c r="AM20" s="56"/>
      <c r="AN20" s="57"/>
      <c r="AO20" s="56"/>
      <c r="AP20" s="57" t="str">
        <f t="shared" si="19"/>
        <v/>
      </c>
      <c r="AQ20" s="56"/>
      <c r="AR20" s="57" t="str">
        <f t="shared" si="20"/>
        <v/>
      </c>
      <c r="AS20" s="56"/>
      <c r="AT20" s="57" t="str">
        <f t="shared" si="21"/>
        <v/>
      </c>
      <c r="AU20" s="84"/>
      <c r="AV20" s="59"/>
      <c r="AW20" s="59"/>
      <c r="AX20" s="60"/>
      <c r="AY20" s="61">
        <v>1</v>
      </c>
      <c r="AZ20" s="62">
        <f t="shared" si="23"/>
        <v>5</v>
      </c>
      <c r="BA20" s="61">
        <f t="shared" si="24"/>
        <v>0</v>
      </c>
      <c r="BB20" s="62" t="str">
        <f t="shared" si="25"/>
        <v/>
      </c>
    </row>
    <row r="21" spans="1:54" s="3" customFormat="1" hidden="1" x14ac:dyDescent="0.35">
      <c r="A21" s="73">
        <f t="shared" si="1"/>
        <v>2019</v>
      </c>
      <c r="B21" s="73" t="str">
        <f t="shared" si="2"/>
        <v>Nov</v>
      </c>
      <c r="C21" s="74">
        <f t="shared" si="26"/>
        <v>16</v>
      </c>
      <c r="D21" s="75">
        <f t="shared" si="3"/>
        <v>16</v>
      </c>
      <c r="E21" s="76">
        <f t="shared" si="4"/>
        <v>8</v>
      </c>
      <c r="F21" s="80">
        <v>8</v>
      </c>
      <c r="G21" s="83"/>
      <c r="H21" s="69" t="str">
        <f t="shared" si="27"/>
        <v>Senbur6_20191116_16_00</v>
      </c>
      <c r="I21" s="70">
        <f t="shared" ref="I21:N36" si="29">I20</f>
        <v>1</v>
      </c>
      <c r="J21" s="77" t="str">
        <f t="shared" si="29"/>
        <v>Senecio</v>
      </c>
      <c r="K21" s="77" t="str">
        <f t="shared" si="29"/>
        <v>burtoni</v>
      </c>
      <c r="L21" s="78">
        <f t="shared" si="29"/>
        <v>6</v>
      </c>
      <c r="M21" s="78">
        <f t="shared" si="29"/>
        <v>12</v>
      </c>
      <c r="N21" s="72">
        <f t="shared" si="29"/>
        <v>0</v>
      </c>
      <c r="O21" s="45"/>
      <c r="P21" s="46">
        <f t="shared" si="6"/>
        <v>1</v>
      </c>
      <c r="Q21" s="47" t="str">
        <f t="shared" si="7"/>
        <v>16:08:08</v>
      </c>
      <c r="R21" s="48" t="str">
        <f t="shared" si="8"/>
        <v>08:08</v>
      </c>
      <c r="S21" s="49">
        <f t="shared" si="0"/>
        <v>133</v>
      </c>
      <c r="T21" s="48" t="str">
        <f t="shared" si="9"/>
        <v>16</v>
      </c>
      <c r="U21" s="50">
        <v>10</v>
      </c>
      <c r="V21" s="51">
        <v>21</v>
      </c>
      <c r="W21" s="52" t="str">
        <f t="shared" si="10"/>
        <v>10:21</v>
      </c>
      <c r="X21" s="53" t="s">
        <v>61</v>
      </c>
      <c r="Y21" s="97" t="s">
        <v>78</v>
      </c>
      <c r="Z21" s="97"/>
      <c r="AA21" s="48" t="s">
        <v>60</v>
      </c>
      <c r="AB21" s="48" t="str">
        <f t="shared" si="11"/>
        <v>NA</v>
      </c>
      <c r="AC21" s="54">
        <f t="shared" si="12"/>
        <v>0</v>
      </c>
      <c r="AD21" s="55">
        <v>5</v>
      </c>
      <c r="AE21" s="55"/>
      <c r="AF21" s="55"/>
      <c r="AG21" s="56">
        <v>1</v>
      </c>
      <c r="AH21" s="57">
        <v>15</v>
      </c>
      <c r="AI21" s="56">
        <v>1</v>
      </c>
      <c r="AJ21" s="57">
        <v>5</v>
      </c>
      <c r="AK21" s="56">
        <v>1</v>
      </c>
      <c r="AL21" s="57">
        <v>113</v>
      </c>
      <c r="AM21" s="56"/>
      <c r="AN21" s="57" t="str">
        <f t="shared" si="18"/>
        <v/>
      </c>
      <c r="AO21" s="56"/>
      <c r="AP21" s="57" t="str">
        <f t="shared" si="19"/>
        <v/>
      </c>
      <c r="AQ21" s="56"/>
      <c r="AR21" s="57" t="str">
        <f t="shared" si="20"/>
        <v/>
      </c>
      <c r="AS21" s="56"/>
      <c r="AT21" s="57" t="str">
        <f t="shared" si="21"/>
        <v/>
      </c>
      <c r="AU21" s="58"/>
      <c r="AV21" s="59"/>
      <c r="AW21" s="59"/>
      <c r="AX21" s="60"/>
      <c r="AY21" s="61">
        <v>1</v>
      </c>
      <c r="AZ21" s="62">
        <f t="shared" si="23"/>
        <v>5</v>
      </c>
      <c r="BA21" s="61">
        <f t="shared" si="24"/>
        <v>0</v>
      </c>
      <c r="BB21" s="62" t="str">
        <f t="shared" si="25"/>
        <v/>
      </c>
    </row>
    <row r="22" spans="1:54" s="3" customFormat="1" hidden="1" x14ac:dyDescent="0.35">
      <c r="A22" s="73">
        <f t="shared" si="1"/>
        <v>2019</v>
      </c>
      <c r="B22" s="73" t="str">
        <f t="shared" si="2"/>
        <v>Nov</v>
      </c>
      <c r="C22" s="74">
        <f t="shared" si="26"/>
        <v>16</v>
      </c>
      <c r="D22" s="75">
        <f t="shared" si="3"/>
        <v>16</v>
      </c>
      <c r="E22" s="76">
        <v>8</v>
      </c>
      <c r="F22" s="80">
        <v>8</v>
      </c>
      <c r="G22" s="83"/>
      <c r="H22" s="69" t="str">
        <f t="shared" si="27"/>
        <v>Senbur6_20191116_16_00</v>
      </c>
      <c r="I22" s="70">
        <f t="shared" si="29"/>
        <v>1</v>
      </c>
      <c r="J22" s="77" t="str">
        <f t="shared" si="29"/>
        <v>Senecio</v>
      </c>
      <c r="K22" s="77" t="str">
        <f t="shared" si="29"/>
        <v>burtoni</v>
      </c>
      <c r="L22" s="78">
        <f t="shared" si="29"/>
        <v>6</v>
      </c>
      <c r="M22" s="78">
        <f t="shared" si="29"/>
        <v>12</v>
      </c>
      <c r="N22" s="72">
        <f t="shared" si="29"/>
        <v>0</v>
      </c>
      <c r="O22" s="45"/>
      <c r="P22" s="46">
        <f t="shared" si="6"/>
        <v>1</v>
      </c>
      <c r="Q22" s="47" t="str">
        <f t="shared" si="7"/>
        <v>16:08:08</v>
      </c>
      <c r="R22" s="48" t="str">
        <f t="shared" si="8"/>
        <v>08:08</v>
      </c>
      <c r="S22" s="49">
        <f t="shared" si="0"/>
        <v>21</v>
      </c>
      <c r="T22" s="48" t="str">
        <f t="shared" si="9"/>
        <v>16</v>
      </c>
      <c r="U22" s="50">
        <v>8</v>
      </c>
      <c r="V22" s="51">
        <v>29</v>
      </c>
      <c r="W22" s="52" t="str">
        <f t="shared" si="10"/>
        <v>08:29</v>
      </c>
      <c r="X22" s="53" t="s">
        <v>61</v>
      </c>
      <c r="Y22" s="97" t="s">
        <v>78</v>
      </c>
      <c r="Z22" s="97"/>
      <c r="AA22" s="48" t="s">
        <v>60</v>
      </c>
      <c r="AB22" s="48" t="str">
        <f t="shared" si="11"/>
        <v>NA</v>
      </c>
      <c r="AC22" s="54">
        <f t="shared" si="12"/>
        <v>0</v>
      </c>
      <c r="AD22" s="55">
        <v>2</v>
      </c>
      <c r="AE22" s="55"/>
      <c r="AF22" s="55"/>
      <c r="AG22" s="56">
        <v>1</v>
      </c>
      <c r="AH22" s="57">
        <v>5</v>
      </c>
      <c r="AI22" s="56"/>
      <c r="AJ22" s="57" t="str">
        <f t="shared" si="16"/>
        <v/>
      </c>
      <c r="AK22" s="56">
        <v>1</v>
      </c>
      <c r="AL22" s="57">
        <v>16</v>
      </c>
      <c r="AM22" s="56"/>
      <c r="AN22" s="57" t="str">
        <f t="shared" si="18"/>
        <v/>
      </c>
      <c r="AO22" s="56"/>
      <c r="AP22" s="57" t="str">
        <f t="shared" si="19"/>
        <v/>
      </c>
      <c r="AQ22" s="56"/>
      <c r="AR22" s="57" t="str">
        <f t="shared" si="20"/>
        <v/>
      </c>
      <c r="AS22" s="56"/>
      <c r="AT22" s="57" t="str">
        <f t="shared" si="21"/>
        <v/>
      </c>
      <c r="AU22" s="58"/>
      <c r="AV22" s="59"/>
      <c r="AW22" s="59"/>
      <c r="AX22" s="60"/>
      <c r="AY22" s="61">
        <v>1</v>
      </c>
      <c r="AZ22" s="62">
        <f t="shared" si="23"/>
        <v>2</v>
      </c>
      <c r="BA22" s="61">
        <f t="shared" si="24"/>
        <v>0</v>
      </c>
      <c r="BB22" s="62" t="str">
        <f t="shared" si="25"/>
        <v/>
      </c>
    </row>
    <row r="23" spans="1:54" s="3" customFormat="1" hidden="1" x14ac:dyDescent="0.35">
      <c r="A23" s="73">
        <f t="shared" si="1"/>
        <v>2019</v>
      </c>
      <c r="B23" s="73" t="str">
        <f t="shared" si="2"/>
        <v>Nov</v>
      </c>
      <c r="C23" s="74">
        <f t="shared" si="26"/>
        <v>16</v>
      </c>
      <c r="D23" s="75">
        <f t="shared" si="3"/>
        <v>16</v>
      </c>
      <c r="E23" s="76">
        <f t="shared" si="4"/>
        <v>9</v>
      </c>
      <c r="F23" s="80">
        <v>5</v>
      </c>
      <c r="G23" s="83"/>
      <c r="H23" s="69" t="str">
        <f t="shared" si="27"/>
        <v>Senbur6_20191116_16_00</v>
      </c>
      <c r="I23" s="70">
        <f t="shared" si="29"/>
        <v>1</v>
      </c>
      <c r="J23" s="77" t="str">
        <f t="shared" si="29"/>
        <v>Senecio</v>
      </c>
      <c r="K23" s="77" t="str">
        <f t="shared" si="29"/>
        <v>burtoni</v>
      </c>
      <c r="L23" s="78">
        <f t="shared" si="29"/>
        <v>6</v>
      </c>
      <c r="M23" s="78">
        <f t="shared" si="29"/>
        <v>12</v>
      </c>
      <c r="N23" s="72">
        <f t="shared" si="29"/>
        <v>0</v>
      </c>
      <c r="O23" s="45"/>
      <c r="P23" s="46">
        <f t="shared" si="6"/>
        <v>1</v>
      </c>
      <c r="Q23" s="47" t="str">
        <f t="shared" si="7"/>
        <v>16:09:05</v>
      </c>
      <c r="R23" s="48" t="str">
        <f t="shared" si="8"/>
        <v>09:05</v>
      </c>
      <c r="S23" s="49">
        <f t="shared" si="0"/>
        <v>420</v>
      </c>
      <c r="T23" s="48" t="str">
        <f t="shared" si="9"/>
        <v>16</v>
      </c>
      <c r="U23" s="50">
        <v>16</v>
      </c>
      <c r="V23" s="51">
        <v>5</v>
      </c>
      <c r="W23" s="52" t="str">
        <f t="shared" si="10"/>
        <v>16:05</v>
      </c>
      <c r="X23" s="53" t="s">
        <v>61</v>
      </c>
      <c r="Y23" s="97" t="s">
        <v>78</v>
      </c>
      <c r="Z23" s="97"/>
      <c r="AA23" s="48" t="s">
        <v>60</v>
      </c>
      <c r="AB23" s="48" t="str">
        <f t="shared" si="11"/>
        <v>NA</v>
      </c>
      <c r="AC23" s="54">
        <f t="shared" si="12"/>
        <v>0</v>
      </c>
      <c r="AD23" s="55">
        <v>8</v>
      </c>
      <c r="AE23" s="55"/>
      <c r="AF23" s="55"/>
      <c r="AG23" s="56">
        <v>1</v>
      </c>
      <c r="AH23" s="57">
        <v>99</v>
      </c>
      <c r="AI23" s="56">
        <v>1</v>
      </c>
      <c r="AJ23" s="57">
        <v>2</v>
      </c>
      <c r="AK23" s="56">
        <v>1</v>
      </c>
      <c r="AL23" s="57">
        <v>319</v>
      </c>
      <c r="AM23" s="56"/>
      <c r="AN23" s="57" t="str">
        <f t="shared" si="18"/>
        <v/>
      </c>
      <c r="AO23" s="56"/>
      <c r="AP23" s="57" t="str">
        <f t="shared" si="19"/>
        <v/>
      </c>
      <c r="AQ23" s="56"/>
      <c r="AR23" s="57" t="str">
        <f t="shared" si="20"/>
        <v/>
      </c>
      <c r="AS23" s="56"/>
      <c r="AT23" s="57" t="str">
        <f t="shared" si="21"/>
        <v/>
      </c>
      <c r="AU23" s="58"/>
      <c r="AV23" s="59"/>
      <c r="AW23" s="59"/>
      <c r="AX23" s="60"/>
      <c r="AY23" s="61">
        <v>1</v>
      </c>
      <c r="AZ23" s="62">
        <f t="shared" si="23"/>
        <v>8</v>
      </c>
      <c r="BA23" s="61">
        <f t="shared" si="24"/>
        <v>0</v>
      </c>
      <c r="BB23" s="62" t="str">
        <f t="shared" si="25"/>
        <v/>
      </c>
    </row>
    <row r="24" spans="1:54" s="3" customFormat="1" hidden="1" x14ac:dyDescent="0.35">
      <c r="A24" s="73">
        <f t="shared" si="1"/>
        <v>2019</v>
      </c>
      <c r="B24" s="73" t="str">
        <f t="shared" si="2"/>
        <v>Nov</v>
      </c>
      <c r="C24" s="74">
        <f t="shared" si="26"/>
        <v>16</v>
      </c>
      <c r="D24" s="75">
        <f t="shared" si="3"/>
        <v>16</v>
      </c>
      <c r="E24" s="76">
        <f t="shared" si="4"/>
        <v>10</v>
      </c>
      <c r="F24" s="80"/>
      <c r="G24" s="83"/>
      <c r="H24" s="69" t="str">
        <f t="shared" si="27"/>
        <v>Senbur6_20191116_16_00</v>
      </c>
      <c r="I24" s="70">
        <f t="shared" si="29"/>
        <v>1</v>
      </c>
      <c r="J24" s="77" t="str">
        <f t="shared" si="29"/>
        <v>Senecio</v>
      </c>
      <c r="K24" s="77" t="str">
        <f t="shared" si="29"/>
        <v>burtoni</v>
      </c>
      <c r="L24" s="78">
        <f t="shared" si="29"/>
        <v>6</v>
      </c>
      <c r="M24" s="78">
        <f t="shared" si="29"/>
        <v>12</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INDEX([1]!VISITORS[INSECT ORDER], MATCH(X24,[1]!VISITORS[NAME USED],0))</f>
        <v>#REF!</v>
      </c>
      <c r="AB24" s="48" t="e">
        <f t="shared" si="11"/>
        <v>#REF!</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16</v>
      </c>
      <c r="D25" s="75">
        <f t="shared" si="3"/>
        <v>16</v>
      </c>
      <c r="E25" s="76">
        <f t="shared" si="4"/>
        <v>11</v>
      </c>
      <c r="F25" s="80"/>
      <c r="G25" s="83"/>
      <c r="H25" s="69" t="str">
        <f t="shared" si="27"/>
        <v>Senbur6_20191116_16_00</v>
      </c>
      <c r="I25" s="70">
        <f t="shared" si="29"/>
        <v>1</v>
      </c>
      <c r="J25" s="77" t="str">
        <f t="shared" si="29"/>
        <v>Senecio</v>
      </c>
      <c r="K25" s="77" t="str">
        <f t="shared" si="29"/>
        <v>burtoni</v>
      </c>
      <c r="L25" s="78">
        <f t="shared" si="29"/>
        <v>6</v>
      </c>
      <c r="M25" s="78">
        <f t="shared" si="29"/>
        <v>12</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INDEX([1]!VISITORS[INSECT ORDER], MATCH(X25,[1]!VISITORS[NAME USED],0))</f>
        <v>#REF!</v>
      </c>
      <c r="AB25" s="48" t="e">
        <f t="shared" si="11"/>
        <v>#REF!</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16</v>
      </c>
      <c r="D26" s="75">
        <f t="shared" si="3"/>
        <v>16</v>
      </c>
      <c r="E26" s="76">
        <f t="shared" si="4"/>
        <v>12</v>
      </c>
      <c r="F26" s="80"/>
      <c r="G26" s="83"/>
      <c r="H26" s="69" t="str">
        <f t="shared" si="27"/>
        <v>Senbur6_20191116_16_00</v>
      </c>
      <c r="I26" s="70">
        <f t="shared" si="29"/>
        <v>1</v>
      </c>
      <c r="J26" s="77" t="str">
        <f t="shared" si="29"/>
        <v>Senecio</v>
      </c>
      <c r="K26" s="77" t="str">
        <f t="shared" si="29"/>
        <v>burtoni</v>
      </c>
      <c r="L26" s="78">
        <f t="shared" si="29"/>
        <v>6</v>
      </c>
      <c r="M26" s="78">
        <f t="shared" si="29"/>
        <v>12</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INDEX([1]!VISITORS[INSECT ORDER], MATCH(X26,[1]!VISITORS[NAME USED],0))</f>
        <v>#REF!</v>
      </c>
      <c r="AB26" s="48" t="e">
        <f t="shared" si="11"/>
        <v>#REF!</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16</v>
      </c>
      <c r="D27" s="75">
        <f t="shared" si="3"/>
        <v>16</v>
      </c>
      <c r="E27" s="76">
        <f t="shared" si="4"/>
        <v>13</v>
      </c>
      <c r="F27" s="80">
        <v>25</v>
      </c>
      <c r="G27" s="83"/>
      <c r="H27" s="69" t="str">
        <f t="shared" si="27"/>
        <v>Senbur6_20191116_16_00</v>
      </c>
      <c r="I27" s="70">
        <f t="shared" si="29"/>
        <v>1</v>
      </c>
      <c r="J27" s="77" t="str">
        <f t="shared" si="29"/>
        <v>Senecio</v>
      </c>
      <c r="K27" s="77" t="str">
        <f t="shared" si="29"/>
        <v>burtoni</v>
      </c>
      <c r="L27" s="78">
        <f t="shared" si="29"/>
        <v>6</v>
      </c>
      <c r="M27" s="78">
        <f t="shared" si="29"/>
        <v>12</v>
      </c>
      <c r="N27" s="72">
        <f t="shared" si="29"/>
        <v>0</v>
      </c>
      <c r="O27" s="45"/>
      <c r="P27" s="46">
        <f t="shared" si="6"/>
        <v>1</v>
      </c>
      <c r="Q27" s="47" t="str">
        <f t="shared" si="7"/>
        <v>16:13:25</v>
      </c>
      <c r="R27" s="48" t="str">
        <f t="shared" si="8"/>
        <v>13:25</v>
      </c>
      <c r="S27" s="49">
        <f t="shared" si="0"/>
        <v>42</v>
      </c>
      <c r="T27" s="48" t="str">
        <f t="shared" si="9"/>
        <v>16</v>
      </c>
      <c r="U27" s="50">
        <v>14</v>
      </c>
      <c r="V27" s="51">
        <v>7</v>
      </c>
      <c r="W27" s="52" t="str">
        <f t="shared" si="10"/>
        <v>14:07</v>
      </c>
      <c r="X27" s="53" t="s">
        <v>61</v>
      </c>
      <c r="Y27" s="97" t="s">
        <v>79</v>
      </c>
      <c r="Z27" s="97" t="s">
        <v>80</v>
      </c>
      <c r="AA27" s="48" t="s">
        <v>60</v>
      </c>
      <c r="AB27" s="48" t="str">
        <f t="shared" si="11"/>
        <v>NA</v>
      </c>
      <c r="AC27" s="54">
        <f t="shared" si="12"/>
        <v>0</v>
      </c>
      <c r="AD27" s="55">
        <v>3</v>
      </c>
      <c r="AE27" s="55"/>
      <c r="AF27" s="55"/>
      <c r="AG27" s="56">
        <v>1</v>
      </c>
      <c r="AH27" s="57">
        <v>9</v>
      </c>
      <c r="AI27" s="56">
        <v>1</v>
      </c>
      <c r="AJ27" s="57">
        <v>1</v>
      </c>
      <c r="AK27" s="56">
        <v>1</v>
      </c>
      <c r="AL27" s="57">
        <v>32</v>
      </c>
      <c r="AM27" s="56"/>
      <c r="AN27" s="57" t="str">
        <f t="shared" si="18"/>
        <v/>
      </c>
      <c r="AO27" s="56"/>
      <c r="AP27" s="57" t="str">
        <f t="shared" si="19"/>
        <v/>
      </c>
      <c r="AQ27" s="56"/>
      <c r="AR27" s="57" t="str">
        <f t="shared" si="20"/>
        <v/>
      </c>
      <c r="AS27" s="56"/>
      <c r="AT27" s="57" t="str">
        <f t="shared" si="21"/>
        <v/>
      </c>
      <c r="AU27" s="58"/>
      <c r="AV27" s="59"/>
      <c r="AW27" s="59"/>
      <c r="AX27" s="60"/>
      <c r="AY27" s="61">
        <v>1</v>
      </c>
      <c r="AZ27" s="62">
        <v>2</v>
      </c>
      <c r="BA27" s="61">
        <f t="shared" si="24"/>
        <v>0</v>
      </c>
      <c r="BB27" s="62" t="str">
        <f t="shared" si="25"/>
        <v/>
      </c>
    </row>
    <row r="28" spans="1:54" s="3" customFormat="1" hidden="1" x14ac:dyDescent="0.35">
      <c r="A28" s="73">
        <f t="shared" si="1"/>
        <v>2019</v>
      </c>
      <c r="B28" s="73" t="str">
        <f t="shared" si="2"/>
        <v>Nov</v>
      </c>
      <c r="C28" s="74">
        <f t="shared" si="26"/>
        <v>16</v>
      </c>
      <c r="D28" s="75">
        <f t="shared" si="3"/>
        <v>16</v>
      </c>
      <c r="E28" s="76">
        <f t="shared" si="4"/>
        <v>14</v>
      </c>
      <c r="F28" s="80"/>
      <c r="G28" s="83"/>
      <c r="H28" s="69" t="str">
        <f t="shared" si="27"/>
        <v>Senbur6_20191116_16_00</v>
      </c>
      <c r="I28" s="70">
        <f t="shared" si="29"/>
        <v>1</v>
      </c>
      <c r="J28" s="77" t="str">
        <f t="shared" si="29"/>
        <v>Senecio</v>
      </c>
      <c r="K28" s="77" t="str">
        <f t="shared" si="29"/>
        <v>burtoni</v>
      </c>
      <c r="L28" s="78">
        <f t="shared" si="29"/>
        <v>6</v>
      </c>
      <c r="M28" s="78">
        <f t="shared" si="29"/>
        <v>12</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INDEX([1]!VISITORS[INSECT ORDER], MATCH(X28,[1]!VISITORS[NAME USED],0))</f>
        <v>#REF!</v>
      </c>
      <c r="AB28" s="48" t="e">
        <f t="shared" si="11"/>
        <v>#REF!</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16</v>
      </c>
      <c r="D29" s="75">
        <f t="shared" si="3"/>
        <v>16</v>
      </c>
      <c r="E29" s="76">
        <f t="shared" si="4"/>
        <v>15</v>
      </c>
      <c r="F29" s="80"/>
      <c r="G29" s="83"/>
      <c r="H29" s="69" t="str">
        <f t="shared" si="27"/>
        <v>Senbur6_20191116_16_00</v>
      </c>
      <c r="I29" s="70">
        <f t="shared" si="29"/>
        <v>1</v>
      </c>
      <c r="J29" s="77" t="str">
        <f t="shared" si="29"/>
        <v>Senecio</v>
      </c>
      <c r="K29" s="77" t="str">
        <f t="shared" si="29"/>
        <v>burtoni</v>
      </c>
      <c r="L29" s="78">
        <f t="shared" si="29"/>
        <v>6</v>
      </c>
      <c r="M29" s="78">
        <f t="shared" si="29"/>
        <v>12</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INDEX([1]!VISITORS[INSECT ORDER], MATCH(X29,[1]!VISITORS[NAME USED],0))</f>
        <v>#REF!</v>
      </c>
      <c r="AB29" s="48" t="e">
        <f t="shared" si="11"/>
        <v>#REF!</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16</v>
      </c>
      <c r="D30" s="75">
        <f t="shared" si="3"/>
        <v>16</v>
      </c>
      <c r="E30" s="76">
        <f t="shared" si="4"/>
        <v>16</v>
      </c>
      <c r="F30" s="80">
        <v>4</v>
      </c>
      <c r="G30" s="83"/>
      <c r="H30" s="69" t="str">
        <f t="shared" si="27"/>
        <v>Senbur6_20191116_16_00</v>
      </c>
      <c r="I30" s="70">
        <f t="shared" si="29"/>
        <v>1</v>
      </c>
      <c r="J30" s="77" t="str">
        <f t="shared" si="29"/>
        <v>Senecio</v>
      </c>
      <c r="K30" s="77" t="str">
        <f t="shared" si="29"/>
        <v>burtoni</v>
      </c>
      <c r="L30" s="78">
        <f t="shared" si="29"/>
        <v>6</v>
      </c>
      <c r="M30" s="78">
        <f t="shared" si="29"/>
        <v>12</v>
      </c>
      <c r="N30" s="72">
        <f t="shared" si="29"/>
        <v>0</v>
      </c>
      <c r="O30" s="45"/>
      <c r="P30" s="46">
        <f t="shared" si="6"/>
        <v>1</v>
      </c>
      <c r="Q30" s="47" t="str">
        <f t="shared" si="7"/>
        <v>16:16:04</v>
      </c>
      <c r="R30" s="48" t="str">
        <f t="shared" si="8"/>
        <v>16:04</v>
      </c>
      <c r="S30" s="49">
        <f t="shared" si="0"/>
        <v>23</v>
      </c>
      <c r="T30" s="48" t="str">
        <f t="shared" si="9"/>
        <v>16</v>
      </c>
      <c r="U30" s="50">
        <v>16</v>
      </c>
      <c r="V30" s="51">
        <v>27</v>
      </c>
      <c r="W30" s="52" t="str">
        <f t="shared" si="10"/>
        <v>16:27</v>
      </c>
      <c r="X30" s="53" t="s">
        <v>61</v>
      </c>
      <c r="Y30" s="97" t="s">
        <v>78</v>
      </c>
      <c r="Z30" s="97"/>
      <c r="AA30" s="48" t="s">
        <v>60</v>
      </c>
      <c r="AB30" s="48" t="str">
        <f t="shared" si="11"/>
        <v>NA</v>
      </c>
      <c r="AC30" s="54">
        <f t="shared" si="12"/>
        <v>0</v>
      </c>
      <c r="AD30" s="55">
        <f t="shared" si="13"/>
        <v>1</v>
      </c>
      <c r="AE30" s="55"/>
      <c r="AF30" s="55"/>
      <c r="AG30" s="56">
        <v>1</v>
      </c>
      <c r="AH30" s="57">
        <v>1</v>
      </c>
      <c r="AI30" s="56"/>
      <c r="AJ30" s="57" t="str">
        <f t="shared" si="16"/>
        <v/>
      </c>
      <c r="AK30" s="56">
        <v>1</v>
      </c>
      <c r="AL30" s="57">
        <v>22</v>
      </c>
      <c r="AM30" s="56"/>
      <c r="AN30" s="57" t="str">
        <f t="shared" si="18"/>
        <v/>
      </c>
      <c r="AO30" s="56"/>
      <c r="AP30" s="57" t="str">
        <f t="shared" si="19"/>
        <v/>
      </c>
      <c r="AQ30" s="56"/>
      <c r="AR30" s="57" t="str">
        <f t="shared" si="20"/>
        <v/>
      </c>
      <c r="AS30" s="56"/>
      <c r="AT30" s="57" t="str">
        <f t="shared" si="21"/>
        <v/>
      </c>
      <c r="AU30" s="58"/>
      <c r="AV30" s="59"/>
      <c r="AW30" s="59"/>
      <c r="AX30" s="60"/>
      <c r="AY30" s="61">
        <v>1</v>
      </c>
      <c r="AZ30" s="62">
        <f t="shared" si="23"/>
        <v>1</v>
      </c>
      <c r="BA30" s="61">
        <f t="shared" si="24"/>
        <v>0</v>
      </c>
      <c r="BB30" s="62" t="str">
        <f t="shared" si="25"/>
        <v/>
      </c>
    </row>
    <row r="31" spans="1:54" s="3" customFormat="1" hidden="1" x14ac:dyDescent="0.35">
      <c r="A31" s="73">
        <f t="shared" si="1"/>
        <v>2019</v>
      </c>
      <c r="B31" s="73" t="str">
        <f t="shared" si="2"/>
        <v>Nov</v>
      </c>
      <c r="C31" s="74">
        <f t="shared" si="26"/>
        <v>16</v>
      </c>
      <c r="D31" s="75">
        <f t="shared" si="3"/>
        <v>16</v>
      </c>
      <c r="E31" s="76">
        <v>16</v>
      </c>
      <c r="F31" s="80">
        <v>6</v>
      </c>
      <c r="G31" s="83"/>
      <c r="H31" s="69" t="str">
        <f t="shared" si="27"/>
        <v>Senbur6_20191116_16_00</v>
      </c>
      <c r="I31" s="70">
        <f t="shared" si="29"/>
        <v>1</v>
      </c>
      <c r="J31" s="77" t="str">
        <f t="shared" si="29"/>
        <v>Senecio</v>
      </c>
      <c r="K31" s="77" t="str">
        <f t="shared" si="29"/>
        <v>burtoni</v>
      </c>
      <c r="L31" s="78">
        <f t="shared" si="29"/>
        <v>6</v>
      </c>
      <c r="M31" s="78">
        <f t="shared" si="29"/>
        <v>12</v>
      </c>
      <c r="N31" s="72">
        <f t="shared" si="29"/>
        <v>0</v>
      </c>
      <c r="O31" s="45"/>
      <c r="P31" s="46">
        <f t="shared" si="6"/>
        <v>1</v>
      </c>
      <c r="Q31" s="47" t="str">
        <f t="shared" si="7"/>
        <v>16:16:06</v>
      </c>
      <c r="R31" s="48" t="str">
        <f t="shared" si="8"/>
        <v>16:06</v>
      </c>
      <c r="S31" s="49">
        <f t="shared" si="0"/>
        <v>133</v>
      </c>
      <c r="T31" s="48" t="str">
        <f t="shared" si="9"/>
        <v>16</v>
      </c>
      <c r="U31" s="50">
        <v>18</v>
      </c>
      <c r="V31" s="51">
        <v>19</v>
      </c>
      <c r="W31" s="52" t="str">
        <f t="shared" si="10"/>
        <v>18:19</v>
      </c>
      <c r="X31" s="53" t="s">
        <v>61</v>
      </c>
      <c r="Y31" s="97" t="s">
        <v>78</v>
      </c>
      <c r="Z31" s="97"/>
      <c r="AA31" s="48" t="s">
        <v>60</v>
      </c>
      <c r="AB31" s="48" t="str">
        <f t="shared" si="11"/>
        <v>NA</v>
      </c>
      <c r="AC31" s="54">
        <f t="shared" si="12"/>
        <v>0</v>
      </c>
      <c r="AD31" s="55">
        <f t="shared" si="13"/>
        <v>1</v>
      </c>
      <c r="AE31" s="55"/>
      <c r="AF31" s="55"/>
      <c r="AG31" s="56">
        <v>1</v>
      </c>
      <c r="AH31" s="57">
        <v>10</v>
      </c>
      <c r="AI31" s="56">
        <v>1</v>
      </c>
      <c r="AJ31" s="57">
        <v>1</v>
      </c>
      <c r="AK31" s="56">
        <v>1</v>
      </c>
      <c r="AL31" s="57">
        <v>122</v>
      </c>
      <c r="AM31" s="56"/>
      <c r="AN31" s="57" t="str">
        <f t="shared" si="18"/>
        <v/>
      </c>
      <c r="AO31" s="56"/>
      <c r="AP31" s="57" t="str">
        <f t="shared" si="19"/>
        <v/>
      </c>
      <c r="AQ31" s="56"/>
      <c r="AR31" s="57" t="str">
        <f t="shared" si="20"/>
        <v/>
      </c>
      <c r="AS31" s="56"/>
      <c r="AT31" s="57" t="str">
        <f t="shared" si="21"/>
        <v/>
      </c>
      <c r="AU31" s="58"/>
      <c r="AV31" s="59"/>
      <c r="AW31" s="59"/>
      <c r="AX31" s="60"/>
      <c r="AY31" s="61">
        <v>1</v>
      </c>
      <c r="AZ31" s="62">
        <f t="shared" si="23"/>
        <v>1</v>
      </c>
      <c r="BA31" s="61">
        <f t="shared" si="24"/>
        <v>0</v>
      </c>
      <c r="BB31" s="62" t="str">
        <f t="shared" si="25"/>
        <v/>
      </c>
    </row>
    <row r="32" spans="1:54" s="3" customFormat="1" hidden="1" x14ac:dyDescent="0.35">
      <c r="A32" s="73">
        <f t="shared" si="1"/>
        <v>2019</v>
      </c>
      <c r="B32" s="73" t="str">
        <f t="shared" si="2"/>
        <v>Nov</v>
      </c>
      <c r="C32" s="74">
        <f t="shared" si="26"/>
        <v>16</v>
      </c>
      <c r="D32" s="75">
        <f t="shared" si="3"/>
        <v>16</v>
      </c>
      <c r="E32" s="76">
        <v>16</v>
      </c>
      <c r="F32" s="80">
        <v>28</v>
      </c>
      <c r="G32" s="83"/>
      <c r="H32" s="69" t="str">
        <f t="shared" si="27"/>
        <v>Senbur6_20191116_16_00</v>
      </c>
      <c r="I32" s="70">
        <f t="shared" si="29"/>
        <v>1</v>
      </c>
      <c r="J32" s="77" t="str">
        <f t="shared" si="29"/>
        <v>Senecio</v>
      </c>
      <c r="K32" s="77" t="str">
        <f t="shared" si="29"/>
        <v>burtoni</v>
      </c>
      <c r="L32" s="78">
        <f t="shared" si="29"/>
        <v>6</v>
      </c>
      <c r="M32" s="78">
        <f t="shared" si="29"/>
        <v>12</v>
      </c>
      <c r="N32" s="72">
        <f t="shared" si="29"/>
        <v>0</v>
      </c>
      <c r="O32" s="45"/>
      <c r="P32" s="46">
        <f t="shared" si="6"/>
        <v>1</v>
      </c>
      <c r="Q32" s="47" t="str">
        <f t="shared" si="7"/>
        <v>16:16:28</v>
      </c>
      <c r="R32" s="48" t="str">
        <f t="shared" si="8"/>
        <v>16:28</v>
      </c>
      <c r="S32" s="49">
        <f t="shared" si="0"/>
        <v>115</v>
      </c>
      <c r="T32" s="48" t="str">
        <f t="shared" si="9"/>
        <v>16</v>
      </c>
      <c r="U32" s="50">
        <v>18</v>
      </c>
      <c r="V32" s="51">
        <v>23</v>
      </c>
      <c r="W32" s="52" t="str">
        <f t="shared" si="10"/>
        <v>18:23</v>
      </c>
      <c r="X32" s="53" t="s">
        <v>61</v>
      </c>
      <c r="Y32" s="97" t="s">
        <v>78</v>
      </c>
      <c r="Z32" s="97"/>
      <c r="AA32" s="48" t="s">
        <v>60</v>
      </c>
      <c r="AB32" s="48" t="str">
        <f t="shared" si="11"/>
        <v>NA</v>
      </c>
      <c r="AC32" s="54">
        <f t="shared" si="12"/>
        <v>0</v>
      </c>
      <c r="AD32" s="55">
        <v>3</v>
      </c>
      <c r="AE32" s="55"/>
      <c r="AF32" s="55"/>
      <c r="AG32" s="56">
        <v>1</v>
      </c>
      <c r="AH32" s="57">
        <v>35</v>
      </c>
      <c r="AI32" s="56">
        <v>1</v>
      </c>
      <c r="AJ32" s="57">
        <v>1</v>
      </c>
      <c r="AK32" s="56">
        <v>1</v>
      </c>
      <c r="AL32" s="57">
        <v>79</v>
      </c>
      <c r="AM32" s="56"/>
      <c r="AN32" s="57" t="str">
        <f t="shared" si="18"/>
        <v/>
      </c>
      <c r="AO32" s="56"/>
      <c r="AP32" s="57" t="str">
        <f t="shared" si="19"/>
        <v/>
      </c>
      <c r="AQ32" s="56"/>
      <c r="AR32" s="57" t="str">
        <f t="shared" si="20"/>
        <v/>
      </c>
      <c r="AS32" s="56"/>
      <c r="AT32" s="57" t="str">
        <f t="shared" si="21"/>
        <v/>
      </c>
      <c r="AU32" s="58"/>
      <c r="AV32" s="59"/>
      <c r="AW32" s="59"/>
      <c r="AX32" s="60"/>
      <c r="AY32" s="61">
        <v>1</v>
      </c>
      <c r="AZ32" s="62">
        <f t="shared" si="23"/>
        <v>3</v>
      </c>
      <c r="BA32" s="61">
        <f t="shared" si="24"/>
        <v>0</v>
      </c>
      <c r="BB32" s="62" t="str">
        <f t="shared" si="25"/>
        <v/>
      </c>
    </row>
    <row r="33" spans="1:54" s="3" customFormat="1" hidden="1" x14ac:dyDescent="0.35">
      <c r="A33" s="73">
        <f t="shared" si="1"/>
        <v>2019</v>
      </c>
      <c r="B33" s="73" t="str">
        <f t="shared" si="2"/>
        <v>Nov</v>
      </c>
      <c r="C33" s="74">
        <f t="shared" si="26"/>
        <v>16</v>
      </c>
      <c r="D33" s="75">
        <f t="shared" si="3"/>
        <v>16</v>
      </c>
      <c r="E33" s="76">
        <f t="shared" si="4"/>
        <v>17</v>
      </c>
      <c r="F33" s="80">
        <v>51</v>
      </c>
      <c r="G33" s="83"/>
      <c r="H33" s="69" t="str">
        <f t="shared" si="27"/>
        <v>Senbur6_20191116_16_00</v>
      </c>
      <c r="I33" s="70">
        <f t="shared" si="29"/>
        <v>1</v>
      </c>
      <c r="J33" s="77" t="str">
        <f t="shared" si="29"/>
        <v>Senecio</v>
      </c>
      <c r="K33" s="77" t="str">
        <f t="shared" si="29"/>
        <v>burtoni</v>
      </c>
      <c r="L33" s="78">
        <f t="shared" si="29"/>
        <v>6</v>
      </c>
      <c r="M33" s="78">
        <f t="shared" si="29"/>
        <v>12</v>
      </c>
      <c r="N33" s="72">
        <f t="shared" si="29"/>
        <v>0</v>
      </c>
      <c r="O33" s="45"/>
      <c r="P33" s="46">
        <f t="shared" si="6"/>
        <v>1</v>
      </c>
      <c r="Q33" s="47" t="str">
        <f t="shared" si="7"/>
        <v>16:17:51</v>
      </c>
      <c r="R33" s="48" t="str">
        <f t="shared" si="8"/>
        <v>17:51</v>
      </c>
      <c r="S33" s="49">
        <f t="shared" si="0"/>
        <v>28</v>
      </c>
      <c r="T33" s="48" t="str">
        <f t="shared" si="9"/>
        <v>16</v>
      </c>
      <c r="U33" s="50">
        <v>18</v>
      </c>
      <c r="V33" s="51">
        <v>19</v>
      </c>
      <c r="W33" s="52" t="str">
        <f t="shared" si="10"/>
        <v>18:19</v>
      </c>
      <c r="X33" s="85" t="s">
        <v>61</v>
      </c>
      <c r="Y33" s="98" t="s">
        <v>78</v>
      </c>
      <c r="Z33" s="98"/>
      <c r="AA33" s="48" t="s">
        <v>60</v>
      </c>
      <c r="AB33" s="48" t="str">
        <f t="shared" si="11"/>
        <v>NA</v>
      </c>
      <c r="AC33" s="54">
        <f t="shared" si="12"/>
        <v>0</v>
      </c>
      <c r="AD33" s="55">
        <f t="shared" si="13"/>
        <v>1</v>
      </c>
      <c r="AE33" s="55"/>
      <c r="AF33" s="55"/>
      <c r="AG33" s="56">
        <v>1</v>
      </c>
      <c r="AH33" s="57">
        <v>9</v>
      </c>
      <c r="AI33" s="56"/>
      <c r="AJ33" s="57" t="str">
        <f t="shared" si="16"/>
        <v/>
      </c>
      <c r="AK33" s="56">
        <v>1</v>
      </c>
      <c r="AL33" s="57">
        <v>19</v>
      </c>
      <c r="AM33" s="56"/>
      <c r="AN33" s="57" t="str">
        <f t="shared" si="18"/>
        <v/>
      </c>
      <c r="AO33" s="56"/>
      <c r="AP33" s="57" t="str">
        <f t="shared" si="19"/>
        <v/>
      </c>
      <c r="AQ33" s="56"/>
      <c r="AR33" s="57" t="str">
        <f t="shared" si="20"/>
        <v/>
      </c>
      <c r="AS33" s="56"/>
      <c r="AT33" s="57" t="str">
        <f t="shared" si="21"/>
        <v/>
      </c>
      <c r="AU33" s="58"/>
      <c r="AV33" s="59"/>
      <c r="AW33" s="59"/>
      <c r="AX33" s="60"/>
      <c r="AY33" s="61">
        <v>1</v>
      </c>
      <c r="AZ33" s="62">
        <f t="shared" si="23"/>
        <v>1</v>
      </c>
      <c r="BA33" s="61">
        <f t="shared" si="24"/>
        <v>0</v>
      </c>
      <c r="BB33" s="62" t="str">
        <f t="shared" si="25"/>
        <v/>
      </c>
    </row>
    <row r="34" spans="1:54" s="3" customFormat="1" hidden="1" x14ac:dyDescent="0.35">
      <c r="A34" s="73">
        <f t="shared" si="1"/>
        <v>2019</v>
      </c>
      <c r="B34" s="73" t="str">
        <f t="shared" si="2"/>
        <v>Nov</v>
      </c>
      <c r="C34" s="74">
        <f t="shared" si="26"/>
        <v>16</v>
      </c>
      <c r="D34" s="75">
        <f t="shared" si="3"/>
        <v>16</v>
      </c>
      <c r="E34" s="76">
        <f t="shared" si="4"/>
        <v>18</v>
      </c>
      <c r="F34" s="80"/>
      <c r="G34" s="83"/>
      <c r="H34" s="69" t="str">
        <f t="shared" si="27"/>
        <v>Senbur6_20191116_16_00</v>
      </c>
      <c r="I34" s="70">
        <f t="shared" si="29"/>
        <v>1</v>
      </c>
      <c r="J34" s="77" t="str">
        <f t="shared" si="29"/>
        <v>Senecio</v>
      </c>
      <c r="K34" s="77" t="str">
        <f t="shared" si="29"/>
        <v>burtoni</v>
      </c>
      <c r="L34" s="78">
        <f t="shared" si="29"/>
        <v>6</v>
      </c>
      <c r="M34" s="78">
        <f t="shared" si="29"/>
        <v>12</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INDEX([1]!VISITORS[INSECT ORDER], MATCH(X34,[1]!VISITORS[NAME USED],0))</f>
        <v>#REF!</v>
      </c>
      <c r="AB34" s="48" t="e">
        <f t="shared" si="11"/>
        <v>#REF!</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16</v>
      </c>
      <c r="D35" s="75">
        <f t="shared" si="3"/>
        <v>16</v>
      </c>
      <c r="E35" s="76">
        <f t="shared" si="4"/>
        <v>19</v>
      </c>
      <c r="F35" s="80">
        <v>9</v>
      </c>
      <c r="G35" s="83"/>
      <c r="H35" s="69" t="str">
        <f t="shared" si="27"/>
        <v>Senbur6_20191116_16_00</v>
      </c>
      <c r="I35" s="70">
        <f t="shared" si="29"/>
        <v>1</v>
      </c>
      <c r="J35" s="77" t="str">
        <f t="shared" si="29"/>
        <v>Senecio</v>
      </c>
      <c r="K35" s="77" t="str">
        <f t="shared" si="29"/>
        <v>burtoni</v>
      </c>
      <c r="L35" s="78">
        <f t="shared" si="29"/>
        <v>6</v>
      </c>
      <c r="M35" s="78">
        <f t="shared" si="29"/>
        <v>12</v>
      </c>
      <c r="N35" s="72">
        <f t="shared" si="29"/>
        <v>0</v>
      </c>
      <c r="O35" s="45"/>
      <c r="P35" s="46">
        <f t="shared" si="6"/>
        <v>1</v>
      </c>
      <c r="Q35" s="47" t="str">
        <f t="shared" si="7"/>
        <v>16:19:09</v>
      </c>
      <c r="R35" s="48" t="str">
        <f t="shared" si="8"/>
        <v>19:09</v>
      </c>
      <c r="S35" s="49">
        <f t="shared" si="0"/>
        <v>13</v>
      </c>
      <c r="T35" s="48" t="str">
        <f t="shared" si="9"/>
        <v>16</v>
      </c>
      <c r="U35" s="50">
        <v>19</v>
      </c>
      <c r="V35" s="51">
        <v>22</v>
      </c>
      <c r="W35" s="52" t="str">
        <f t="shared" si="10"/>
        <v>19:22</v>
      </c>
      <c r="X35" s="53" t="s">
        <v>61</v>
      </c>
      <c r="Y35" s="97" t="s">
        <v>78</v>
      </c>
      <c r="Z35" s="97"/>
      <c r="AA35" s="48" t="s">
        <v>60</v>
      </c>
      <c r="AB35" s="48" t="str">
        <f t="shared" si="11"/>
        <v>NA</v>
      </c>
      <c r="AC35" s="54">
        <f t="shared" si="12"/>
        <v>0</v>
      </c>
      <c r="AD35" s="55">
        <v>2</v>
      </c>
      <c r="AE35" s="55"/>
      <c r="AF35" s="55"/>
      <c r="AG35" s="56">
        <v>1</v>
      </c>
      <c r="AH35" s="57">
        <v>3</v>
      </c>
      <c r="AI35" s="56">
        <v>1</v>
      </c>
      <c r="AJ35" s="57">
        <v>1</v>
      </c>
      <c r="AK35" s="56">
        <v>1</v>
      </c>
      <c r="AL35" s="57">
        <v>9</v>
      </c>
      <c r="AM35" s="56"/>
      <c r="AN35" s="57" t="str">
        <f t="shared" si="18"/>
        <v/>
      </c>
      <c r="AO35" s="56"/>
      <c r="AP35" s="57" t="str">
        <f t="shared" si="19"/>
        <v/>
      </c>
      <c r="AQ35" s="56"/>
      <c r="AR35" s="57" t="str">
        <f t="shared" si="20"/>
        <v/>
      </c>
      <c r="AS35" s="56"/>
      <c r="AT35" s="57" t="str">
        <f t="shared" si="21"/>
        <v/>
      </c>
      <c r="AU35" s="58"/>
      <c r="AV35" s="59"/>
      <c r="AW35" s="59"/>
      <c r="AX35" s="60"/>
      <c r="AY35" s="61">
        <v>1</v>
      </c>
      <c r="AZ35" s="62">
        <v>1</v>
      </c>
      <c r="BA35" s="61">
        <f t="shared" si="24"/>
        <v>0</v>
      </c>
      <c r="BB35" s="62" t="str">
        <f t="shared" si="25"/>
        <v/>
      </c>
    </row>
    <row r="36" spans="1:54" s="3" customFormat="1" hidden="1" x14ac:dyDescent="0.35">
      <c r="A36" s="73">
        <f t="shared" si="1"/>
        <v>2019</v>
      </c>
      <c r="B36" s="73" t="str">
        <f t="shared" si="2"/>
        <v>Nov</v>
      </c>
      <c r="C36" s="74">
        <f t="shared" si="26"/>
        <v>16</v>
      </c>
      <c r="D36" s="75">
        <f t="shared" si="3"/>
        <v>16</v>
      </c>
      <c r="E36" s="76">
        <f t="shared" si="4"/>
        <v>20</v>
      </c>
      <c r="F36" s="80">
        <v>21</v>
      </c>
      <c r="G36" s="83"/>
      <c r="H36" s="69" t="str">
        <f t="shared" si="27"/>
        <v>Senbur6_20191116_16_00</v>
      </c>
      <c r="I36" s="70">
        <f t="shared" si="29"/>
        <v>1</v>
      </c>
      <c r="J36" s="77" t="str">
        <f t="shared" si="29"/>
        <v>Senecio</v>
      </c>
      <c r="K36" s="77" t="str">
        <f t="shared" si="29"/>
        <v>burtoni</v>
      </c>
      <c r="L36" s="78">
        <f t="shared" si="29"/>
        <v>6</v>
      </c>
      <c r="M36" s="78">
        <f t="shared" si="29"/>
        <v>12</v>
      </c>
      <c r="N36" s="72">
        <f t="shared" si="29"/>
        <v>0</v>
      </c>
      <c r="O36" s="45"/>
      <c r="P36" s="46">
        <f t="shared" si="6"/>
        <v>1</v>
      </c>
      <c r="Q36" s="47" t="str">
        <f t="shared" si="7"/>
        <v>16:20:21</v>
      </c>
      <c r="R36" s="48" t="str">
        <f t="shared" si="8"/>
        <v>20:21</v>
      </c>
      <c r="S36" s="49">
        <f t="shared" si="0"/>
        <v>9</v>
      </c>
      <c r="T36" s="48" t="str">
        <f t="shared" si="9"/>
        <v>16</v>
      </c>
      <c r="U36" s="50">
        <v>20</v>
      </c>
      <c r="V36" s="51">
        <v>30</v>
      </c>
      <c r="W36" s="52" t="str">
        <f t="shared" si="10"/>
        <v>20:30</v>
      </c>
      <c r="X36" s="53" t="s">
        <v>61</v>
      </c>
      <c r="Y36" s="97" t="s">
        <v>78</v>
      </c>
      <c r="Z36" s="97"/>
      <c r="AA36" s="48" t="s">
        <v>60</v>
      </c>
      <c r="AB36" s="48" t="str">
        <f t="shared" si="11"/>
        <v>NA</v>
      </c>
      <c r="AC36" s="54">
        <f t="shared" si="12"/>
        <v>0</v>
      </c>
      <c r="AD36" s="55">
        <f t="shared" si="13"/>
        <v>1</v>
      </c>
      <c r="AE36" s="55"/>
      <c r="AF36" s="55"/>
      <c r="AG36" s="56">
        <v>1</v>
      </c>
      <c r="AH36" s="57">
        <v>2</v>
      </c>
      <c r="AI36" s="56"/>
      <c r="AJ36" s="57" t="str">
        <f t="shared" si="16"/>
        <v/>
      </c>
      <c r="AK36" s="56">
        <v>1</v>
      </c>
      <c r="AL36" s="57">
        <v>7</v>
      </c>
      <c r="AM36" s="56"/>
      <c r="AN36" s="57" t="str">
        <f t="shared" si="18"/>
        <v/>
      </c>
      <c r="AO36" s="56"/>
      <c r="AP36" s="57" t="str">
        <f t="shared" si="19"/>
        <v/>
      </c>
      <c r="AQ36" s="56"/>
      <c r="AR36" s="57" t="str">
        <f t="shared" si="20"/>
        <v/>
      </c>
      <c r="AS36" s="56"/>
      <c r="AT36" s="57" t="str">
        <f t="shared" si="21"/>
        <v/>
      </c>
      <c r="AU36" s="58"/>
      <c r="AV36" s="59"/>
      <c r="AW36" s="59"/>
      <c r="AX36" s="60"/>
      <c r="AY36" s="61">
        <v>1</v>
      </c>
      <c r="AZ36" s="62">
        <f t="shared" si="23"/>
        <v>1</v>
      </c>
      <c r="BA36" s="61">
        <f t="shared" si="24"/>
        <v>0</v>
      </c>
      <c r="BB36" s="62" t="str">
        <f t="shared" si="25"/>
        <v/>
      </c>
    </row>
    <row r="37" spans="1:54" s="3" customFormat="1" hidden="1" x14ac:dyDescent="0.35">
      <c r="A37" s="73">
        <f t="shared" si="1"/>
        <v>2019</v>
      </c>
      <c r="B37" s="73" t="str">
        <f t="shared" si="2"/>
        <v>Nov</v>
      </c>
      <c r="C37" s="74">
        <f t="shared" si="26"/>
        <v>16</v>
      </c>
      <c r="D37" s="75">
        <f t="shared" si="3"/>
        <v>16</v>
      </c>
      <c r="E37" s="76">
        <v>20</v>
      </c>
      <c r="F37" s="80">
        <v>30</v>
      </c>
      <c r="G37" s="83"/>
      <c r="H37" s="69" t="str">
        <f t="shared" si="27"/>
        <v>Senbur6_20191116_16_00</v>
      </c>
      <c r="I37" s="70">
        <f t="shared" ref="I37:N52" si="30">I36</f>
        <v>1</v>
      </c>
      <c r="J37" s="77" t="str">
        <f t="shared" si="30"/>
        <v>Senecio</v>
      </c>
      <c r="K37" s="77" t="str">
        <f t="shared" si="30"/>
        <v>burtoni</v>
      </c>
      <c r="L37" s="78">
        <f t="shared" si="30"/>
        <v>6</v>
      </c>
      <c r="M37" s="78">
        <f t="shared" si="30"/>
        <v>12</v>
      </c>
      <c r="N37" s="72">
        <f t="shared" si="30"/>
        <v>0</v>
      </c>
      <c r="O37" s="45"/>
      <c r="P37" s="46">
        <f t="shared" si="6"/>
        <v>1</v>
      </c>
      <c r="Q37" s="47" t="str">
        <f t="shared" si="7"/>
        <v>16:20:30</v>
      </c>
      <c r="R37" s="48" t="str">
        <f t="shared" si="8"/>
        <v>20:30</v>
      </c>
      <c r="S37" s="49">
        <f t="shared" si="0"/>
        <v>562</v>
      </c>
      <c r="T37" s="48" t="str">
        <f t="shared" si="9"/>
        <v>16</v>
      </c>
      <c r="U37" s="50">
        <v>29</v>
      </c>
      <c r="V37" s="51">
        <v>52</v>
      </c>
      <c r="W37" s="52" t="str">
        <f t="shared" si="10"/>
        <v>29:52</v>
      </c>
      <c r="X37" s="53" t="s">
        <v>62</v>
      </c>
      <c r="Y37" s="97" t="s">
        <v>81</v>
      </c>
      <c r="Z37" s="97"/>
      <c r="AA37" s="48" t="s">
        <v>63</v>
      </c>
      <c r="AB37" s="48" t="str">
        <f t="shared" si="11"/>
        <v>NA</v>
      </c>
      <c r="AC37" s="54">
        <f t="shared" si="12"/>
        <v>0</v>
      </c>
      <c r="AD37" s="55">
        <v>5</v>
      </c>
      <c r="AE37" s="55"/>
      <c r="AF37" s="55"/>
      <c r="AG37" s="56">
        <v>1</v>
      </c>
      <c r="AH37" s="57">
        <v>320</v>
      </c>
      <c r="AI37" s="56">
        <v>1</v>
      </c>
      <c r="AJ37" s="57">
        <v>1</v>
      </c>
      <c r="AK37" s="56">
        <v>1</v>
      </c>
      <c r="AL37" s="57">
        <v>241</v>
      </c>
      <c r="AM37" s="56" t="s">
        <v>64</v>
      </c>
      <c r="AN37" s="57" t="str">
        <f t="shared" si="18"/>
        <v/>
      </c>
      <c r="AO37" s="56"/>
      <c r="AP37" s="57" t="str">
        <f t="shared" si="19"/>
        <v/>
      </c>
      <c r="AQ37" s="56"/>
      <c r="AR37" s="57" t="str">
        <f t="shared" si="20"/>
        <v/>
      </c>
      <c r="AS37" s="56"/>
      <c r="AT37" s="57" t="str">
        <f t="shared" si="21"/>
        <v/>
      </c>
      <c r="AU37" s="58"/>
      <c r="AV37" s="59"/>
      <c r="AW37" s="59"/>
      <c r="AX37" s="60"/>
      <c r="AY37" s="61">
        <v>1</v>
      </c>
      <c r="AZ37" s="62">
        <v>5</v>
      </c>
      <c r="BA37" s="61">
        <f t="shared" si="24"/>
        <v>0</v>
      </c>
      <c r="BB37" s="62" t="str">
        <f t="shared" si="25"/>
        <v/>
      </c>
    </row>
    <row r="38" spans="1:54" s="3" customFormat="1" hidden="1" x14ac:dyDescent="0.35">
      <c r="A38" s="73">
        <f t="shared" si="1"/>
        <v>2019</v>
      </c>
      <c r="B38" s="73" t="str">
        <f t="shared" si="2"/>
        <v>Nov</v>
      </c>
      <c r="C38" s="74">
        <f t="shared" si="26"/>
        <v>16</v>
      </c>
      <c r="D38" s="75">
        <f t="shared" si="3"/>
        <v>16</v>
      </c>
      <c r="E38" s="76">
        <f t="shared" si="4"/>
        <v>21</v>
      </c>
      <c r="F38" s="80"/>
      <c r="G38" s="83"/>
      <c r="H38" s="69" t="str">
        <f t="shared" si="27"/>
        <v>Senbur6_20191116_16_00</v>
      </c>
      <c r="I38" s="70">
        <f t="shared" si="30"/>
        <v>1</v>
      </c>
      <c r="J38" s="77" t="str">
        <f t="shared" si="30"/>
        <v>Senecio</v>
      </c>
      <c r="K38" s="77" t="str">
        <f t="shared" si="30"/>
        <v>burtoni</v>
      </c>
      <c r="L38" s="78">
        <f t="shared" si="30"/>
        <v>6</v>
      </c>
      <c r="M38" s="78">
        <f t="shared" si="30"/>
        <v>12</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INDEX([1]!VISITORS[INSECT ORDER], MATCH(X38,[1]!VISITORS[NAME USED],0))</f>
        <v>#REF!</v>
      </c>
      <c r="AB38" s="48" t="e">
        <f t="shared" si="11"/>
        <v>#REF!</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16</v>
      </c>
      <c r="D39" s="75">
        <f t="shared" si="3"/>
        <v>16</v>
      </c>
      <c r="E39" s="76">
        <f t="shared" si="4"/>
        <v>22</v>
      </c>
      <c r="F39" s="80">
        <v>29</v>
      </c>
      <c r="G39" s="83"/>
      <c r="H39" s="69" t="str">
        <f t="shared" si="27"/>
        <v>Senbur6_20191116_16_00</v>
      </c>
      <c r="I39" s="70">
        <f t="shared" si="30"/>
        <v>1</v>
      </c>
      <c r="J39" s="77" t="str">
        <f t="shared" si="30"/>
        <v>Senecio</v>
      </c>
      <c r="K39" s="77" t="str">
        <f t="shared" si="30"/>
        <v>burtoni</v>
      </c>
      <c r="L39" s="78">
        <f t="shared" si="30"/>
        <v>6</v>
      </c>
      <c r="M39" s="78">
        <f t="shared" si="30"/>
        <v>12</v>
      </c>
      <c r="N39" s="72">
        <f t="shared" si="30"/>
        <v>0</v>
      </c>
      <c r="O39" s="45"/>
      <c r="P39" s="46">
        <f t="shared" si="6"/>
        <v>1</v>
      </c>
      <c r="Q39" s="47" t="str">
        <f t="shared" si="7"/>
        <v>16:22:29</v>
      </c>
      <c r="R39" s="48" t="str">
        <f t="shared" si="8"/>
        <v>22:29</v>
      </c>
      <c r="S39" s="49">
        <f t="shared" si="0"/>
        <v>46</v>
      </c>
      <c r="T39" s="48" t="str">
        <f t="shared" si="9"/>
        <v>16</v>
      </c>
      <c r="U39" s="50">
        <v>23</v>
      </c>
      <c r="V39" s="51">
        <v>15</v>
      </c>
      <c r="W39" s="52" t="str">
        <f t="shared" si="10"/>
        <v>23:15</v>
      </c>
      <c r="X39" s="53" t="s">
        <v>61</v>
      </c>
      <c r="Y39" s="97" t="s">
        <v>78</v>
      </c>
      <c r="Z39" s="97"/>
      <c r="AA39" s="48" t="s">
        <v>60</v>
      </c>
      <c r="AB39" s="48" t="str">
        <f t="shared" si="11"/>
        <v>NA</v>
      </c>
      <c r="AC39" s="54">
        <f t="shared" si="12"/>
        <v>0</v>
      </c>
      <c r="AD39" s="55">
        <f t="shared" si="13"/>
        <v>1</v>
      </c>
      <c r="AE39" s="55"/>
      <c r="AF39" s="55"/>
      <c r="AG39" s="56">
        <v>1</v>
      </c>
      <c r="AH39" s="57">
        <v>35</v>
      </c>
      <c r="AI39" s="56"/>
      <c r="AJ39" s="57" t="str">
        <f t="shared" si="16"/>
        <v/>
      </c>
      <c r="AK39" s="56">
        <v>1</v>
      </c>
      <c r="AL39" s="57">
        <v>11</v>
      </c>
      <c r="AM39" s="56"/>
      <c r="AN39" s="57" t="str">
        <f t="shared" si="18"/>
        <v/>
      </c>
      <c r="AO39" s="56"/>
      <c r="AP39" s="57" t="str">
        <f t="shared" si="19"/>
        <v/>
      </c>
      <c r="AQ39" s="56"/>
      <c r="AR39" s="57" t="str">
        <f t="shared" si="20"/>
        <v/>
      </c>
      <c r="AS39" s="56"/>
      <c r="AT39" s="57" t="str">
        <f t="shared" si="21"/>
        <v/>
      </c>
      <c r="AU39" s="58"/>
      <c r="AV39" s="59"/>
      <c r="AW39" s="59"/>
      <c r="AX39" s="60"/>
      <c r="AY39" s="61">
        <v>1</v>
      </c>
      <c r="AZ39" s="62">
        <f t="shared" si="23"/>
        <v>1</v>
      </c>
      <c r="BA39" s="61">
        <f t="shared" si="24"/>
        <v>0</v>
      </c>
      <c r="BB39" s="62" t="str">
        <f t="shared" si="25"/>
        <v/>
      </c>
    </row>
    <row r="40" spans="1:54" s="3" customFormat="1" hidden="1" x14ac:dyDescent="0.35">
      <c r="A40" s="73">
        <f t="shared" si="1"/>
        <v>2019</v>
      </c>
      <c r="B40" s="73" t="str">
        <f t="shared" si="2"/>
        <v>Nov</v>
      </c>
      <c r="C40" s="74">
        <f t="shared" si="26"/>
        <v>16</v>
      </c>
      <c r="D40" s="75">
        <f t="shared" si="3"/>
        <v>16</v>
      </c>
      <c r="E40" s="76">
        <f t="shared" si="4"/>
        <v>23</v>
      </c>
      <c r="F40" s="80"/>
      <c r="G40" s="83"/>
      <c r="H40" s="69" t="str">
        <f t="shared" si="27"/>
        <v>Senbur6_20191116_16_00</v>
      </c>
      <c r="I40" s="70">
        <f t="shared" si="30"/>
        <v>1</v>
      </c>
      <c r="J40" s="77" t="str">
        <f t="shared" si="30"/>
        <v>Senecio</v>
      </c>
      <c r="K40" s="77" t="str">
        <f t="shared" si="30"/>
        <v>burtoni</v>
      </c>
      <c r="L40" s="78">
        <f t="shared" si="30"/>
        <v>6</v>
      </c>
      <c r="M40" s="78">
        <f t="shared" si="30"/>
        <v>12</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INDEX([1]!VISITORS[INSECT ORDER], MATCH(X40,[1]!VISITORS[NAME USED],0))</f>
        <v>#REF!</v>
      </c>
      <c r="AB40" s="48" t="e">
        <f t="shared" si="11"/>
        <v>#REF!</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16</v>
      </c>
      <c r="D41" s="75">
        <f t="shared" si="3"/>
        <v>16</v>
      </c>
      <c r="E41" s="76">
        <f t="shared" si="4"/>
        <v>24</v>
      </c>
      <c r="F41" s="80"/>
      <c r="G41" s="83"/>
      <c r="H41" s="69" t="str">
        <f t="shared" si="27"/>
        <v>Senbur6_20191116_16_00</v>
      </c>
      <c r="I41" s="70">
        <f t="shared" si="30"/>
        <v>1</v>
      </c>
      <c r="J41" s="77" t="str">
        <f t="shared" si="30"/>
        <v>Senecio</v>
      </c>
      <c r="K41" s="77" t="str">
        <f t="shared" si="30"/>
        <v>burtoni</v>
      </c>
      <c r="L41" s="78">
        <f t="shared" si="30"/>
        <v>6</v>
      </c>
      <c r="M41" s="78">
        <f t="shared" si="30"/>
        <v>12</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INDEX([1]!VISITORS[INSECT ORDER], MATCH(X41,[1]!VISITORS[NAME USED],0))</f>
        <v>#REF!</v>
      </c>
      <c r="AB41" s="48" t="e">
        <f t="shared" si="11"/>
        <v>#REF!</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16</v>
      </c>
      <c r="D42" s="75">
        <f t="shared" si="3"/>
        <v>16</v>
      </c>
      <c r="E42" s="76">
        <f t="shared" si="4"/>
        <v>25</v>
      </c>
      <c r="F42" s="80"/>
      <c r="G42" s="83"/>
      <c r="H42" s="69" t="str">
        <f t="shared" si="27"/>
        <v>Senbur6_20191116_16_00</v>
      </c>
      <c r="I42" s="70">
        <f t="shared" si="30"/>
        <v>1</v>
      </c>
      <c r="J42" s="77" t="str">
        <f t="shared" si="30"/>
        <v>Senecio</v>
      </c>
      <c r="K42" s="77" t="str">
        <f t="shared" si="30"/>
        <v>burtoni</v>
      </c>
      <c r="L42" s="78">
        <f t="shared" si="30"/>
        <v>6</v>
      </c>
      <c r="M42" s="78">
        <f t="shared" si="30"/>
        <v>12</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INDEX([1]!VISITORS[INSECT ORDER], MATCH(X42,[1]!VISITORS[NAME USED],0))</f>
        <v>#REF!</v>
      </c>
      <c r="AB42" s="48" t="e">
        <f t="shared" si="11"/>
        <v>#REF!</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16</v>
      </c>
      <c r="D43" s="75">
        <f t="shared" si="3"/>
        <v>16</v>
      </c>
      <c r="E43" s="76">
        <f t="shared" si="4"/>
        <v>26</v>
      </c>
      <c r="F43" s="80"/>
      <c r="G43" s="83"/>
      <c r="H43" s="69" t="str">
        <f t="shared" si="27"/>
        <v>Senbur6_20191116_16_00</v>
      </c>
      <c r="I43" s="70">
        <f t="shared" si="30"/>
        <v>1</v>
      </c>
      <c r="J43" s="77" t="str">
        <f t="shared" si="30"/>
        <v>Senecio</v>
      </c>
      <c r="K43" s="77" t="str">
        <f t="shared" si="30"/>
        <v>burtoni</v>
      </c>
      <c r="L43" s="78">
        <f t="shared" si="30"/>
        <v>6</v>
      </c>
      <c r="M43" s="78">
        <f t="shared" si="30"/>
        <v>12</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INDEX([1]!VISITORS[INSECT ORDER], MATCH(X43,[1]!VISITORS[NAME USED],0))</f>
        <v>#REF!</v>
      </c>
      <c r="AB43" s="48" t="e">
        <f t="shared" si="11"/>
        <v>#REF!</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16</v>
      </c>
      <c r="D44" s="75">
        <f t="shared" si="3"/>
        <v>16</v>
      </c>
      <c r="E44" s="76">
        <f t="shared" si="4"/>
        <v>27</v>
      </c>
      <c r="F44" s="80"/>
      <c r="G44" s="83"/>
      <c r="H44" s="69" t="str">
        <f t="shared" si="27"/>
        <v>Senbur6_20191116_16_00</v>
      </c>
      <c r="I44" s="70">
        <f t="shared" si="30"/>
        <v>1</v>
      </c>
      <c r="J44" s="77" t="str">
        <f t="shared" si="30"/>
        <v>Senecio</v>
      </c>
      <c r="K44" s="77" t="str">
        <f t="shared" si="30"/>
        <v>burtoni</v>
      </c>
      <c r="L44" s="78">
        <f t="shared" si="30"/>
        <v>6</v>
      </c>
      <c r="M44" s="78">
        <f t="shared" si="30"/>
        <v>12</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INDEX([1]!VISITORS[INSECT ORDER], MATCH(X44,[1]!VISITORS[NAME USED],0))</f>
        <v>#REF!</v>
      </c>
      <c r="AB44" s="48" t="e">
        <f t="shared" si="11"/>
        <v>#REF!</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16</v>
      </c>
      <c r="D45" s="75">
        <f t="shared" si="3"/>
        <v>16</v>
      </c>
      <c r="E45" s="76">
        <f t="shared" si="4"/>
        <v>28</v>
      </c>
      <c r="F45" s="80"/>
      <c r="G45" s="83"/>
      <c r="H45" s="69" t="str">
        <f t="shared" si="27"/>
        <v>Senbur6_20191116_16_00</v>
      </c>
      <c r="I45" s="70">
        <f t="shared" si="30"/>
        <v>1</v>
      </c>
      <c r="J45" s="77" t="str">
        <f t="shared" si="30"/>
        <v>Senecio</v>
      </c>
      <c r="K45" s="77" t="str">
        <f t="shared" si="30"/>
        <v>burtoni</v>
      </c>
      <c r="L45" s="78">
        <f t="shared" si="30"/>
        <v>6</v>
      </c>
      <c r="M45" s="78">
        <f t="shared" si="30"/>
        <v>12</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INDEX([1]!VISITORS[INSECT ORDER], MATCH(X45,[1]!VISITORS[NAME USED],0))</f>
        <v>#REF!</v>
      </c>
      <c r="AB45" s="48" t="e">
        <f t="shared" si="11"/>
        <v>#REF!</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16</v>
      </c>
      <c r="D46" s="75">
        <f t="shared" si="3"/>
        <v>16</v>
      </c>
      <c r="E46" s="76">
        <f t="shared" si="4"/>
        <v>29</v>
      </c>
      <c r="F46" s="80"/>
      <c r="G46" s="83"/>
      <c r="H46" s="69" t="str">
        <f t="shared" si="27"/>
        <v>Senbur6_20191116_16_00</v>
      </c>
      <c r="I46" s="70">
        <f t="shared" si="30"/>
        <v>1</v>
      </c>
      <c r="J46" s="77" t="str">
        <f t="shared" si="30"/>
        <v>Senecio</v>
      </c>
      <c r="K46" s="77" t="str">
        <f t="shared" si="30"/>
        <v>burtoni</v>
      </c>
      <c r="L46" s="78">
        <f t="shared" si="30"/>
        <v>6</v>
      </c>
      <c r="M46" s="78">
        <f t="shared" si="30"/>
        <v>12</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INDEX([1]!VISITORS[INSECT ORDER], MATCH(X46,[1]!VISITORS[NAME USED],0))</f>
        <v>#REF!</v>
      </c>
      <c r="AB46" s="48" t="e">
        <f t="shared" si="11"/>
        <v>#REF!</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16</v>
      </c>
      <c r="D47" s="75">
        <f t="shared" si="3"/>
        <v>16</v>
      </c>
      <c r="E47" s="76">
        <f t="shared" si="4"/>
        <v>30</v>
      </c>
      <c r="F47" s="80"/>
      <c r="G47" s="83"/>
      <c r="H47" s="69" t="str">
        <f t="shared" si="27"/>
        <v>Senbur6_20191116_16_00</v>
      </c>
      <c r="I47" s="70">
        <f t="shared" si="30"/>
        <v>1</v>
      </c>
      <c r="J47" s="77" t="str">
        <f t="shared" si="30"/>
        <v>Senecio</v>
      </c>
      <c r="K47" s="77" t="str">
        <f t="shared" si="30"/>
        <v>burtoni</v>
      </c>
      <c r="L47" s="78">
        <f t="shared" si="30"/>
        <v>6</v>
      </c>
      <c r="M47" s="78">
        <f t="shared" si="30"/>
        <v>12</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INDEX([1]!VISITORS[INSECT ORDER], MATCH(X47,[1]!VISITORS[NAME USED],0))</f>
        <v>#REF!</v>
      </c>
      <c r="AB47" s="48" t="e">
        <f t="shared" si="11"/>
        <v>#REF!</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16</v>
      </c>
      <c r="D48" s="75">
        <f t="shared" si="3"/>
        <v>16</v>
      </c>
      <c r="E48" s="76">
        <f t="shared" si="4"/>
        <v>31</v>
      </c>
      <c r="F48" s="80"/>
      <c r="G48" s="83"/>
      <c r="H48" s="69" t="str">
        <f t="shared" si="27"/>
        <v>Senbur6_20191116_16_00</v>
      </c>
      <c r="I48" s="70">
        <f t="shared" si="30"/>
        <v>1</v>
      </c>
      <c r="J48" s="77" t="str">
        <f t="shared" si="30"/>
        <v>Senecio</v>
      </c>
      <c r="K48" s="77" t="str">
        <f t="shared" si="30"/>
        <v>burtoni</v>
      </c>
      <c r="L48" s="78">
        <f t="shared" si="30"/>
        <v>6</v>
      </c>
      <c r="M48" s="78">
        <f t="shared" si="30"/>
        <v>12</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INDEX([1]!VISITORS[INSECT ORDER], MATCH(X48,[1]!VISITORS[NAME USED],0))</f>
        <v>#REF!</v>
      </c>
      <c r="AB48" s="48" t="e">
        <f t="shared" si="11"/>
        <v>#REF!</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16</v>
      </c>
      <c r="D49" s="75">
        <f t="shared" si="3"/>
        <v>16</v>
      </c>
      <c r="E49" s="76">
        <f t="shared" si="4"/>
        <v>32</v>
      </c>
      <c r="F49" s="80"/>
      <c r="G49" s="83"/>
      <c r="H49" s="69" t="str">
        <f t="shared" si="27"/>
        <v>Senbur6_20191116_16_00</v>
      </c>
      <c r="I49" s="70">
        <f t="shared" si="30"/>
        <v>1</v>
      </c>
      <c r="J49" s="77" t="str">
        <f t="shared" si="30"/>
        <v>Senecio</v>
      </c>
      <c r="K49" s="77" t="str">
        <f t="shared" si="30"/>
        <v>burtoni</v>
      </c>
      <c r="L49" s="78">
        <f t="shared" si="30"/>
        <v>6</v>
      </c>
      <c r="M49" s="78">
        <f t="shared" si="30"/>
        <v>12</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INDEX([1]!VISITORS[INSECT ORDER], MATCH(X49,[1]!VISITORS[NAME USED],0))</f>
        <v>#REF!</v>
      </c>
      <c r="AB49" s="48" t="e">
        <f t="shared" si="11"/>
        <v>#REF!</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16</v>
      </c>
      <c r="D50" s="75">
        <f t="shared" si="3"/>
        <v>16</v>
      </c>
      <c r="E50" s="76">
        <f t="shared" si="4"/>
        <v>33</v>
      </c>
      <c r="F50" s="80"/>
      <c r="G50" s="83"/>
      <c r="H50" s="69" t="str">
        <f t="shared" si="27"/>
        <v>Senbur6_20191116_16_00</v>
      </c>
      <c r="I50" s="70">
        <f t="shared" si="30"/>
        <v>1</v>
      </c>
      <c r="J50" s="77" t="str">
        <f t="shared" si="30"/>
        <v>Senecio</v>
      </c>
      <c r="K50" s="77" t="str">
        <f t="shared" si="30"/>
        <v>burtoni</v>
      </c>
      <c r="L50" s="78">
        <f t="shared" si="30"/>
        <v>6</v>
      </c>
      <c r="M50" s="78">
        <f t="shared" si="30"/>
        <v>12</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INDEX([1]!VISITORS[INSECT ORDER], MATCH(X50,[1]!VISITORS[NAME USED],0))</f>
        <v>#REF!</v>
      </c>
      <c r="AB50" s="48" t="e">
        <f t="shared" si="11"/>
        <v>#REF!</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16</v>
      </c>
      <c r="D51" s="75">
        <f t="shared" si="3"/>
        <v>16</v>
      </c>
      <c r="E51" s="76">
        <f t="shared" si="4"/>
        <v>34</v>
      </c>
      <c r="F51" s="80">
        <v>40</v>
      </c>
      <c r="G51" s="83"/>
      <c r="H51" s="69" t="str">
        <f t="shared" si="27"/>
        <v>Senbur6_20191116_16_00</v>
      </c>
      <c r="I51" s="70">
        <f t="shared" si="30"/>
        <v>1</v>
      </c>
      <c r="J51" s="77" t="str">
        <f t="shared" si="30"/>
        <v>Senecio</v>
      </c>
      <c r="K51" s="77" t="str">
        <f t="shared" si="30"/>
        <v>burtoni</v>
      </c>
      <c r="L51" s="78">
        <f t="shared" si="30"/>
        <v>6</v>
      </c>
      <c r="M51" s="78">
        <f t="shared" si="30"/>
        <v>12</v>
      </c>
      <c r="N51" s="72">
        <f t="shared" si="30"/>
        <v>0</v>
      </c>
      <c r="O51" s="45"/>
      <c r="P51" s="46">
        <f t="shared" si="6"/>
        <v>1</v>
      </c>
      <c r="Q51" s="47" t="str">
        <f t="shared" si="7"/>
        <v>16:34:40</v>
      </c>
      <c r="R51" s="48" t="str">
        <f t="shared" si="8"/>
        <v>34:40</v>
      </c>
      <c r="S51" s="49">
        <f t="shared" si="0"/>
        <v>44</v>
      </c>
      <c r="T51" s="48" t="str">
        <f t="shared" si="9"/>
        <v>16</v>
      </c>
      <c r="U51" s="50">
        <v>35</v>
      </c>
      <c r="V51" s="51">
        <v>24</v>
      </c>
      <c r="W51" s="52" t="str">
        <f t="shared" si="10"/>
        <v>35:24</v>
      </c>
      <c r="X51" s="53" t="s">
        <v>61</v>
      </c>
      <c r="Y51" s="97" t="s">
        <v>78</v>
      </c>
      <c r="Z51" s="97"/>
      <c r="AA51" s="48" t="s">
        <v>60</v>
      </c>
      <c r="AB51" s="48" t="str">
        <f t="shared" si="11"/>
        <v>NA</v>
      </c>
      <c r="AC51" s="54">
        <f t="shared" si="12"/>
        <v>0</v>
      </c>
      <c r="AD51" s="55">
        <v>3</v>
      </c>
      <c r="AE51" s="55"/>
      <c r="AF51" s="55"/>
      <c r="AG51" s="56">
        <v>1</v>
      </c>
      <c r="AH51" s="57">
        <v>36</v>
      </c>
      <c r="AI51" s="56"/>
      <c r="AJ51" s="57" t="str">
        <f t="shared" si="16"/>
        <v/>
      </c>
      <c r="AK51" s="56">
        <v>1</v>
      </c>
      <c r="AL51" s="57">
        <v>8</v>
      </c>
      <c r="AM51" s="56"/>
      <c r="AN51" s="57" t="str">
        <f t="shared" si="18"/>
        <v/>
      </c>
      <c r="AO51" s="56"/>
      <c r="AP51" s="57" t="str">
        <f t="shared" si="19"/>
        <v/>
      </c>
      <c r="AQ51" s="56"/>
      <c r="AR51" s="57" t="str">
        <f t="shared" si="20"/>
        <v/>
      </c>
      <c r="AS51" s="56"/>
      <c r="AT51" s="57" t="str">
        <f t="shared" si="21"/>
        <v/>
      </c>
      <c r="AU51" s="58"/>
      <c r="AV51" s="59"/>
      <c r="AW51" s="59"/>
      <c r="AX51" s="60"/>
      <c r="AY51" s="61">
        <v>1</v>
      </c>
      <c r="AZ51" s="62">
        <f t="shared" si="23"/>
        <v>3</v>
      </c>
      <c r="BA51" s="61">
        <f t="shared" si="24"/>
        <v>0</v>
      </c>
      <c r="BB51" s="62" t="str">
        <f t="shared" si="25"/>
        <v/>
      </c>
    </row>
    <row r="52" spans="1:54" s="3" customFormat="1" hidden="1" x14ac:dyDescent="0.35">
      <c r="A52" s="73">
        <f t="shared" si="1"/>
        <v>2019</v>
      </c>
      <c r="B52" s="73" t="str">
        <f t="shared" si="2"/>
        <v>Nov</v>
      </c>
      <c r="C52" s="74">
        <f t="shared" si="26"/>
        <v>16</v>
      </c>
      <c r="D52" s="75">
        <f t="shared" si="3"/>
        <v>16</v>
      </c>
      <c r="E52" s="76">
        <f t="shared" si="4"/>
        <v>35</v>
      </c>
      <c r="F52" s="80"/>
      <c r="G52" s="83"/>
      <c r="H52" s="69" t="str">
        <f t="shared" si="27"/>
        <v>Senbur6_20191116_16_00</v>
      </c>
      <c r="I52" s="70">
        <f t="shared" si="30"/>
        <v>1</v>
      </c>
      <c r="J52" s="77" t="str">
        <f t="shared" si="30"/>
        <v>Senecio</v>
      </c>
      <c r="K52" s="77" t="str">
        <f t="shared" si="30"/>
        <v>burtoni</v>
      </c>
      <c r="L52" s="78">
        <f t="shared" si="30"/>
        <v>6</v>
      </c>
      <c r="M52" s="78">
        <f t="shared" si="30"/>
        <v>12</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INDEX([1]!VISITORS[INSECT ORDER], MATCH(X52,[1]!VISITORS[NAME USED],0))</f>
        <v>#REF!</v>
      </c>
      <c r="AB52" s="48" t="e">
        <f t="shared" si="11"/>
        <v>#REF!</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16</v>
      </c>
      <c r="D53" s="75">
        <f t="shared" si="3"/>
        <v>16</v>
      </c>
      <c r="E53" s="76">
        <f t="shared" si="4"/>
        <v>36</v>
      </c>
      <c r="F53" s="80"/>
      <c r="G53" s="83"/>
      <c r="H53" s="69" t="str">
        <f t="shared" si="27"/>
        <v>Senbur6_20191116_16_00</v>
      </c>
      <c r="I53" s="70">
        <f t="shared" ref="I53:N68" si="31">I52</f>
        <v>1</v>
      </c>
      <c r="J53" s="77" t="str">
        <f t="shared" si="31"/>
        <v>Senecio</v>
      </c>
      <c r="K53" s="77" t="str">
        <f t="shared" si="31"/>
        <v>burtoni</v>
      </c>
      <c r="L53" s="78">
        <f t="shared" si="31"/>
        <v>6</v>
      </c>
      <c r="M53" s="78">
        <f t="shared" si="31"/>
        <v>12</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INDEX([1]!VISITORS[INSECT ORDER], MATCH(X53,[1]!VISITORS[NAME USED],0))</f>
        <v>#REF!</v>
      </c>
      <c r="AB53" s="48" t="e">
        <f t="shared" si="11"/>
        <v>#REF!</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16</v>
      </c>
      <c r="D54" s="75">
        <f t="shared" si="3"/>
        <v>16</v>
      </c>
      <c r="E54" s="76">
        <f t="shared" si="4"/>
        <v>37</v>
      </c>
      <c r="F54" s="80"/>
      <c r="G54" s="83"/>
      <c r="H54" s="69" t="str">
        <f t="shared" si="27"/>
        <v>Senbur6_20191116_16_00</v>
      </c>
      <c r="I54" s="70">
        <f t="shared" si="31"/>
        <v>1</v>
      </c>
      <c r="J54" s="77" t="str">
        <f t="shared" si="31"/>
        <v>Senecio</v>
      </c>
      <c r="K54" s="77" t="str">
        <f t="shared" si="31"/>
        <v>burtoni</v>
      </c>
      <c r="L54" s="78">
        <f t="shared" si="31"/>
        <v>6</v>
      </c>
      <c r="M54" s="78">
        <f t="shared" si="31"/>
        <v>12</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INDEX([1]!VISITORS[INSECT ORDER], MATCH(X54,[1]!VISITORS[NAME USED],0))</f>
        <v>#REF!</v>
      </c>
      <c r="AB54" s="48" t="e">
        <f t="shared" si="11"/>
        <v>#REF!</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16</v>
      </c>
      <c r="D55" s="75">
        <f t="shared" si="3"/>
        <v>16</v>
      </c>
      <c r="E55" s="76">
        <f t="shared" si="4"/>
        <v>38</v>
      </c>
      <c r="F55" s="80"/>
      <c r="G55" s="83"/>
      <c r="H55" s="69" t="str">
        <f t="shared" si="27"/>
        <v>Senbur6_20191116_16_00</v>
      </c>
      <c r="I55" s="70">
        <f t="shared" si="31"/>
        <v>1</v>
      </c>
      <c r="J55" s="77" t="str">
        <f t="shared" si="31"/>
        <v>Senecio</v>
      </c>
      <c r="K55" s="77" t="str">
        <f t="shared" si="31"/>
        <v>burtoni</v>
      </c>
      <c r="L55" s="78">
        <f t="shared" si="31"/>
        <v>6</v>
      </c>
      <c r="M55" s="78">
        <f t="shared" si="31"/>
        <v>12</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INDEX([1]!VISITORS[INSECT ORDER], MATCH(X55,[1]!VISITORS[NAME USED],0))</f>
        <v>#REF!</v>
      </c>
      <c r="AB55" s="48" t="e">
        <f t="shared" si="11"/>
        <v>#REF!</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16</v>
      </c>
      <c r="D56" s="75">
        <f t="shared" si="3"/>
        <v>16</v>
      </c>
      <c r="E56" s="76">
        <f t="shared" si="4"/>
        <v>39</v>
      </c>
      <c r="F56" s="80">
        <v>51</v>
      </c>
      <c r="G56" s="83"/>
      <c r="H56" s="69" t="str">
        <f t="shared" si="27"/>
        <v>Senbur6_20191116_16_00</v>
      </c>
      <c r="I56" s="70">
        <f t="shared" si="31"/>
        <v>1</v>
      </c>
      <c r="J56" s="77" t="str">
        <f t="shared" si="31"/>
        <v>Senecio</v>
      </c>
      <c r="K56" s="77" t="str">
        <f t="shared" si="31"/>
        <v>burtoni</v>
      </c>
      <c r="L56" s="78">
        <f t="shared" si="31"/>
        <v>6</v>
      </c>
      <c r="M56" s="78">
        <f t="shared" si="31"/>
        <v>12</v>
      </c>
      <c r="N56" s="72">
        <f t="shared" si="31"/>
        <v>0</v>
      </c>
      <c r="O56" s="45"/>
      <c r="P56" s="46">
        <f t="shared" si="6"/>
        <v>1</v>
      </c>
      <c r="Q56" s="47" t="str">
        <f t="shared" si="7"/>
        <v>16:39:51</v>
      </c>
      <c r="R56" s="48" t="str">
        <f t="shared" si="8"/>
        <v>39:51</v>
      </c>
      <c r="S56" s="49">
        <f t="shared" si="0"/>
        <v>16</v>
      </c>
      <c r="T56" s="48" t="str">
        <f t="shared" si="9"/>
        <v>16</v>
      </c>
      <c r="U56" s="50">
        <v>40</v>
      </c>
      <c r="V56" s="51">
        <v>7</v>
      </c>
      <c r="W56" s="52" t="str">
        <f t="shared" si="10"/>
        <v>40:07</v>
      </c>
      <c r="X56" s="53" t="s">
        <v>61</v>
      </c>
      <c r="Y56" s="97" t="s">
        <v>82</v>
      </c>
      <c r="Z56" s="97"/>
      <c r="AA56" s="48" t="s">
        <v>60</v>
      </c>
      <c r="AB56" s="48" t="str">
        <f t="shared" si="11"/>
        <v>NA</v>
      </c>
      <c r="AC56" s="54">
        <f t="shared" si="12"/>
        <v>0</v>
      </c>
      <c r="AD56" s="55">
        <f t="shared" si="13"/>
        <v>1</v>
      </c>
      <c r="AE56" s="55"/>
      <c r="AF56" s="55"/>
      <c r="AG56" s="56">
        <v>1</v>
      </c>
      <c r="AH56" s="57">
        <v>2</v>
      </c>
      <c r="AI56" s="56"/>
      <c r="AJ56" s="57" t="str">
        <f t="shared" si="16"/>
        <v/>
      </c>
      <c r="AK56" s="56">
        <v>1</v>
      </c>
      <c r="AL56" s="57">
        <v>14</v>
      </c>
      <c r="AM56" s="56"/>
      <c r="AN56" s="57" t="str">
        <f t="shared" si="18"/>
        <v/>
      </c>
      <c r="AO56" s="56"/>
      <c r="AP56" s="57" t="str">
        <f t="shared" si="19"/>
        <v/>
      </c>
      <c r="AQ56" s="56"/>
      <c r="AR56" s="57" t="str">
        <f t="shared" si="20"/>
        <v/>
      </c>
      <c r="AS56" s="56"/>
      <c r="AT56" s="57" t="str">
        <f t="shared" si="21"/>
        <v/>
      </c>
      <c r="AU56" s="58"/>
      <c r="AV56" s="59"/>
      <c r="AW56" s="59"/>
      <c r="AX56" s="60"/>
      <c r="AY56" s="61">
        <v>1</v>
      </c>
      <c r="AZ56" s="62">
        <f t="shared" si="23"/>
        <v>1</v>
      </c>
      <c r="BA56" s="61">
        <f t="shared" si="24"/>
        <v>0</v>
      </c>
      <c r="BB56" s="62" t="str">
        <f t="shared" si="25"/>
        <v/>
      </c>
    </row>
    <row r="57" spans="1:54" s="3" customFormat="1" hidden="1" x14ac:dyDescent="0.35">
      <c r="A57" s="73">
        <f t="shared" si="1"/>
        <v>2019</v>
      </c>
      <c r="B57" s="73" t="str">
        <f t="shared" si="2"/>
        <v>Nov</v>
      </c>
      <c r="C57" s="74">
        <f t="shared" si="26"/>
        <v>16</v>
      </c>
      <c r="D57" s="75">
        <f t="shared" si="3"/>
        <v>16</v>
      </c>
      <c r="E57" s="76">
        <f t="shared" si="4"/>
        <v>40</v>
      </c>
      <c r="F57" s="80"/>
      <c r="G57" s="83"/>
      <c r="H57" s="69" t="str">
        <f t="shared" si="27"/>
        <v>Senbur6_20191116_16_00</v>
      </c>
      <c r="I57" s="70">
        <f t="shared" si="31"/>
        <v>1</v>
      </c>
      <c r="J57" s="77" t="str">
        <f t="shared" si="31"/>
        <v>Senecio</v>
      </c>
      <c r="K57" s="77" t="str">
        <f t="shared" si="31"/>
        <v>burtoni</v>
      </c>
      <c r="L57" s="78">
        <f t="shared" si="31"/>
        <v>6</v>
      </c>
      <c r="M57" s="78">
        <f t="shared" si="31"/>
        <v>12</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INDEX([1]!VISITORS[INSECT ORDER], MATCH(X57,[1]!VISITORS[NAME USED],0))</f>
        <v>#REF!</v>
      </c>
      <c r="AB57" s="48" t="e">
        <f t="shared" si="11"/>
        <v>#REF!</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16</v>
      </c>
      <c r="D58" s="75">
        <f t="shared" si="3"/>
        <v>16</v>
      </c>
      <c r="E58" s="76">
        <f t="shared" si="4"/>
        <v>41</v>
      </c>
      <c r="F58" s="80"/>
      <c r="G58" s="83"/>
      <c r="H58" s="69" t="str">
        <f t="shared" si="27"/>
        <v>Senbur6_20191116_16_00</v>
      </c>
      <c r="I58" s="70">
        <f t="shared" si="31"/>
        <v>1</v>
      </c>
      <c r="J58" s="77" t="str">
        <f t="shared" si="31"/>
        <v>Senecio</v>
      </c>
      <c r="K58" s="77" t="str">
        <f t="shared" si="31"/>
        <v>burtoni</v>
      </c>
      <c r="L58" s="78">
        <f t="shared" si="31"/>
        <v>6</v>
      </c>
      <c r="M58" s="78">
        <f t="shared" si="31"/>
        <v>12</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INDEX([1]!VISITORS[INSECT ORDER], MATCH(X58,[1]!VISITORS[NAME USED],0))</f>
        <v>#REF!</v>
      </c>
      <c r="AB58" s="48" t="e">
        <f t="shared" si="11"/>
        <v>#REF!</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16</v>
      </c>
      <c r="D59" s="75">
        <f t="shared" si="3"/>
        <v>16</v>
      </c>
      <c r="E59" s="76">
        <f t="shared" si="4"/>
        <v>42</v>
      </c>
      <c r="F59" s="80"/>
      <c r="G59" s="83"/>
      <c r="H59" s="69" t="str">
        <f t="shared" si="27"/>
        <v>Senbur6_20191116_16_00</v>
      </c>
      <c r="I59" s="70">
        <f t="shared" si="31"/>
        <v>1</v>
      </c>
      <c r="J59" s="77" t="str">
        <f t="shared" si="31"/>
        <v>Senecio</v>
      </c>
      <c r="K59" s="77" t="str">
        <f t="shared" si="31"/>
        <v>burtoni</v>
      </c>
      <c r="L59" s="78">
        <f t="shared" si="31"/>
        <v>6</v>
      </c>
      <c r="M59" s="78">
        <f t="shared" si="31"/>
        <v>12</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INDEX([1]!VISITORS[INSECT ORDER], MATCH(X59,[1]!VISITORS[NAME USED],0))</f>
        <v>#REF!</v>
      </c>
      <c r="AB59" s="48" t="e">
        <f t="shared" si="11"/>
        <v>#REF!</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16</v>
      </c>
      <c r="D60" s="75">
        <f t="shared" si="3"/>
        <v>16</v>
      </c>
      <c r="E60" s="76">
        <f t="shared" si="4"/>
        <v>43</v>
      </c>
      <c r="F60" s="80"/>
      <c r="G60" s="83"/>
      <c r="H60" s="69" t="str">
        <f t="shared" si="27"/>
        <v>Senbur6_20191116_16_00</v>
      </c>
      <c r="I60" s="70">
        <f t="shared" si="31"/>
        <v>1</v>
      </c>
      <c r="J60" s="77" t="str">
        <f t="shared" si="31"/>
        <v>Senecio</v>
      </c>
      <c r="K60" s="77" t="str">
        <f t="shared" si="31"/>
        <v>burtoni</v>
      </c>
      <c r="L60" s="78">
        <f t="shared" si="31"/>
        <v>6</v>
      </c>
      <c r="M60" s="78">
        <f t="shared" si="31"/>
        <v>12</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INDEX([1]!VISITORS[INSECT ORDER], MATCH(X60,[1]!VISITORS[NAME USED],0))</f>
        <v>#REF!</v>
      </c>
      <c r="AB60" s="48" t="e">
        <f t="shared" si="11"/>
        <v>#REF!</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16</v>
      </c>
      <c r="D61" s="75">
        <f t="shared" si="3"/>
        <v>16</v>
      </c>
      <c r="E61" s="76">
        <f t="shared" si="4"/>
        <v>44</v>
      </c>
      <c r="F61" s="80"/>
      <c r="G61" s="83"/>
      <c r="H61" s="69" t="str">
        <f t="shared" si="27"/>
        <v>Senbur6_20191116_16_00</v>
      </c>
      <c r="I61" s="70">
        <f t="shared" si="31"/>
        <v>1</v>
      </c>
      <c r="J61" s="77" t="str">
        <f t="shared" si="31"/>
        <v>Senecio</v>
      </c>
      <c r="K61" s="77" t="str">
        <f t="shared" si="31"/>
        <v>burtoni</v>
      </c>
      <c r="L61" s="78">
        <f t="shared" si="31"/>
        <v>6</v>
      </c>
      <c r="M61" s="78">
        <f t="shared" si="31"/>
        <v>12</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INDEX([1]!VISITORS[INSECT ORDER], MATCH(X61,[1]!VISITORS[NAME USED],0))</f>
        <v>#REF!</v>
      </c>
      <c r="AB61" s="48" t="e">
        <f t="shared" si="11"/>
        <v>#REF!</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16</v>
      </c>
      <c r="D62" s="75">
        <f t="shared" si="3"/>
        <v>16</v>
      </c>
      <c r="E62" s="76">
        <f t="shared" si="4"/>
        <v>45</v>
      </c>
      <c r="F62" s="80"/>
      <c r="G62" s="83"/>
      <c r="H62" s="69" t="str">
        <f t="shared" si="27"/>
        <v>Senbur6_20191116_16_00</v>
      </c>
      <c r="I62" s="70">
        <f t="shared" si="31"/>
        <v>1</v>
      </c>
      <c r="J62" s="77" t="str">
        <f t="shared" si="31"/>
        <v>Senecio</v>
      </c>
      <c r="K62" s="77" t="str">
        <f t="shared" si="31"/>
        <v>burtoni</v>
      </c>
      <c r="L62" s="78">
        <f t="shared" si="31"/>
        <v>6</v>
      </c>
      <c r="M62" s="78">
        <f t="shared" si="31"/>
        <v>12</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INDEX([1]!VISITORS[INSECT ORDER], MATCH(X62,[1]!VISITORS[NAME USED],0))</f>
        <v>#REF!</v>
      </c>
      <c r="AB62" s="48" t="e">
        <f t="shared" si="11"/>
        <v>#REF!</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16</v>
      </c>
      <c r="D63" s="75">
        <f t="shared" si="3"/>
        <v>16</v>
      </c>
      <c r="E63" s="76">
        <f t="shared" si="4"/>
        <v>46</v>
      </c>
      <c r="F63" s="80"/>
      <c r="G63" s="83"/>
      <c r="H63" s="69" t="str">
        <f t="shared" si="27"/>
        <v>Senbur6_20191116_16_00</v>
      </c>
      <c r="I63" s="70">
        <f t="shared" si="31"/>
        <v>1</v>
      </c>
      <c r="J63" s="77" t="str">
        <f t="shared" si="31"/>
        <v>Senecio</v>
      </c>
      <c r="K63" s="77" t="str">
        <f t="shared" si="31"/>
        <v>burtoni</v>
      </c>
      <c r="L63" s="78">
        <f t="shared" si="31"/>
        <v>6</v>
      </c>
      <c r="M63" s="78">
        <f t="shared" si="31"/>
        <v>12</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INDEX([1]!VISITORS[INSECT ORDER], MATCH(X63,[1]!VISITORS[NAME USED],0))</f>
        <v>#REF!</v>
      </c>
      <c r="AB63" s="48" t="e">
        <f t="shared" si="11"/>
        <v>#REF!</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16</v>
      </c>
      <c r="D64" s="75">
        <f t="shared" si="3"/>
        <v>16</v>
      </c>
      <c r="E64" s="76">
        <f t="shared" si="4"/>
        <v>47</v>
      </c>
      <c r="F64" s="80"/>
      <c r="G64" s="83"/>
      <c r="H64" s="69" t="str">
        <f t="shared" si="27"/>
        <v>Senbur6_20191116_16_00</v>
      </c>
      <c r="I64" s="70">
        <f t="shared" si="31"/>
        <v>1</v>
      </c>
      <c r="J64" s="77" t="str">
        <f t="shared" si="31"/>
        <v>Senecio</v>
      </c>
      <c r="K64" s="77" t="str">
        <f t="shared" si="31"/>
        <v>burtoni</v>
      </c>
      <c r="L64" s="78">
        <f t="shared" si="31"/>
        <v>6</v>
      </c>
      <c r="M64" s="78">
        <f t="shared" si="31"/>
        <v>12</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INDEX([1]!VISITORS[INSECT ORDER], MATCH(X64,[1]!VISITORS[NAME USED],0))</f>
        <v>#REF!</v>
      </c>
      <c r="AB64" s="48" t="e">
        <f t="shared" si="11"/>
        <v>#REF!</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16</v>
      </c>
      <c r="D65" s="75">
        <f t="shared" si="3"/>
        <v>16</v>
      </c>
      <c r="E65" s="76">
        <f t="shared" si="4"/>
        <v>48</v>
      </c>
      <c r="F65" s="80"/>
      <c r="G65" s="83"/>
      <c r="H65" s="69" t="str">
        <f t="shared" si="27"/>
        <v>Senbur6_20191116_16_00</v>
      </c>
      <c r="I65" s="70">
        <f t="shared" si="31"/>
        <v>1</v>
      </c>
      <c r="J65" s="77" t="str">
        <f t="shared" si="31"/>
        <v>Senecio</v>
      </c>
      <c r="K65" s="77" t="str">
        <f t="shared" si="31"/>
        <v>burtoni</v>
      </c>
      <c r="L65" s="78">
        <f t="shared" si="31"/>
        <v>6</v>
      </c>
      <c r="M65" s="78">
        <f t="shared" si="31"/>
        <v>12</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INDEX([1]!VISITORS[INSECT ORDER], MATCH(X65,[1]!VISITORS[NAME USED],0))</f>
        <v>#REF!</v>
      </c>
      <c r="AB65" s="48" t="e">
        <f t="shared" si="11"/>
        <v>#REF!</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16</v>
      </c>
      <c r="D66" s="75">
        <f t="shared" si="3"/>
        <v>16</v>
      </c>
      <c r="E66" s="76">
        <f t="shared" si="4"/>
        <v>49</v>
      </c>
      <c r="F66" s="80"/>
      <c r="G66" s="83"/>
      <c r="H66" s="69" t="str">
        <f t="shared" si="27"/>
        <v>Senbur6_20191116_16_00</v>
      </c>
      <c r="I66" s="70">
        <f t="shared" si="31"/>
        <v>1</v>
      </c>
      <c r="J66" s="77" t="str">
        <f t="shared" si="31"/>
        <v>Senecio</v>
      </c>
      <c r="K66" s="77" t="str">
        <f t="shared" si="31"/>
        <v>burtoni</v>
      </c>
      <c r="L66" s="78">
        <f t="shared" si="31"/>
        <v>6</v>
      </c>
      <c r="M66" s="78">
        <f t="shared" si="31"/>
        <v>12</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INDEX([1]!VISITORS[INSECT ORDER], MATCH(X66,[1]!VISITORS[NAME USED],0))</f>
        <v>#REF!</v>
      </c>
      <c r="AB66" s="48" t="e">
        <f t="shared" si="11"/>
        <v>#REF!</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16</v>
      </c>
      <c r="D67" s="75">
        <f t="shared" si="3"/>
        <v>16</v>
      </c>
      <c r="E67" s="76">
        <f t="shared" si="4"/>
        <v>50</v>
      </c>
      <c r="F67" s="80"/>
      <c r="G67" s="83"/>
      <c r="H67" s="69" t="str">
        <f t="shared" si="27"/>
        <v>Senbur6_20191116_16_00</v>
      </c>
      <c r="I67" s="70">
        <f t="shared" si="31"/>
        <v>1</v>
      </c>
      <c r="J67" s="77" t="str">
        <f t="shared" si="31"/>
        <v>Senecio</v>
      </c>
      <c r="K67" s="77" t="str">
        <f t="shared" si="31"/>
        <v>burtoni</v>
      </c>
      <c r="L67" s="78">
        <f t="shared" si="31"/>
        <v>6</v>
      </c>
      <c r="M67" s="78">
        <f t="shared" si="31"/>
        <v>12</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INDEX([1]!VISITORS[INSECT ORDER], MATCH(X67,[1]!VISITORS[NAME USED],0))</f>
        <v>#REF!</v>
      </c>
      <c r="AB67" s="48" t="e">
        <f t="shared" si="11"/>
        <v>#REF!</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16</v>
      </c>
      <c r="D68" s="75">
        <f t="shared" ref="D68:D131" si="35">IF(IF(E67=59,D67+1,D67)=24,0,IF(E67=59,D67+1,D67))</f>
        <v>16</v>
      </c>
      <c r="E68" s="76">
        <f t="shared" ref="E68:E131" si="36">IF(E67&lt;59,E67+1,0)</f>
        <v>51</v>
      </c>
      <c r="F68" s="80">
        <v>29</v>
      </c>
      <c r="G68" s="83"/>
      <c r="H68" s="69" t="str">
        <f t="shared" si="27"/>
        <v>Senbur6_20191116_16_00</v>
      </c>
      <c r="I68" s="70">
        <f t="shared" si="31"/>
        <v>1</v>
      </c>
      <c r="J68" s="77" t="str">
        <f t="shared" si="31"/>
        <v>Senecio</v>
      </c>
      <c r="K68" s="77" t="str">
        <f t="shared" si="31"/>
        <v>burtoni</v>
      </c>
      <c r="L68" s="78">
        <f t="shared" si="31"/>
        <v>6</v>
      </c>
      <c r="M68" s="78">
        <f t="shared" si="31"/>
        <v>12</v>
      </c>
      <c r="N68" s="72">
        <f t="shared" si="31"/>
        <v>0</v>
      </c>
      <c r="O68" s="45"/>
      <c r="P68" s="46">
        <f t="shared" ref="P68:P131" si="37">IF(F68="","",1)</f>
        <v>1</v>
      </c>
      <c r="Q68" s="47" t="str">
        <f t="shared" ref="Q68:Q131" si="38">TEXT(IF(P68=1,CONCATENATE($D68,":",$E68,":",(LEFT($F68,2))),""),"hh:mm:ss")</f>
        <v>16:51:29</v>
      </c>
      <c r="R68" s="48" t="str">
        <f t="shared" ref="R68:R131" si="39">TEXT(Q68-TIME(0,RIGHT($H68,2),$G$9)+(Q68&gt;TIME(0,RIGHT($H68,2),$G$9)),"mm:ss")</f>
        <v>51:29</v>
      </c>
      <c r="S68" s="49">
        <f t="shared" si="32"/>
        <v>523</v>
      </c>
      <c r="T68" s="48">
        <v>17</v>
      </c>
      <c r="U68" s="50">
        <v>0</v>
      </c>
      <c r="V68" s="51">
        <v>12</v>
      </c>
      <c r="W68" s="52" t="str">
        <f t="shared" ref="W68:W131" si="40">IF(O68=0,TEXT(TIME(T68,U68,V68)-TIME(D68,E68,RIGHT(F68,2))+TIME(0,LEFT(R68,2),RIGHT(R68,2)),"mm:ss"),TEXT(TIME(T68,U68,V68)-TIME(D68,E68,RIGHT(F68,2))+TIME(0,LEFT(R68,2),RIGHT(R68,2))-TIME(0,($G$10*O68),0),"mm:ss"))</f>
        <v>00:12</v>
      </c>
      <c r="X68" s="53" t="s">
        <v>61</v>
      </c>
      <c r="Y68" s="97" t="s">
        <v>78</v>
      </c>
      <c r="Z68" s="97"/>
      <c r="AA68" s="48" t="s">
        <v>60</v>
      </c>
      <c r="AB68" s="48" t="str">
        <f t="shared" ref="AB68:AB131" si="41">IF(AA68&lt;&gt;0,"NA","")</f>
        <v>NA</v>
      </c>
      <c r="AC68" s="54">
        <f t="shared" ref="AC68:AC131" si="42">IF(SUM(AH68,AJ68,AL68,AN68,AP68,AR68,AT68)=S68,,"")</f>
        <v>0</v>
      </c>
      <c r="AD68" s="55">
        <v>4</v>
      </c>
      <c r="AE68" s="55"/>
      <c r="AF68" s="55"/>
      <c r="AG68" s="56">
        <v>1</v>
      </c>
      <c r="AH68" s="57">
        <v>341</v>
      </c>
      <c r="AI68" s="56">
        <v>1</v>
      </c>
      <c r="AJ68" s="57">
        <v>1</v>
      </c>
      <c r="AK68" s="56">
        <v>1</v>
      </c>
      <c r="AL68" s="57">
        <v>181</v>
      </c>
      <c r="AM68" s="56"/>
      <c r="AN68" s="57" t="str">
        <f t="shared" ref="AN68:AN131" si="43">IF(AM68=1,$S68,"")</f>
        <v/>
      </c>
      <c r="AO68" s="56"/>
      <c r="AP68" s="57" t="str">
        <f t="shared" ref="AP68:AP131" si="44">IF(AO68=1,$S68,"")</f>
        <v/>
      </c>
      <c r="AQ68" s="56"/>
      <c r="AR68" s="57" t="str">
        <f t="shared" ref="AR68:AR131" si="45">IF(AQ68=1,$S68,"")</f>
        <v/>
      </c>
      <c r="AS68" s="56"/>
      <c r="AT68" s="57" t="str">
        <f t="shared" ref="AT68:AT131" si="46">IF(AS68=1,$S68,"")</f>
        <v/>
      </c>
      <c r="AU68" s="58"/>
      <c r="AV68" s="59"/>
      <c r="AW68" s="59"/>
      <c r="AX68" s="60"/>
      <c r="AY68" s="61">
        <v>1</v>
      </c>
      <c r="AZ68" s="62">
        <f t="shared" ref="AZ68:AZ131" si="47">IF(AY68=1,AD68,"")</f>
        <v>4</v>
      </c>
      <c r="BA68" s="61">
        <f t="shared" ref="BA68:BA131" si="48">IF(P68=1,0,"")</f>
        <v>0</v>
      </c>
      <c r="BB68" s="62" t="str">
        <f t="shared" ref="BB68:BB131" si="49">IF(BA68=1,AD68,"")</f>
        <v/>
      </c>
    </row>
    <row r="69" spans="1:54" s="3" customFormat="1" hidden="1" x14ac:dyDescent="0.35">
      <c r="A69" s="73">
        <f t="shared" si="33"/>
        <v>2019</v>
      </c>
      <c r="B69" s="73" t="str">
        <f t="shared" si="34"/>
        <v>Nov</v>
      </c>
      <c r="C69" s="74">
        <f t="shared" ref="C69:C132" si="50">IF(AND(D69=0, E69=0), IF(TEXT(C68,"dd")=TEXT(EOMONTH(DATE(A68,MONTH(DATEVALUE(B68&amp;"1")),C68),0), "dd"), 1, C68+1), C68)</f>
        <v>16</v>
      </c>
      <c r="D69" s="75">
        <f t="shared" si="35"/>
        <v>16</v>
      </c>
      <c r="E69" s="76">
        <f t="shared" si="36"/>
        <v>52</v>
      </c>
      <c r="F69" s="80"/>
      <c r="G69" s="83"/>
      <c r="H69" s="69" t="str">
        <f t="shared" ref="H69:H132" si="51">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Senbur6_20191116_16_00</v>
      </c>
      <c r="I69" s="70">
        <f t="shared" ref="I69:N84" si="52">I68</f>
        <v>1</v>
      </c>
      <c r="J69" s="77" t="str">
        <f t="shared" si="52"/>
        <v>Senecio</v>
      </c>
      <c r="K69" s="77" t="str">
        <f t="shared" si="52"/>
        <v>burtoni</v>
      </c>
      <c r="L69" s="78">
        <f t="shared" si="52"/>
        <v>6</v>
      </c>
      <c r="M69" s="78">
        <f t="shared" si="52"/>
        <v>12</v>
      </c>
      <c r="N69" s="72">
        <f t="shared" si="52"/>
        <v>0</v>
      </c>
      <c r="O69" s="45"/>
      <c r="P69" s="46" t="str">
        <f t="shared" si="37"/>
        <v/>
      </c>
      <c r="Q69" s="47" t="str">
        <f t="shared" si="38"/>
        <v/>
      </c>
      <c r="R69" s="48" t="e">
        <f t="shared" si="39"/>
        <v>#VALUE!</v>
      </c>
      <c r="S69" s="49" t="e">
        <f t="shared" si="32"/>
        <v>#VALUE!</v>
      </c>
      <c r="T69" s="48" t="str">
        <f t="shared" ref="T69:T131" si="53">TEXT(IF(P69=1,D69,""),"00")</f>
        <v/>
      </c>
      <c r="U69" s="50"/>
      <c r="V69" s="51"/>
      <c r="W69" s="52" t="e">
        <f t="shared" si="40"/>
        <v>#VALUE!</v>
      </c>
      <c r="X69" s="53"/>
      <c r="Y69" s="53"/>
      <c r="Z69" s="53"/>
      <c r="AA69" s="48" t="e">
        <f>INDEX([1]!VISITORS[INSECT ORDER], MATCH(X69,[1]!VISITORS[NAME USED],0))</f>
        <v>#REF!</v>
      </c>
      <c r="AB69" s="48" t="e">
        <f t="shared" si="41"/>
        <v>#REF!</v>
      </c>
      <c r="AC69" s="54" t="e">
        <f t="shared" si="42"/>
        <v>#VALUE!</v>
      </c>
      <c r="AD69" s="55" t="str">
        <f t="shared" ref="AD69:AD131" si="54">IF(P69=1,1,"")</f>
        <v/>
      </c>
      <c r="AE69" s="55"/>
      <c r="AF69" s="55"/>
      <c r="AG69" s="56" t="str">
        <f t="shared" ref="AG69:AG131" si="55">IF(OR(X69="Something small"),1,"")</f>
        <v/>
      </c>
      <c r="AH69" s="57" t="str">
        <f t="shared" ref="AH69:AH131" si="56">IF(AG69=1,$S69,"")</f>
        <v/>
      </c>
      <c r="AI69" s="56"/>
      <c r="AJ69" s="57" t="str">
        <f t="shared" ref="AJ69:AJ131" si="57">IF(AI69=1,$S69,"")</f>
        <v/>
      </c>
      <c r="AK69" s="56"/>
      <c r="AL69" s="57" t="str">
        <f t="shared" ref="AL69:AL131" si="58">IF(AK69=1,$S69,"")</f>
        <v/>
      </c>
      <c r="AM69" s="56"/>
      <c r="AN69" s="57" t="str">
        <f t="shared" si="43"/>
        <v/>
      </c>
      <c r="AO69" s="56"/>
      <c r="AP69" s="57" t="str">
        <f t="shared" si="44"/>
        <v/>
      </c>
      <c r="AQ69" s="56"/>
      <c r="AR69" s="57" t="str">
        <f t="shared" si="45"/>
        <v/>
      </c>
      <c r="AS69" s="56"/>
      <c r="AT69" s="57" t="str">
        <f t="shared" si="46"/>
        <v/>
      </c>
      <c r="AU69" s="58"/>
      <c r="AV69" s="59"/>
      <c r="AW69" s="59"/>
      <c r="AX69" s="60"/>
      <c r="AY69" s="61" t="str">
        <f t="shared" ref="AY69:AY131" si="59">IF(P69=1,0,"")</f>
        <v/>
      </c>
      <c r="AZ69" s="62" t="str">
        <f t="shared" si="47"/>
        <v/>
      </c>
      <c r="BA69" s="61" t="str">
        <f t="shared" si="48"/>
        <v/>
      </c>
      <c r="BB69" s="62" t="str">
        <f t="shared" si="49"/>
        <v/>
      </c>
    </row>
    <row r="70" spans="1:54" s="3" customFormat="1" hidden="1" x14ac:dyDescent="0.35">
      <c r="A70" s="73">
        <f t="shared" si="33"/>
        <v>2019</v>
      </c>
      <c r="B70" s="73" t="str">
        <f t="shared" si="34"/>
        <v>Nov</v>
      </c>
      <c r="C70" s="74">
        <f t="shared" si="50"/>
        <v>16</v>
      </c>
      <c r="D70" s="75">
        <f t="shared" si="35"/>
        <v>16</v>
      </c>
      <c r="E70" s="76">
        <f t="shared" si="36"/>
        <v>53</v>
      </c>
      <c r="F70" s="80"/>
      <c r="G70" s="83"/>
      <c r="H70" s="69" t="str">
        <f t="shared" si="51"/>
        <v>Senbur6_20191116_16_00</v>
      </c>
      <c r="I70" s="70">
        <f t="shared" si="52"/>
        <v>1</v>
      </c>
      <c r="J70" s="77" t="str">
        <f t="shared" si="52"/>
        <v>Senecio</v>
      </c>
      <c r="K70" s="77" t="str">
        <f t="shared" si="52"/>
        <v>burtoni</v>
      </c>
      <c r="L70" s="78">
        <f t="shared" si="52"/>
        <v>6</v>
      </c>
      <c r="M70" s="78">
        <f t="shared" si="52"/>
        <v>12</v>
      </c>
      <c r="N70" s="72">
        <f t="shared" si="52"/>
        <v>0</v>
      </c>
      <c r="O70" s="45"/>
      <c r="P70" s="46" t="str">
        <f t="shared" si="37"/>
        <v/>
      </c>
      <c r="Q70" s="47" t="str">
        <f t="shared" si="38"/>
        <v/>
      </c>
      <c r="R70" s="48" t="e">
        <f t="shared" si="39"/>
        <v>#VALUE!</v>
      </c>
      <c r="S70" s="49" t="e">
        <f t="shared" si="32"/>
        <v>#VALUE!</v>
      </c>
      <c r="T70" s="48" t="str">
        <f t="shared" si="53"/>
        <v/>
      </c>
      <c r="U70" s="50"/>
      <c r="V70" s="51"/>
      <c r="W70" s="52" t="e">
        <f t="shared" si="40"/>
        <v>#VALUE!</v>
      </c>
      <c r="X70" s="53"/>
      <c r="Y70" s="53"/>
      <c r="Z70" s="53"/>
      <c r="AA70" s="48" t="e">
        <f>INDEX([1]!VISITORS[INSECT ORDER], MATCH(X70,[1]!VISITORS[NAME USED],0))</f>
        <v>#REF!</v>
      </c>
      <c r="AB70" s="48" t="e">
        <f t="shared" si="41"/>
        <v>#REF!</v>
      </c>
      <c r="AC70" s="54" t="e">
        <f t="shared" si="42"/>
        <v>#VALUE!</v>
      </c>
      <c r="AD70" s="55" t="str">
        <f t="shared" si="54"/>
        <v/>
      </c>
      <c r="AE70" s="55"/>
      <c r="AF70" s="55"/>
      <c r="AG70" s="56" t="str">
        <f t="shared" si="55"/>
        <v/>
      </c>
      <c r="AH70" s="57" t="str">
        <f t="shared" si="56"/>
        <v/>
      </c>
      <c r="AI70" s="56"/>
      <c r="AJ70" s="57" t="str">
        <f t="shared" si="57"/>
        <v/>
      </c>
      <c r="AK70" s="56"/>
      <c r="AL70" s="57" t="str">
        <f t="shared" si="58"/>
        <v/>
      </c>
      <c r="AM70" s="56"/>
      <c r="AN70" s="57" t="str">
        <f t="shared" si="43"/>
        <v/>
      </c>
      <c r="AO70" s="56"/>
      <c r="AP70" s="57" t="str">
        <f t="shared" si="44"/>
        <v/>
      </c>
      <c r="AQ70" s="56"/>
      <c r="AR70" s="57" t="str">
        <f t="shared" si="45"/>
        <v/>
      </c>
      <c r="AS70" s="56"/>
      <c r="AT70" s="57" t="str">
        <f t="shared" si="46"/>
        <v/>
      </c>
      <c r="AU70" s="58"/>
      <c r="AV70" s="59"/>
      <c r="AW70" s="59"/>
      <c r="AX70" s="60"/>
      <c r="AY70" s="61" t="str">
        <f t="shared" si="59"/>
        <v/>
      </c>
      <c r="AZ70" s="62" t="str">
        <f t="shared" si="47"/>
        <v/>
      </c>
      <c r="BA70" s="61" t="str">
        <f t="shared" si="48"/>
        <v/>
      </c>
      <c r="BB70" s="62" t="str">
        <f t="shared" si="49"/>
        <v/>
      </c>
    </row>
    <row r="71" spans="1:54" s="3" customFormat="1" hidden="1" x14ac:dyDescent="0.35">
      <c r="A71" s="73">
        <f t="shared" si="33"/>
        <v>2019</v>
      </c>
      <c r="B71" s="73" t="str">
        <f t="shared" si="34"/>
        <v>Nov</v>
      </c>
      <c r="C71" s="74">
        <f t="shared" si="50"/>
        <v>16</v>
      </c>
      <c r="D71" s="75">
        <f t="shared" si="35"/>
        <v>16</v>
      </c>
      <c r="E71" s="76">
        <f t="shared" si="36"/>
        <v>54</v>
      </c>
      <c r="F71" s="80"/>
      <c r="G71" s="83"/>
      <c r="H71" s="69" t="str">
        <f t="shared" si="51"/>
        <v>Senbur6_20191116_16_00</v>
      </c>
      <c r="I71" s="70">
        <f t="shared" si="52"/>
        <v>1</v>
      </c>
      <c r="J71" s="77" t="str">
        <f t="shared" si="52"/>
        <v>Senecio</v>
      </c>
      <c r="K71" s="77" t="str">
        <f t="shared" si="52"/>
        <v>burtoni</v>
      </c>
      <c r="L71" s="78">
        <f t="shared" si="52"/>
        <v>6</v>
      </c>
      <c r="M71" s="78">
        <f t="shared" si="52"/>
        <v>12</v>
      </c>
      <c r="N71" s="72">
        <f t="shared" si="52"/>
        <v>0</v>
      </c>
      <c r="O71" s="45"/>
      <c r="P71" s="46" t="str">
        <f t="shared" si="37"/>
        <v/>
      </c>
      <c r="Q71" s="47" t="str">
        <f t="shared" si="38"/>
        <v/>
      </c>
      <c r="R71" s="48" t="e">
        <f t="shared" si="39"/>
        <v>#VALUE!</v>
      </c>
      <c r="S71" s="49" t="e">
        <f t="shared" si="32"/>
        <v>#VALUE!</v>
      </c>
      <c r="T71" s="48" t="str">
        <f t="shared" si="53"/>
        <v/>
      </c>
      <c r="U71" s="50"/>
      <c r="V71" s="51"/>
      <c r="W71" s="52" t="e">
        <f t="shared" si="40"/>
        <v>#VALUE!</v>
      </c>
      <c r="X71" s="53"/>
      <c r="Y71" s="53"/>
      <c r="Z71" s="53"/>
      <c r="AA71" s="48" t="e">
        <f>INDEX([1]!VISITORS[INSECT ORDER], MATCH(X71,[1]!VISITORS[NAME USED],0))</f>
        <v>#REF!</v>
      </c>
      <c r="AB71" s="48" t="e">
        <f t="shared" si="41"/>
        <v>#REF!</v>
      </c>
      <c r="AC71" s="54" t="e">
        <f t="shared" si="42"/>
        <v>#VALUE!</v>
      </c>
      <c r="AD71" s="55" t="str">
        <f t="shared" si="54"/>
        <v/>
      </c>
      <c r="AE71" s="55"/>
      <c r="AF71" s="55"/>
      <c r="AG71" s="56" t="str">
        <f t="shared" si="55"/>
        <v/>
      </c>
      <c r="AH71" s="57" t="str">
        <f t="shared" si="56"/>
        <v/>
      </c>
      <c r="AI71" s="56"/>
      <c r="AJ71" s="57" t="str">
        <f t="shared" si="57"/>
        <v/>
      </c>
      <c r="AK71" s="56"/>
      <c r="AL71" s="57" t="str">
        <f t="shared" si="58"/>
        <v/>
      </c>
      <c r="AM71" s="56"/>
      <c r="AN71" s="57" t="str">
        <f t="shared" si="43"/>
        <v/>
      </c>
      <c r="AO71" s="56"/>
      <c r="AP71" s="57" t="str">
        <f t="shared" si="44"/>
        <v/>
      </c>
      <c r="AQ71" s="56"/>
      <c r="AR71" s="57" t="str">
        <f t="shared" si="45"/>
        <v/>
      </c>
      <c r="AS71" s="56"/>
      <c r="AT71" s="57" t="str">
        <f t="shared" si="46"/>
        <v/>
      </c>
      <c r="AU71" s="58"/>
      <c r="AV71" s="59"/>
      <c r="AW71" s="59"/>
      <c r="AX71" s="60"/>
      <c r="AY71" s="61" t="str">
        <f t="shared" si="59"/>
        <v/>
      </c>
      <c r="AZ71" s="62" t="str">
        <f t="shared" si="47"/>
        <v/>
      </c>
      <c r="BA71" s="61" t="str">
        <f t="shared" si="48"/>
        <v/>
      </c>
      <c r="BB71" s="62" t="str">
        <f t="shared" si="49"/>
        <v/>
      </c>
    </row>
    <row r="72" spans="1:54" s="3" customFormat="1" hidden="1" x14ac:dyDescent="0.35">
      <c r="A72" s="73">
        <f t="shared" si="33"/>
        <v>2019</v>
      </c>
      <c r="B72" s="73" t="str">
        <f t="shared" si="34"/>
        <v>Nov</v>
      </c>
      <c r="C72" s="74">
        <f t="shared" si="50"/>
        <v>16</v>
      </c>
      <c r="D72" s="75">
        <f t="shared" si="35"/>
        <v>16</v>
      </c>
      <c r="E72" s="76">
        <f t="shared" si="36"/>
        <v>55</v>
      </c>
      <c r="F72" s="80"/>
      <c r="G72" s="83"/>
      <c r="H72" s="69" t="str">
        <f t="shared" si="51"/>
        <v>Senbur6_20191116_16_00</v>
      </c>
      <c r="I72" s="70">
        <f t="shared" si="52"/>
        <v>1</v>
      </c>
      <c r="J72" s="77" t="str">
        <f t="shared" si="52"/>
        <v>Senecio</v>
      </c>
      <c r="K72" s="77" t="str">
        <f t="shared" si="52"/>
        <v>burtoni</v>
      </c>
      <c r="L72" s="78">
        <f t="shared" si="52"/>
        <v>6</v>
      </c>
      <c r="M72" s="78">
        <f t="shared" si="52"/>
        <v>12</v>
      </c>
      <c r="N72" s="72">
        <f t="shared" si="52"/>
        <v>0</v>
      </c>
      <c r="O72" s="45"/>
      <c r="P72" s="46" t="str">
        <f t="shared" si="37"/>
        <v/>
      </c>
      <c r="Q72" s="47" t="str">
        <f t="shared" si="38"/>
        <v/>
      </c>
      <c r="R72" s="48" t="e">
        <f t="shared" si="39"/>
        <v>#VALUE!</v>
      </c>
      <c r="S72" s="49" t="e">
        <f t="shared" si="32"/>
        <v>#VALUE!</v>
      </c>
      <c r="T72" s="48" t="str">
        <f t="shared" si="53"/>
        <v/>
      </c>
      <c r="U72" s="50"/>
      <c r="V72" s="51"/>
      <c r="W72" s="52" t="e">
        <f t="shared" si="40"/>
        <v>#VALUE!</v>
      </c>
      <c r="X72" s="53"/>
      <c r="Y72" s="53"/>
      <c r="Z72" s="53"/>
      <c r="AA72" s="48" t="e">
        <f>INDEX([1]!VISITORS[INSECT ORDER], MATCH(X72,[1]!VISITORS[NAME USED],0))</f>
        <v>#REF!</v>
      </c>
      <c r="AB72" s="48" t="e">
        <f t="shared" si="41"/>
        <v>#REF!</v>
      </c>
      <c r="AC72" s="54" t="e">
        <f t="shared" si="42"/>
        <v>#VALUE!</v>
      </c>
      <c r="AD72" s="55" t="str">
        <f t="shared" si="54"/>
        <v/>
      </c>
      <c r="AE72" s="55"/>
      <c r="AF72" s="55"/>
      <c r="AG72" s="56" t="str">
        <f t="shared" si="55"/>
        <v/>
      </c>
      <c r="AH72" s="57" t="str">
        <f t="shared" si="56"/>
        <v/>
      </c>
      <c r="AI72" s="56"/>
      <c r="AJ72" s="57" t="str">
        <f t="shared" si="57"/>
        <v/>
      </c>
      <c r="AK72" s="56"/>
      <c r="AL72" s="57" t="str">
        <f t="shared" si="58"/>
        <v/>
      </c>
      <c r="AM72" s="56"/>
      <c r="AN72" s="57" t="str">
        <f t="shared" si="43"/>
        <v/>
      </c>
      <c r="AO72" s="56"/>
      <c r="AP72" s="57" t="str">
        <f t="shared" si="44"/>
        <v/>
      </c>
      <c r="AQ72" s="56"/>
      <c r="AR72" s="57" t="str">
        <f t="shared" si="45"/>
        <v/>
      </c>
      <c r="AS72" s="56"/>
      <c r="AT72" s="57" t="str">
        <f t="shared" si="46"/>
        <v/>
      </c>
      <c r="AU72" s="58"/>
      <c r="AV72" s="59"/>
      <c r="AW72" s="59"/>
      <c r="AX72" s="60"/>
      <c r="AY72" s="61" t="str">
        <f t="shared" si="59"/>
        <v/>
      </c>
      <c r="AZ72" s="62" t="str">
        <f t="shared" si="47"/>
        <v/>
      </c>
      <c r="BA72" s="61" t="str">
        <f t="shared" si="48"/>
        <v/>
      </c>
      <c r="BB72" s="62" t="str">
        <f t="shared" si="49"/>
        <v/>
      </c>
    </row>
    <row r="73" spans="1:54" s="3" customFormat="1" hidden="1" x14ac:dyDescent="0.35">
      <c r="A73" s="73">
        <f t="shared" si="33"/>
        <v>2019</v>
      </c>
      <c r="B73" s="73" t="str">
        <f t="shared" si="34"/>
        <v>Nov</v>
      </c>
      <c r="C73" s="74">
        <f t="shared" si="50"/>
        <v>16</v>
      </c>
      <c r="D73" s="75">
        <f t="shared" si="35"/>
        <v>16</v>
      </c>
      <c r="E73" s="76">
        <f t="shared" si="36"/>
        <v>56</v>
      </c>
      <c r="F73" s="80"/>
      <c r="G73" s="83"/>
      <c r="H73" s="69" t="str">
        <f t="shared" si="51"/>
        <v>Senbur6_20191116_16_00</v>
      </c>
      <c r="I73" s="70">
        <f t="shared" si="52"/>
        <v>1</v>
      </c>
      <c r="J73" s="77" t="str">
        <f t="shared" si="52"/>
        <v>Senecio</v>
      </c>
      <c r="K73" s="77" t="str">
        <f t="shared" si="52"/>
        <v>burtoni</v>
      </c>
      <c r="L73" s="78">
        <f t="shared" si="52"/>
        <v>6</v>
      </c>
      <c r="M73" s="78">
        <f t="shared" si="52"/>
        <v>12</v>
      </c>
      <c r="N73" s="72">
        <f t="shared" si="52"/>
        <v>0</v>
      </c>
      <c r="O73" s="45"/>
      <c r="P73" s="46" t="str">
        <f t="shared" si="37"/>
        <v/>
      </c>
      <c r="Q73" s="47" t="str">
        <f t="shared" si="38"/>
        <v/>
      </c>
      <c r="R73" s="48" t="e">
        <f t="shared" si="39"/>
        <v>#VALUE!</v>
      </c>
      <c r="S73" s="49" t="e">
        <f t="shared" si="32"/>
        <v>#VALUE!</v>
      </c>
      <c r="T73" s="48" t="str">
        <f t="shared" si="53"/>
        <v/>
      </c>
      <c r="U73" s="50"/>
      <c r="V73" s="51"/>
      <c r="W73" s="52" t="e">
        <f t="shared" si="40"/>
        <v>#VALUE!</v>
      </c>
      <c r="X73" s="53"/>
      <c r="Y73" s="53"/>
      <c r="Z73" s="53"/>
      <c r="AA73" s="48" t="e">
        <f>INDEX([1]!VISITORS[INSECT ORDER], MATCH(X73,[1]!VISITORS[NAME USED],0))</f>
        <v>#REF!</v>
      </c>
      <c r="AB73" s="48" t="e">
        <f t="shared" si="41"/>
        <v>#REF!</v>
      </c>
      <c r="AC73" s="54" t="e">
        <f t="shared" si="42"/>
        <v>#VALUE!</v>
      </c>
      <c r="AD73" s="55" t="str">
        <f t="shared" si="54"/>
        <v/>
      </c>
      <c r="AE73" s="55"/>
      <c r="AF73" s="55"/>
      <c r="AG73" s="56" t="str">
        <f t="shared" si="55"/>
        <v/>
      </c>
      <c r="AH73" s="57" t="str">
        <f t="shared" si="56"/>
        <v/>
      </c>
      <c r="AI73" s="56"/>
      <c r="AJ73" s="57" t="str">
        <f t="shared" si="57"/>
        <v/>
      </c>
      <c r="AK73" s="56"/>
      <c r="AL73" s="57" t="str">
        <f t="shared" si="58"/>
        <v/>
      </c>
      <c r="AM73" s="56"/>
      <c r="AN73" s="57" t="str">
        <f t="shared" si="43"/>
        <v/>
      </c>
      <c r="AO73" s="56"/>
      <c r="AP73" s="57" t="str">
        <f t="shared" si="44"/>
        <v/>
      </c>
      <c r="AQ73" s="56"/>
      <c r="AR73" s="57" t="str">
        <f t="shared" si="45"/>
        <v/>
      </c>
      <c r="AS73" s="56"/>
      <c r="AT73" s="57" t="str">
        <f t="shared" si="46"/>
        <v/>
      </c>
      <c r="AU73" s="58"/>
      <c r="AV73" s="59"/>
      <c r="AW73" s="59"/>
      <c r="AX73" s="60"/>
      <c r="AY73" s="61" t="str">
        <f t="shared" si="59"/>
        <v/>
      </c>
      <c r="AZ73" s="62" t="str">
        <f t="shared" si="47"/>
        <v/>
      </c>
      <c r="BA73" s="61" t="str">
        <f t="shared" si="48"/>
        <v/>
      </c>
      <c r="BB73" s="62" t="str">
        <f t="shared" si="49"/>
        <v/>
      </c>
    </row>
    <row r="74" spans="1:54" s="3" customFormat="1" hidden="1" x14ac:dyDescent="0.35">
      <c r="A74" s="73">
        <f t="shared" si="33"/>
        <v>2019</v>
      </c>
      <c r="B74" s="73" t="str">
        <f t="shared" si="34"/>
        <v>Nov</v>
      </c>
      <c r="C74" s="74">
        <f t="shared" si="50"/>
        <v>16</v>
      </c>
      <c r="D74" s="75">
        <f t="shared" si="35"/>
        <v>16</v>
      </c>
      <c r="E74" s="76">
        <f t="shared" si="36"/>
        <v>57</v>
      </c>
      <c r="F74" s="80"/>
      <c r="G74" s="83"/>
      <c r="H74" s="69" t="str">
        <f t="shared" si="51"/>
        <v>Senbur6_20191116_16_00</v>
      </c>
      <c r="I74" s="70">
        <f t="shared" si="52"/>
        <v>1</v>
      </c>
      <c r="J74" s="77" t="str">
        <f t="shared" si="52"/>
        <v>Senecio</v>
      </c>
      <c r="K74" s="77" t="str">
        <f t="shared" si="52"/>
        <v>burtoni</v>
      </c>
      <c r="L74" s="78">
        <f t="shared" si="52"/>
        <v>6</v>
      </c>
      <c r="M74" s="78">
        <f t="shared" si="52"/>
        <v>12</v>
      </c>
      <c r="N74" s="72">
        <f t="shared" si="52"/>
        <v>0</v>
      </c>
      <c r="O74" s="45"/>
      <c r="P74" s="46" t="str">
        <f t="shared" si="37"/>
        <v/>
      </c>
      <c r="Q74" s="47" t="str">
        <f t="shared" si="38"/>
        <v/>
      </c>
      <c r="R74" s="48" t="e">
        <f t="shared" si="39"/>
        <v>#VALUE!</v>
      </c>
      <c r="S74" s="49" t="e">
        <f t="shared" si="32"/>
        <v>#VALUE!</v>
      </c>
      <c r="T74" s="48" t="str">
        <f t="shared" si="53"/>
        <v/>
      </c>
      <c r="U74" s="50"/>
      <c r="V74" s="51"/>
      <c r="W74" s="52" t="e">
        <f t="shared" si="40"/>
        <v>#VALUE!</v>
      </c>
      <c r="X74" s="53"/>
      <c r="Y74" s="53"/>
      <c r="Z74" s="53"/>
      <c r="AA74" s="48" t="e">
        <f>INDEX([1]!VISITORS[INSECT ORDER], MATCH(X74,[1]!VISITORS[NAME USED],0))</f>
        <v>#REF!</v>
      </c>
      <c r="AB74" s="48" t="e">
        <f t="shared" si="41"/>
        <v>#REF!</v>
      </c>
      <c r="AC74" s="54" t="e">
        <f t="shared" si="42"/>
        <v>#VALUE!</v>
      </c>
      <c r="AD74" s="55" t="str">
        <f t="shared" si="54"/>
        <v/>
      </c>
      <c r="AE74" s="55"/>
      <c r="AF74" s="55"/>
      <c r="AG74" s="56" t="str">
        <f t="shared" si="55"/>
        <v/>
      </c>
      <c r="AH74" s="57" t="str">
        <f t="shared" si="56"/>
        <v/>
      </c>
      <c r="AI74" s="56"/>
      <c r="AJ74" s="57" t="str">
        <f t="shared" si="57"/>
        <v/>
      </c>
      <c r="AK74" s="56"/>
      <c r="AL74" s="57" t="str">
        <f t="shared" si="58"/>
        <v/>
      </c>
      <c r="AM74" s="56"/>
      <c r="AN74" s="57" t="str">
        <f t="shared" si="43"/>
        <v/>
      </c>
      <c r="AO74" s="56"/>
      <c r="AP74" s="57" t="str">
        <f t="shared" si="44"/>
        <v/>
      </c>
      <c r="AQ74" s="56"/>
      <c r="AR74" s="57" t="str">
        <f t="shared" si="45"/>
        <v/>
      </c>
      <c r="AS74" s="56"/>
      <c r="AT74" s="57" t="str">
        <f t="shared" si="46"/>
        <v/>
      </c>
      <c r="AU74" s="58"/>
      <c r="AV74" s="59"/>
      <c r="AW74" s="59"/>
      <c r="AX74" s="60"/>
      <c r="AY74" s="61" t="str">
        <f t="shared" si="59"/>
        <v/>
      </c>
      <c r="AZ74" s="62" t="str">
        <f t="shared" si="47"/>
        <v/>
      </c>
      <c r="BA74" s="61" t="str">
        <f t="shared" si="48"/>
        <v/>
      </c>
      <c r="BB74" s="62" t="str">
        <f t="shared" si="49"/>
        <v/>
      </c>
    </row>
    <row r="75" spans="1:54" s="3" customFormat="1" hidden="1" x14ac:dyDescent="0.35">
      <c r="A75" s="73">
        <f t="shared" si="33"/>
        <v>2019</v>
      </c>
      <c r="B75" s="73" t="str">
        <f t="shared" si="34"/>
        <v>Nov</v>
      </c>
      <c r="C75" s="74">
        <f t="shared" si="50"/>
        <v>16</v>
      </c>
      <c r="D75" s="75">
        <f t="shared" si="35"/>
        <v>16</v>
      </c>
      <c r="E75" s="76">
        <f t="shared" si="36"/>
        <v>58</v>
      </c>
      <c r="F75" s="80"/>
      <c r="G75" s="83"/>
      <c r="H75" s="69" t="str">
        <f t="shared" si="51"/>
        <v>Senbur6_20191116_16_00</v>
      </c>
      <c r="I75" s="70">
        <f t="shared" si="52"/>
        <v>1</v>
      </c>
      <c r="J75" s="77" t="str">
        <f t="shared" si="52"/>
        <v>Senecio</v>
      </c>
      <c r="K75" s="77" t="str">
        <f t="shared" si="52"/>
        <v>burtoni</v>
      </c>
      <c r="L75" s="78">
        <f t="shared" si="52"/>
        <v>6</v>
      </c>
      <c r="M75" s="78">
        <f t="shared" si="52"/>
        <v>12</v>
      </c>
      <c r="N75" s="72">
        <f t="shared" si="52"/>
        <v>0</v>
      </c>
      <c r="O75" s="45"/>
      <c r="P75" s="46" t="str">
        <f t="shared" si="37"/>
        <v/>
      </c>
      <c r="Q75" s="47" t="str">
        <f t="shared" si="38"/>
        <v/>
      </c>
      <c r="R75" s="48" t="e">
        <f t="shared" si="39"/>
        <v>#VALUE!</v>
      </c>
      <c r="S75" s="49" t="e">
        <f t="shared" si="32"/>
        <v>#VALUE!</v>
      </c>
      <c r="T75" s="48" t="str">
        <f t="shared" si="53"/>
        <v/>
      </c>
      <c r="U75" s="50"/>
      <c r="V75" s="51"/>
      <c r="W75" s="52" t="e">
        <f t="shared" si="40"/>
        <v>#VALUE!</v>
      </c>
      <c r="X75" s="53"/>
      <c r="Y75" s="53"/>
      <c r="Z75" s="53"/>
      <c r="AA75" s="48" t="e">
        <f>INDEX([1]!VISITORS[INSECT ORDER], MATCH(X75,[1]!VISITORS[NAME USED],0))</f>
        <v>#REF!</v>
      </c>
      <c r="AB75" s="48" t="e">
        <f t="shared" si="41"/>
        <v>#REF!</v>
      </c>
      <c r="AC75" s="54" t="e">
        <f t="shared" si="42"/>
        <v>#VALUE!</v>
      </c>
      <c r="AD75" s="55" t="str">
        <f t="shared" si="54"/>
        <v/>
      </c>
      <c r="AE75" s="55"/>
      <c r="AF75" s="55"/>
      <c r="AG75" s="56" t="str">
        <f t="shared" si="55"/>
        <v/>
      </c>
      <c r="AH75" s="57" t="str">
        <f t="shared" si="56"/>
        <v/>
      </c>
      <c r="AI75" s="56"/>
      <c r="AJ75" s="57" t="str">
        <f t="shared" si="57"/>
        <v/>
      </c>
      <c r="AK75" s="56"/>
      <c r="AL75" s="57" t="str">
        <f t="shared" si="58"/>
        <v/>
      </c>
      <c r="AM75" s="56"/>
      <c r="AN75" s="57" t="str">
        <f t="shared" si="43"/>
        <v/>
      </c>
      <c r="AO75" s="56"/>
      <c r="AP75" s="57" t="str">
        <f t="shared" si="44"/>
        <v/>
      </c>
      <c r="AQ75" s="56"/>
      <c r="AR75" s="57" t="str">
        <f t="shared" si="45"/>
        <v/>
      </c>
      <c r="AS75" s="56"/>
      <c r="AT75" s="57" t="str">
        <f t="shared" si="46"/>
        <v/>
      </c>
      <c r="AU75" s="58"/>
      <c r="AV75" s="59"/>
      <c r="AW75" s="59"/>
      <c r="AX75" s="60"/>
      <c r="AY75" s="61" t="str">
        <f t="shared" si="59"/>
        <v/>
      </c>
      <c r="AZ75" s="62" t="str">
        <f t="shared" si="47"/>
        <v/>
      </c>
      <c r="BA75" s="61" t="str">
        <f t="shared" si="48"/>
        <v/>
      </c>
      <c r="BB75" s="62" t="str">
        <f t="shared" si="49"/>
        <v/>
      </c>
    </row>
    <row r="76" spans="1:54" s="3" customFormat="1" hidden="1" x14ac:dyDescent="0.35">
      <c r="A76" s="73">
        <f t="shared" si="33"/>
        <v>2019</v>
      </c>
      <c r="B76" s="73" t="str">
        <f t="shared" si="34"/>
        <v>Nov</v>
      </c>
      <c r="C76" s="74">
        <f t="shared" si="50"/>
        <v>16</v>
      </c>
      <c r="D76" s="75">
        <f t="shared" si="35"/>
        <v>16</v>
      </c>
      <c r="E76" s="76">
        <f t="shared" si="36"/>
        <v>59</v>
      </c>
      <c r="F76" s="80"/>
      <c r="G76" s="83"/>
      <c r="H76" s="69" t="str">
        <f t="shared" si="51"/>
        <v>Senbur6_20191116_16_00</v>
      </c>
      <c r="I76" s="70">
        <f t="shared" si="52"/>
        <v>1</v>
      </c>
      <c r="J76" s="77" t="str">
        <f t="shared" si="52"/>
        <v>Senecio</v>
      </c>
      <c r="K76" s="77" t="str">
        <f t="shared" si="52"/>
        <v>burtoni</v>
      </c>
      <c r="L76" s="78">
        <f t="shared" si="52"/>
        <v>6</v>
      </c>
      <c r="M76" s="78">
        <f t="shared" si="52"/>
        <v>12</v>
      </c>
      <c r="N76" s="72">
        <f t="shared" si="52"/>
        <v>0</v>
      </c>
      <c r="O76" s="45"/>
      <c r="P76" s="46" t="str">
        <f t="shared" si="37"/>
        <v/>
      </c>
      <c r="Q76" s="47" t="str">
        <f t="shared" si="38"/>
        <v/>
      </c>
      <c r="R76" s="48" t="e">
        <f t="shared" si="39"/>
        <v>#VALUE!</v>
      </c>
      <c r="S76" s="49" t="e">
        <f t="shared" si="32"/>
        <v>#VALUE!</v>
      </c>
      <c r="T76" s="48" t="str">
        <f t="shared" si="53"/>
        <v/>
      </c>
      <c r="U76" s="50"/>
      <c r="V76" s="51"/>
      <c r="W76" s="52" t="e">
        <f t="shared" si="40"/>
        <v>#VALUE!</v>
      </c>
      <c r="X76" s="53"/>
      <c r="Y76" s="53"/>
      <c r="Z76" s="53"/>
      <c r="AA76" s="48" t="e">
        <f>INDEX([1]!VISITORS[INSECT ORDER], MATCH(X76,[1]!VISITORS[NAME USED],0))</f>
        <v>#REF!</v>
      </c>
      <c r="AB76" s="48" t="e">
        <f t="shared" si="41"/>
        <v>#REF!</v>
      </c>
      <c r="AC76" s="54" t="e">
        <f t="shared" si="42"/>
        <v>#VALUE!</v>
      </c>
      <c r="AD76" s="55" t="str">
        <f t="shared" si="54"/>
        <v/>
      </c>
      <c r="AE76" s="55"/>
      <c r="AF76" s="55"/>
      <c r="AG76" s="56" t="str">
        <f t="shared" si="55"/>
        <v/>
      </c>
      <c r="AH76" s="57" t="str">
        <f t="shared" si="56"/>
        <v/>
      </c>
      <c r="AI76" s="56"/>
      <c r="AJ76" s="57" t="str">
        <f t="shared" si="57"/>
        <v/>
      </c>
      <c r="AK76" s="56"/>
      <c r="AL76" s="57" t="str">
        <f t="shared" si="58"/>
        <v/>
      </c>
      <c r="AM76" s="56"/>
      <c r="AN76" s="57" t="str">
        <f t="shared" si="43"/>
        <v/>
      </c>
      <c r="AO76" s="56"/>
      <c r="AP76" s="57" t="str">
        <f t="shared" si="44"/>
        <v/>
      </c>
      <c r="AQ76" s="56"/>
      <c r="AR76" s="57" t="str">
        <f t="shared" si="45"/>
        <v/>
      </c>
      <c r="AS76" s="56"/>
      <c r="AT76" s="57" t="str">
        <f t="shared" si="46"/>
        <v/>
      </c>
      <c r="AU76" s="58"/>
      <c r="AV76" s="59"/>
      <c r="AW76" s="59"/>
      <c r="AX76" s="60"/>
      <c r="AY76" s="61" t="str">
        <f t="shared" si="59"/>
        <v/>
      </c>
      <c r="AZ76" s="62" t="str">
        <f t="shared" si="47"/>
        <v/>
      </c>
      <c r="BA76" s="61" t="str">
        <f t="shared" si="48"/>
        <v/>
      </c>
      <c r="BB76" s="62" t="str">
        <f t="shared" si="49"/>
        <v/>
      </c>
    </row>
    <row r="77" spans="1:54" s="3" customFormat="1" hidden="1" x14ac:dyDescent="0.35">
      <c r="A77" s="73">
        <f t="shared" si="33"/>
        <v>2019</v>
      </c>
      <c r="B77" s="73" t="str">
        <f t="shared" si="34"/>
        <v>Nov</v>
      </c>
      <c r="C77" s="74">
        <f t="shared" si="50"/>
        <v>16</v>
      </c>
      <c r="D77" s="75">
        <f t="shared" si="35"/>
        <v>17</v>
      </c>
      <c r="E77" s="76">
        <f t="shared" si="36"/>
        <v>0</v>
      </c>
      <c r="F77" s="80">
        <v>56</v>
      </c>
      <c r="G77" s="83"/>
      <c r="H77" s="69" t="str">
        <f t="shared" si="51"/>
        <v>Senbur6_20191116_17_00</v>
      </c>
      <c r="I77" s="70">
        <f t="shared" si="52"/>
        <v>1</v>
      </c>
      <c r="J77" s="77" t="str">
        <f t="shared" si="52"/>
        <v>Senecio</v>
      </c>
      <c r="K77" s="77" t="str">
        <f t="shared" si="52"/>
        <v>burtoni</v>
      </c>
      <c r="L77" s="78">
        <f t="shared" si="52"/>
        <v>6</v>
      </c>
      <c r="M77" s="78">
        <f t="shared" si="52"/>
        <v>12</v>
      </c>
      <c r="N77" s="72">
        <f t="shared" si="52"/>
        <v>0</v>
      </c>
      <c r="O77" s="45"/>
      <c r="P77" s="46">
        <f t="shared" si="37"/>
        <v>1</v>
      </c>
      <c r="Q77" s="47" t="str">
        <f t="shared" si="38"/>
        <v>17:00:56</v>
      </c>
      <c r="R77" s="48" t="str">
        <f t="shared" si="39"/>
        <v>00:56</v>
      </c>
      <c r="S77" s="49">
        <f t="shared" si="32"/>
        <v>164</v>
      </c>
      <c r="T77" s="48" t="str">
        <f t="shared" si="53"/>
        <v>17</v>
      </c>
      <c r="U77" s="50">
        <v>3</v>
      </c>
      <c r="V77" s="51">
        <v>40</v>
      </c>
      <c r="W77" s="52" t="str">
        <f t="shared" si="40"/>
        <v>03:40</v>
      </c>
      <c r="X77" s="53" t="s">
        <v>61</v>
      </c>
      <c r="Y77" s="97" t="s">
        <v>78</v>
      </c>
      <c r="Z77" s="97"/>
      <c r="AA77" s="48" t="s">
        <v>60</v>
      </c>
      <c r="AB77" s="48" t="str">
        <f t="shared" si="41"/>
        <v>NA</v>
      </c>
      <c r="AC77" s="54">
        <f t="shared" si="42"/>
        <v>0</v>
      </c>
      <c r="AD77" s="55">
        <f t="shared" si="54"/>
        <v>1</v>
      </c>
      <c r="AE77" s="55"/>
      <c r="AF77" s="55"/>
      <c r="AG77" s="56">
        <v>1</v>
      </c>
      <c r="AH77" s="57">
        <v>47</v>
      </c>
      <c r="AI77" s="56"/>
      <c r="AJ77" s="57" t="str">
        <f t="shared" si="57"/>
        <v/>
      </c>
      <c r="AK77" s="56">
        <v>1</v>
      </c>
      <c r="AL77" s="57">
        <v>117</v>
      </c>
      <c r="AM77" s="56"/>
      <c r="AN77" s="57" t="str">
        <f t="shared" si="43"/>
        <v/>
      </c>
      <c r="AO77" s="56"/>
      <c r="AP77" s="57" t="str">
        <f t="shared" si="44"/>
        <v/>
      </c>
      <c r="AQ77" s="56"/>
      <c r="AR77" s="57" t="str">
        <f t="shared" si="45"/>
        <v/>
      </c>
      <c r="AS77" s="56"/>
      <c r="AT77" s="57" t="str">
        <f t="shared" si="46"/>
        <v/>
      </c>
      <c r="AU77" s="58"/>
      <c r="AV77" s="59"/>
      <c r="AW77" s="59"/>
      <c r="AX77" s="60"/>
      <c r="AY77" s="61">
        <f t="shared" si="59"/>
        <v>0</v>
      </c>
      <c r="AZ77" s="62" t="str">
        <f t="shared" si="47"/>
        <v/>
      </c>
      <c r="BA77" s="61">
        <f t="shared" si="48"/>
        <v>0</v>
      </c>
      <c r="BB77" s="62" t="str">
        <f t="shared" si="49"/>
        <v/>
      </c>
    </row>
    <row r="78" spans="1:54" s="3" customFormat="1" hidden="1" x14ac:dyDescent="0.35">
      <c r="A78" s="73">
        <f t="shared" si="33"/>
        <v>2019</v>
      </c>
      <c r="B78" s="73" t="str">
        <f t="shared" si="34"/>
        <v>Nov</v>
      </c>
      <c r="C78" s="74">
        <f t="shared" si="50"/>
        <v>16</v>
      </c>
      <c r="D78" s="75">
        <f t="shared" si="35"/>
        <v>17</v>
      </c>
      <c r="E78" s="76">
        <f t="shared" si="36"/>
        <v>1</v>
      </c>
      <c r="F78" s="80"/>
      <c r="G78" s="83"/>
      <c r="H78" s="69" t="str">
        <f t="shared" si="51"/>
        <v>Senbur6_20191116_17_00</v>
      </c>
      <c r="I78" s="70">
        <f t="shared" si="52"/>
        <v>1</v>
      </c>
      <c r="J78" s="77" t="str">
        <f t="shared" si="52"/>
        <v>Senecio</v>
      </c>
      <c r="K78" s="77" t="str">
        <f t="shared" si="52"/>
        <v>burtoni</v>
      </c>
      <c r="L78" s="78">
        <f t="shared" si="52"/>
        <v>6</v>
      </c>
      <c r="M78" s="78">
        <f t="shared" si="52"/>
        <v>12</v>
      </c>
      <c r="N78" s="72">
        <f t="shared" si="52"/>
        <v>0</v>
      </c>
      <c r="O78" s="45"/>
      <c r="P78" s="46" t="str">
        <f t="shared" si="37"/>
        <v/>
      </c>
      <c r="Q78" s="47" t="str">
        <f t="shared" si="38"/>
        <v/>
      </c>
      <c r="R78" s="48" t="e">
        <f t="shared" si="39"/>
        <v>#VALUE!</v>
      </c>
      <c r="S78" s="49" t="e">
        <f t="shared" si="32"/>
        <v>#VALUE!</v>
      </c>
      <c r="T78" s="48" t="str">
        <f t="shared" si="53"/>
        <v/>
      </c>
      <c r="U78" s="50"/>
      <c r="V78" s="51"/>
      <c r="W78" s="52" t="e">
        <f t="shared" si="40"/>
        <v>#VALUE!</v>
      </c>
      <c r="X78" s="53"/>
      <c r="Y78" s="53"/>
      <c r="Z78" s="53"/>
      <c r="AA78" s="48" t="e">
        <f>INDEX([1]!VISITORS[INSECT ORDER], MATCH(X78,[1]!VISITORS[NAME USED],0))</f>
        <v>#REF!</v>
      </c>
      <c r="AB78" s="48" t="e">
        <f t="shared" si="41"/>
        <v>#REF!</v>
      </c>
      <c r="AC78" s="54" t="e">
        <f t="shared" si="42"/>
        <v>#VALUE!</v>
      </c>
      <c r="AD78" s="55" t="str">
        <f t="shared" si="54"/>
        <v/>
      </c>
      <c r="AE78" s="55"/>
      <c r="AF78" s="55"/>
      <c r="AG78" s="56" t="str">
        <f t="shared" si="55"/>
        <v/>
      </c>
      <c r="AH78" s="57" t="str">
        <f t="shared" si="56"/>
        <v/>
      </c>
      <c r="AI78" s="56"/>
      <c r="AJ78" s="57" t="str">
        <f t="shared" si="57"/>
        <v/>
      </c>
      <c r="AK78" s="56"/>
      <c r="AL78" s="57" t="str">
        <f t="shared" si="58"/>
        <v/>
      </c>
      <c r="AM78" s="56"/>
      <c r="AN78" s="57" t="str">
        <f t="shared" si="43"/>
        <v/>
      </c>
      <c r="AO78" s="56"/>
      <c r="AP78" s="57" t="str">
        <f t="shared" si="44"/>
        <v/>
      </c>
      <c r="AQ78" s="56"/>
      <c r="AR78" s="57" t="str">
        <f t="shared" si="45"/>
        <v/>
      </c>
      <c r="AS78" s="56"/>
      <c r="AT78" s="57" t="str">
        <f t="shared" si="46"/>
        <v/>
      </c>
      <c r="AU78" s="58"/>
      <c r="AV78" s="59"/>
      <c r="AW78" s="59"/>
      <c r="AX78" s="60"/>
      <c r="AY78" s="61" t="str">
        <f t="shared" si="59"/>
        <v/>
      </c>
      <c r="AZ78" s="62" t="str">
        <f t="shared" si="47"/>
        <v/>
      </c>
      <c r="BA78" s="61" t="str">
        <f t="shared" si="48"/>
        <v/>
      </c>
      <c r="BB78" s="62" t="str">
        <f t="shared" si="49"/>
        <v/>
      </c>
    </row>
    <row r="79" spans="1:54" s="3" customFormat="1" hidden="1" x14ac:dyDescent="0.35">
      <c r="A79" s="73">
        <f t="shared" si="33"/>
        <v>2019</v>
      </c>
      <c r="B79" s="73" t="str">
        <f t="shared" si="34"/>
        <v>Nov</v>
      </c>
      <c r="C79" s="74">
        <f t="shared" si="50"/>
        <v>16</v>
      </c>
      <c r="D79" s="75">
        <f t="shared" si="35"/>
        <v>17</v>
      </c>
      <c r="E79" s="76">
        <f t="shared" si="36"/>
        <v>2</v>
      </c>
      <c r="F79" s="80"/>
      <c r="G79" s="83"/>
      <c r="H79" s="69" t="str">
        <f t="shared" si="51"/>
        <v>Senbur6_20191116_17_00</v>
      </c>
      <c r="I79" s="70">
        <f t="shared" si="52"/>
        <v>1</v>
      </c>
      <c r="J79" s="77" t="str">
        <f t="shared" si="52"/>
        <v>Senecio</v>
      </c>
      <c r="K79" s="77" t="str">
        <f t="shared" si="52"/>
        <v>burtoni</v>
      </c>
      <c r="L79" s="78">
        <f t="shared" si="52"/>
        <v>6</v>
      </c>
      <c r="M79" s="78">
        <f t="shared" si="52"/>
        <v>12</v>
      </c>
      <c r="N79" s="72">
        <f t="shared" si="52"/>
        <v>0</v>
      </c>
      <c r="O79" s="45"/>
      <c r="P79" s="46" t="str">
        <f t="shared" si="37"/>
        <v/>
      </c>
      <c r="Q79" s="47" t="str">
        <f t="shared" si="38"/>
        <v/>
      </c>
      <c r="R79" s="48" t="e">
        <f t="shared" si="39"/>
        <v>#VALUE!</v>
      </c>
      <c r="S79" s="49" t="e">
        <f t="shared" si="32"/>
        <v>#VALUE!</v>
      </c>
      <c r="T79" s="48" t="str">
        <f t="shared" si="53"/>
        <v/>
      </c>
      <c r="U79" s="50"/>
      <c r="V79" s="51"/>
      <c r="W79" s="52" t="e">
        <f t="shared" si="40"/>
        <v>#VALUE!</v>
      </c>
      <c r="X79" s="53"/>
      <c r="Y79" s="53"/>
      <c r="Z79" s="53"/>
      <c r="AA79" s="48" t="e">
        <f>INDEX([1]!VISITORS[INSECT ORDER], MATCH(X79,[1]!VISITORS[NAME USED],0))</f>
        <v>#REF!</v>
      </c>
      <c r="AB79" s="48" t="e">
        <f t="shared" si="41"/>
        <v>#REF!</v>
      </c>
      <c r="AC79" s="54" t="e">
        <f t="shared" si="42"/>
        <v>#VALUE!</v>
      </c>
      <c r="AD79" s="55" t="str">
        <f t="shared" si="54"/>
        <v/>
      </c>
      <c r="AE79" s="55"/>
      <c r="AF79" s="55"/>
      <c r="AG79" s="56" t="str">
        <f t="shared" si="55"/>
        <v/>
      </c>
      <c r="AH79" s="57" t="str">
        <f t="shared" si="56"/>
        <v/>
      </c>
      <c r="AI79" s="56"/>
      <c r="AJ79" s="57" t="str">
        <f t="shared" si="57"/>
        <v/>
      </c>
      <c r="AK79" s="56"/>
      <c r="AL79" s="57" t="str">
        <f t="shared" si="58"/>
        <v/>
      </c>
      <c r="AM79" s="56"/>
      <c r="AN79" s="57" t="str">
        <f t="shared" si="43"/>
        <v/>
      </c>
      <c r="AO79" s="56"/>
      <c r="AP79" s="57" t="str">
        <f t="shared" si="44"/>
        <v/>
      </c>
      <c r="AQ79" s="56"/>
      <c r="AR79" s="57" t="str">
        <f t="shared" si="45"/>
        <v/>
      </c>
      <c r="AS79" s="56"/>
      <c r="AT79" s="57" t="str">
        <f t="shared" si="46"/>
        <v/>
      </c>
      <c r="AU79" s="58"/>
      <c r="AV79" s="59"/>
      <c r="AW79" s="59"/>
      <c r="AX79" s="60"/>
      <c r="AY79" s="61" t="str">
        <f t="shared" si="59"/>
        <v/>
      </c>
      <c r="AZ79" s="62" t="str">
        <f t="shared" si="47"/>
        <v/>
      </c>
      <c r="BA79" s="61" t="str">
        <f t="shared" si="48"/>
        <v/>
      </c>
      <c r="BB79" s="62" t="str">
        <f t="shared" si="49"/>
        <v/>
      </c>
    </row>
    <row r="80" spans="1:54" s="3" customFormat="1" hidden="1" x14ac:dyDescent="0.35">
      <c r="A80" s="73">
        <f t="shared" si="33"/>
        <v>2019</v>
      </c>
      <c r="B80" s="73" t="str">
        <f t="shared" si="34"/>
        <v>Nov</v>
      </c>
      <c r="C80" s="74">
        <f t="shared" si="50"/>
        <v>16</v>
      </c>
      <c r="D80" s="75">
        <f t="shared" si="35"/>
        <v>17</v>
      </c>
      <c r="E80" s="76">
        <f t="shared" si="36"/>
        <v>3</v>
      </c>
      <c r="F80" s="80"/>
      <c r="G80" s="83"/>
      <c r="H80" s="69" t="str">
        <f t="shared" si="51"/>
        <v>Senbur6_20191116_17_00</v>
      </c>
      <c r="I80" s="70">
        <f t="shared" si="52"/>
        <v>1</v>
      </c>
      <c r="J80" s="77" t="str">
        <f t="shared" si="52"/>
        <v>Senecio</v>
      </c>
      <c r="K80" s="77" t="str">
        <f t="shared" si="52"/>
        <v>burtoni</v>
      </c>
      <c r="L80" s="78">
        <f t="shared" si="52"/>
        <v>6</v>
      </c>
      <c r="M80" s="78">
        <f t="shared" si="52"/>
        <v>12</v>
      </c>
      <c r="N80" s="72">
        <f t="shared" si="52"/>
        <v>0</v>
      </c>
      <c r="O80" s="45"/>
      <c r="P80" s="46" t="str">
        <f t="shared" si="37"/>
        <v/>
      </c>
      <c r="Q80" s="47" t="str">
        <f t="shared" si="38"/>
        <v/>
      </c>
      <c r="R80" s="48" t="e">
        <f t="shared" si="39"/>
        <v>#VALUE!</v>
      </c>
      <c r="S80" s="49" t="e">
        <f t="shared" si="32"/>
        <v>#VALUE!</v>
      </c>
      <c r="T80" s="48" t="str">
        <f t="shared" si="53"/>
        <v/>
      </c>
      <c r="U80" s="50"/>
      <c r="V80" s="51"/>
      <c r="W80" s="52" t="e">
        <f t="shared" si="40"/>
        <v>#VALUE!</v>
      </c>
      <c r="X80" s="53"/>
      <c r="Y80" s="53"/>
      <c r="Z80" s="53"/>
      <c r="AA80" s="48" t="e">
        <f>INDEX([1]!VISITORS[INSECT ORDER], MATCH(X80,[1]!VISITORS[NAME USED],0))</f>
        <v>#REF!</v>
      </c>
      <c r="AB80" s="48" t="e">
        <f t="shared" si="41"/>
        <v>#REF!</v>
      </c>
      <c r="AC80" s="54" t="e">
        <f t="shared" si="42"/>
        <v>#VALUE!</v>
      </c>
      <c r="AD80" s="55" t="str">
        <f t="shared" si="54"/>
        <v/>
      </c>
      <c r="AE80" s="55"/>
      <c r="AF80" s="55"/>
      <c r="AG80" s="56" t="str">
        <f t="shared" si="55"/>
        <v/>
      </c>
      <c r="AH80" s="57" t="str">
        <f t="shared" si="56"/>
        <v/>
      </c>
      <c r="AI80" s="56"/>
      <c r="AJ80" s="57" t="str">
        <f t="shared" si="57"/>
        <v/>
      </c>
      <c r="AK80" s="56"/>
      <c r="AL80" s="57" t="str">
        <f t="shared" si="58"/>
        <v/>
      </c>
      <c r="AM80" s="56"/>
      <c r="AN80" s="57" t="str">
        <f t="shared" si="43"/>
        <v/>
      </c>
      <c r="AO80" s="56"/>
      <c r="AP80" s="57" t="str">
        <f t="shared" si="44"/>
        <v/>
      </c>
      <c r="AQ80" s="56"/>
      <c r="AR80" s="57" t="str">
        <f t="shared" si="45"/>
        <v/>
      </c>
      <c r="AS80" s="56"/>
      <c r="AT80" s="57" t="str">
        <f t="shared" si="46"/>
        <v/>
      </c>
      <c r="AU80" s="58"/>
      <c r="AV80" s="59"/>
      <c r="AW80" s="59"/>
      <c r="AX80" s="60"/>
      <c r="AY80" s="61" t="str">
        <f t="shared" si="59"/>
        <v/>
      </c>
      <c r="AZ80" s="62" t="str">
        <f t="shared" si="47"/>
        <v/>
      </c>
      <c r="BA80" s="61" t="str">
        <f t="shared" si="48"/>
        <v/>
      </c>
      <c r="BB80" s="62" t="str">
        <f t="shared" si="49"/>
        <v/>
      </c>
    </row>
    <row r="81" spans="1:54" s="3" customFormat="1" hidden="1" x14ac:dyDescent="0.35">
      <c r="A81" s="73">
        <f t="shared" si="33"/>
        <v>2019</v>
      </c>
      <c r="B81" s="73" t="str">
        <f t="shared" si="34"/>
        <v>Nov</v>
      </c>
      <c r="C81" s="74">
        <f t="shared" si="50"/>
        <v>16</v>
      </c>
      <c r="D81" s="75">
        <f t="shared" si="35"/>
        <v>17</v>
      </c>
      <c r="E81" s="76">
        <f t="shared" si="36"/>
        <v>4</v>
      </c>
      <c r="F81" s="80"/>
      <c r="G81" s="83"/>
      <c r="H81" s="69" t="str">
        <f t="shared" si="51"/>
        <v>Senbur6_20191116_17_00</v>
      </c>
      <c r="I81" s="70">
        <f t="shared" si="52"/>
        <v>1</v>
      </c>
      <c r="J81" s="77" t="str">
        <f t="shared" si="52"/>
        <v>Senecio</v>
      </c>
      <c r="K81" s="77" t="str">
        <f t="shared" si="52"/>
        <v>burtoni</v>
      </c>
      <c r="L81" s="78">
        <f t="shared" si="52"/>
        <v>6</v>
      </c>
      <c r="M81" s="78">
        <f t="shared" si="52"/>
        <v>12</v>
      </c>
      <c r="N81" s="72">
        <f t="shared" si="52"/>
        <v>0</v>
      </c>
      <c r="O81" s="45"/>
      <c r="P81" s="46" t="str">
        <f t="shared" si="37"/>
        <v/>
      </c>
      <c r="Q81" s="47" t="str">
        <f t="shared" si="38"/>
        <v/>
      </c>
      <c r="R81" s="48" t="e">
        <f t="shared" si="39"/>
        <v>#VALUE!</v>
      </c>
      <c r="S81" s="49" t="e">
        <f t="shared" si="32"/>
        <v>#VALUE!</v>
      </c>
      <c r="T81" s="48" t="str">
        <f t="shared" si="53"/>
        <v/>
      </c>
      <c r="U81" s="50"/>
      <c r="V81" s="51"/>
      <c r="W81" s="52" t="e">
        <f t="shared" si="40"/>
        <v>#VALUE!</v>
      </c>
      <c r="X81" s="53"/>
      <c r="Y81" s="53"/>
      <c r="Z81" s="53"/>
      <c r="AA81" s="48" t="e">
        <f>INDEX([1]!VISITORS[INSECT ORDER], MATCH(X81,[1]!VISITORS[NAME USED],0))</f>
        <v>#REF!</v>
      </c>
      <c r="AB81" s="48" t="e">
        <f t="shared" si="41"/>
        <v>#REF!</v>
      </c>
      <c r="AC81" s="54" t="e">
        <f t="shared" si="42"/>
        <v>#VALUE!</v>
      </c>
      <c r="AD81" s="55" t="str">
        <f t="shared" si="54"/>
        <v/>
      </c>
      <c r="AE81" s="55"/>
      <c r="AF81" s="55"/>
      <c r="AG81" s="56" t="str">
        <f t="shared" si="55"/>
        <v/>
      </c>
      <c r="AH81" s="57" t="str">
        <f t="shared" si="56"/>
        <v/>
      </c>
      <c r="AI81" s="56"/>
      <c r="AJ81" s="57" t="str">
        <f t="shared" si="57"/>
        <v/>
      </c>
      <c r="AK81" s="56"/>
      <c r="AL81" s="57" t="str">
        <f t="shared" si="58"/>
        <v/>
      </c>
      <c r="AM81" s="56"/>
      <c r="AN81" s="57" t="str">
        <f t="shared" si="43"/>
        <v/>
      </c>
      <c r="AO81" s="56"/>
      <c r="AP81" s="57" t="str">
        <f t="shared" si="44"/>
        <v/>
      </c>
      <c r="AQ81" s="56"/>
      <c r="AR81" s="57" t="str">
        <f t="shared" si="45"/>
        <v/>
      </c>
      <c r="AS81" s="56"/>
      <c r="AT81" s="57" t="str">
        <f t="shared" si="46"/>
        <v/>
      </c>
      <c r="AU81" s="58"/>
      <c r="AV81" s="59"/>
      <c r="AW81" s="59"/>
      <c r="AX81" s="60"/>
      <c r="AY81" s="61" t="str">
        <f t="shared" si="59"/>
        <v/>
      </c>
      <c r="AZ81" s="62" t="str">
        <f t="shared" si="47"/>
        <v/>
      </c>
      <c r="BA81" s="61" t="str">
        <f t="shared" si="48"/>
        <v/>
      </c>
      <c r="BB81" s="62" t="str">
        <f t="shared" si="49"/>
        <v/>
      </c>
    </row>
    <row r="82" spans="1:54" s="3" customFormat="1" hidden="1" x14ac:dyDescent="0.35">
      <c r="A82" s="73">
        <f t="shared" si="33"/>
        <v>2019</v>
      </c>
      <c r="B82" s="73" t="str">
        <f t="shared" si="34"/>
        <v>Nov</v>
      </c>
      <c r="C82" s="74">
        <f t="shared" si="50"/>
        <v>16</v>
      </c>
      <c r="D82" s="75">
        <f t="shared" si="35"/>
        <v>17</v>
      </c>
      <c r="E82" s="76">
        <f t="shared" si="36"/>
        <v>5</v>
      </c>
      <c r="F82" s="80"/>
      <c r="G82" s="83"/>
      <c r="H82" s="69" t="str">
        <f t="shared" si="51"/>
        <v>Senbur6_20191116_17_00</v>
      </c>
      <c r="I82" s="70">
        <f t="shared" si="52"/>
        <v>1</v>
      </c>
      <c r="J82" s="77" t="str">
        <f t="shared" si="52"/>
        <v>Senecio</v>
      </c>
      <c r="K82" s="77" t="str">
        <f t="shared" si="52"/>
        <v>burtoni</v>
      </c>
      <c r="L82" s="78">
        <f t="shared" si="52"/>
        <v>6</v>
      </c>
      <c r="M82" s="78">
        <f t="shared" si="52"/>
        <v>12</v>
      </c>
      <c r="N82" s="72">
        <f t="shared" si="52"/>
        <v>0</v>
      </c>
      <c r="O82" s="45"/>
      <c r="P82" s="46" t="str">
        <f t="shared" si="37"/>
        <v/>
      </c>
      <c r="Q82" s="47" t="str">
        <f t="shared" si="38"/>
        <v/>
      </c>
      <c r="R82" s="48" t="e">
        <f t="shared" si="39"/>
        <v>#VALUE!</v>
      </c>
      <c r="S82" s="49" t="e">
        <f t="shared" si="32"/>
        <v>#VALUE!</v>
      </c>
      <c r="T82" s="48" t="str">
        <f t="shared" si="53"/>
        <v/>
      </c>
      <c r="U82" s="50"/>
      <c r="V82" s="51"/>
      <c r="W82" s="52" t="e">
        <f t="shared" si="40"/>
        <v>#VALUE!</v>
      </c>
      <c r="X82" s="53"/>
      <c r="Y82" s="53"/>
      <c r="Z82" s="53"/>
      <c r="AA82" s="48" t="e">
        <f>INDEX([1]!VISITORS[INSECT ORDER], MATCH(X82,[1]!VISITORS[NAME USED],0))</f>
        <v>#REF!</v>
      </c>
      <c r="AB82" s="48" t="e">
        <f t="shared" si="41"/>
        <v>#REF!</v>
      </c>
      <c r="AC82" s="54" t="e">
        <f t="shared" si="42"/>
        <v>#VALUE!</v>
      </c>
      <c r="AD82" s="55" t="str">
        <f t="shared" si="54"/>
        <v/>
      </c>
      <c r="AE82" s="55"/>
      <c r="AF82" s="55"/>
      <c r="AG82" s="56" t="str">
        <f t="shared" si="55"/>
        <v/>
      </c>
      <c r="AH82" s="57" t="str">
        <f t="shared" si="56"/>
        <v/>
      </c>
      <c r="AI82" s="56"/>
      <c r="AJ82" s="57" t="str">
        <f t="shared" si="57"/>
        <v/>
      </c>
      <c r="AK82" s="56"/>
      <c r="AL82" s="57" t="str">
        <f t="shared" si="58"/>
        <v/>
      </c>
      <c r="AM82" s="56"/>
      <c r="AN82" s="57" t="str">
        <f t="shared" si="43"/>
        <v/>
      </c>
      <c r="AO82" s="56"/>
      <c r="AP82" s="57" t="str">
        <f t="shared" si="44"/>
        <v/>
      </c>
      <c r="AQ82" s="56"/>
      <c r="AR82" s="57" t="str">
        <f t="shared" si="45"/>
        <v/>
      </c>
      <c r="AS82" s="56"/>
      <c r="AT82" s="57" t="str">
        <f t="shared" si="46"/>
        <v/>
      </c>
      <c r="AU82" s="58"/>
      <c r="AV82" s="59"/>
      <c r="AW82" s="59"/>
      <c r="AX82" s="60"/>
      <c r="AY82" s="61" t="str">
        <f t="shared" si="59"/>
        <v/>
      </c>
      <c r="AZ82" s="62" t="str">
        <f t="shared" si="47"/>
        <v/>
      </c>
      <c r="BA82" s="61" t="str">
        <f t="shared" si="48"/>
        <v/>
      </c>
      <c r="BB82" s="62" t="str">
        <f t="shared" si="49"/>
        <v/>
      </c>
    </row>
    <row r="83" spans="1:54" s="3" customFormat="1" hidden="1" x14ac:dyDescent="0.35">
      <c r="A83" s="73">
        <f t="shared" si="33"/>
        <v>2019</v>
      </c>
      <c r="B83" s="73" t="str">
        <f t="shared" si="34"/>
        <v>Nov</v>
      </c>
      <c r="C83" s="74">
        <f t="shared" si="50"/>
        <v>16</v>
      </c>
      <c r="D83" s="75">
        <f t="shared" si="35"/>
        <v>17</v>
      </c>
      <c r="E83" s="76">
        <f t="shared" si="36"/>
        <v>6</v>
      </c>
      <c r="F83" s="80"/>
      <c r="G83" s="83"/>
      <c r="H83" s="69" t="str">
        <f t="shared" si="51"/>
        <v>Senbur6_20191116_17_00</v>
      </c>
      <c r="I83" s="70">
        <f t="shared" si="52"/>
        <v>1</v>
      </c>
      <c r="J83" s="77" t="str">
        <f t="shared" si="52"/>
        <v>Senecio</v>
      </c>
      <c r="K83" s="77" t="str">
        <f t="shared" si="52"/>
        <v>burtoni</v>
      </c>
      <c r="L83" s="78">
        <f t="shared" si="52"/>
        <v>6</v>
      </c>
      <c r="M83" s="78">
        <f t="shared" si="52"/>
        <v>12</v>
      </c>
      <c r="N83" s="72">
        <f t="shared" si="52"/>
        <v>0</v>
      </c>
      <c r="O83" s="45"/>
      <c r="P83" s="46" t="str">
        <f t="shared" si="37"/>
        <v/>
      </c>
      <c r="Q83" s="47" t="str">
        <f t="shared" si="38"/>
        <v/>
      </c>
      <c r="R83" s="48" t="e">
        <f t="shared" si="39"/>
        <v>#VALUE!</v>
      </c>
      <c r="S83" s="49" t="e">
        <f t="shared" si="32"/>
        <v>#VALUE!</v>
      </c>
      <c r="T83" s="48" t="str">
        <f t="shared" si="53"/>
        <v/>
      </c>
      <c r="U83" s="50"/>
      <c r="V83" s="51"/>
      <c r="W83" s="52" t="e">
        <f t="shared" si="40"/>
        <v>#VALUE!</v>
      </c>
      <c r="X83" s="53"/>
      <c r="Y83" s="53"/>
      <c r="Z83" s="53"/>
      <c r="AA83" s="48" t="e">
        <f>INDEX([1]!VISITORS[INSECT ORDER], MATCH(X83,[1]!VISITORS[NAME USED],0))</f>
        <v>#REF!</v>
      </c>
      <c r="AB83" s="48" t="e">
        <f t="shared" si="41"/>
        <v>#REF!</v>
      </c>
      <c r="AC83" s="54" t="e">
        <f t="shared" si="42"/>
        <v>#VALUE!</v>
      </c>
      <c r="AD83" s="55" t="str">
        <f t="shared" si="54"/>
        <v/>
      </c>
      <c r="AE83" s="55"/>
      <c r="AF83" s="55"/>
      <c r="AG83" s="56" t="str">
        <f t="shared" si="55"/>
        <v/>
      </c>
      <c r="AH83" s="57" t="str">
        <f t="shared" si="56"/>
        <v/>
      </c>
      <c r="AI83" s="56"/>
      <c r="AJ83" s="57" t="str">
        <f t="shared" si="57"/>
        <v/>
      </c>
      <c r="AK83" s="56"/>
      <c r="AL83" s="57" t="str">
        <f t="shared" si="58"/>
        <v/>
      </c>
      <c r="AM83" s="56"/>
      <c r="AN83" s="57" t="str">
        <f t="shared" si="43"/>
        <v/>
      </c>
      <c r="AO83" s="56"/>
      <c r="AP83" s="57" t="str">
        <f t="shared" si="44"/>
        <v/>
      </c>
      <c r="AQ83" s="56"/>
      <c r="AR83" s="57" t="str">
        <f t="shared" si="45"/>
        <v/>
      </c>
      <c r="AS83" s="56"/>
      <c r="AT83" s="57" t="str">
        <f t="shared" si="46"/>
        <v/>
      </c>
      <c r="AU83" s="58"/>
      <c r="AV83" s="59"/>
      <c r="AW83" s="59"/>
      <c r="AX83" s="60"/>
      <c r="AY83" s="61" t="str">
        <f t="shared" si="59"/>
        <v/>
      </c>
      <c r="AZ83" s="62" t="str">
        <f t="shared" si="47"/>
        <v/>
      </c>
      <c r="BA83" s="61" t="str">
        <f t="shared" si="48"/>
        <v/>
      </c>
      <c r="BB83" s="62" t="str">
        <f t="shared" si="49"/>
        <v/>
      </c>
    </row>
    <row r="84" spans="1:54" s="3" customFormat="1" hidden="1" x14ac:dyDescent="0.35">
      <c r="A84" s="73">
        <f t="shared" si="33"/>
        <v>2019</v>
      </c>
      <c r="B84" s="73" t="str">
        <f t="shared" si="34"/>
        <v>Nov</v>
      </c>
      <c r="C84" s="74">
        <f t="shared" si="50"/>
        <v>16</v>
      </c>
      <c r="D84" s="75">
        <f t="shared" si="35"/>
        <v>17</v>
      </c>
      <c r="E84" s="76">
        <f t="shared" si="36"/>
        <v>7</v>
      </c>
      <c r="F84" s="80"/>
      <c r="G84" s="83"/>
      <c r="H84" s="69" t="str">
        <f t="shared" si="51"/>
        <v>Senbur6_20191116_17_00</v>
      </c>
      <c r="I84" s="70">
        <f t="shared" si="52"/>
        <v>1</v>
      </c>
      <c r="J84" s="77" t="str">
        <f t="shared" si="52"/>
        <v>Senecio</v>
      </c>
      <c r="K84" s="77" t="str">
        <f t="shared" si="52"/>
        <v>burtoni</v>
      </c>
      <c r="L84" s="78">
        <f t="shared" si="52"/>
        <v>6</v>
      </c>
      <c r="M84" s="78">
        <f t="shared" si="52"/>
        <v>12</v>
      </c>
      <c r="N84" s="72">
        <f t="shared" si="52"/>
        <v>0</v>
      </c>
      <c r="O84" s="45"/>
      <c r="P84" s="46" t="str">
        <f t="shared" si="37"/>
        <v/>
      </c>
      <c r="Q84" s="47" t="str">
        <f t="shared" si="38"/>
        <v/>
      </c>
      <c r="R84" s="48" t="e">
        <f t="shared" si="39"/>
        <v>#VALUE!</v>
      </c>
      <c r="S84" s="49" t="e">
        <f t="shared" si="32"/>
        <v>#VALUE!</v>
      </c>
      <c r="T84" s="48" t="str">
        <f t="shared" si="53"/>
        <v/>
      </c>
      <c r="U84" s="50"/>
      <c r="V84" s="51"/>
      <c r="W84" s="52" t="e">
        <f t="shared" si="40"/>
        <v>#VALUE!</v>
      </c>
      <c r="X84" s="53"/>
      <c r="Y84" s="53"/>
      <c r="Z84" s="53"/>
      <c r="AA84" s="48" t="e">
        <f>INDEX([1]!VISITORS[INSECT ORDER], MATCH(X84,[1]!VISITORS[NAME USED],0))</f>
        <v>#REF!</v>
      </c>
      <c r="AB84" s="48" t="e">
        <f t="shared" si="41"/>
        <v>#REF!</v>
      </c>
      <c r="AC84" s="54" t="e">
        <f t="shared" si="42"/>
        <v>#VALUE!</v>
      </c>
      <c r="AD84" s="55" t="str">
        <f t="shared" si="54"/>
        <v/>
      </c>
      <c r="AE84" s="55"/>
      <c r="AF84" s="55"/>
      <c r="AG84" s="56" t="str">
        <f t="shared" si="55"/>
        <v/>
      </c>
      <c r="AH84" s="57" t="str">
        <f t="shared" si="56"/>
        <v/>
      </c>
      <c r="AI84" s="56"/>
      <c r="AJ84" s="57" t="str">
        <f t="shared" si="57"/>
        <v/>
      </c>
      <c r="AK84" s="56"/>
      <c r="AL84" s="57" t="str">
        <f t="shared" si="58"/>
        <v/>
      </c>
      <c r="AM84" s="56"/>
      <c r="AN84" s="57" t="str">
        <f t="shared" si="43"/>
        <v/>
      </c>
      <c r="AO84" s="56"/>
      <c r="AP84" s="57" t="str">
        <f t="shared" si="44"/>
        <v/>
      </c>
      <c r="AQ84" s="56"/>
      <c r="AR84" s="57" t="str">
        <f t="shared" si="45"/>
        <v/>
      </c>
      <c r="AS84" s="56"/>
      <c r="AT84" s="57" t="str">
        <f t="shared" si="46"/>
        <v/>
      </c>
      <c r="AU84" s="58"/>
      <c r="AV84" s="59"/>
      <c r="AW84" s="59"/>
      <c r="AX84" s="60"/>
      <c r="AY84" s="61" t="str">
        <f t="shared" si="59"/>
        <v/>
      </c>
      <c r="AZ84" s="62" t="str">
        <f t="shared" si="47"/>
        <v/>
      </c>
      <c r="BA84" s="61" t="str">
        <f t="shared" si="48"/>
        <v/>
      </c>
      <c r="BB84" s="62" t="str">
        <f t="shared" si="49"/>
        <v/>
      </c>
    </row>
    <row r="85" spans="1:54" s="3" customFormat="1" hidden="1" x14ac:dyDescent="0.35">
      <c r="A85" s="73">
        <f t="shared" si="33"/>
        <v>2019</v>
      </c>
      <c r="B85" s="73" t="str">
        <f t="shared" si="34"/>
        <v>Nov</v>
      </c>
      <c r="C85" s="74">
        <f t="shared" si="50"/>
        <v>16</v>
      </c>
      <c r="D85" s="75">
        <f t="shared" si="35"/>
        <v>17</v>
      </c>
      <c r="E85" s="76">
        <f t="shared" si="36"/>
        <v>8</v>
      </c>
      <c r="F85" s="80"/>
      <c r="G85" s="83"/>
      <c r="H85" s="69" t="str">
        <f t="shared" si="51"/>
        <v>Senbur6_20191116_17_00</v>
      </c>
      <c r="I85" s="70">
        <f t="shared" ref="I85:N100" si="60">I84</f>
        <v>1</v>
      </c>
      <c r="J85" s="77" t="str">
        <f t="shared" si="60"/>
        <v>Senecio</v>
      </c>
      <c r="K85" s="77" t="str">
        <f t="shared" si="60"/>
        <v>burtoni</v>
      </c>
      <c r="L85" s="78">
        <f t="shared" si="60"/>
        <v>6</v>
      </c>
      <c r="M85" s="78">
        <f t="shared" si="60"/>
        <v>12</v>
      </c>
      <c r="N85" s="72">
        <f t="shared" si="60"/>
        <v>0</v>
      </c>
      <c r="O85" s="45"/>
      <c r="P85" s="46" t="str">
        <f t="shared" si="37"/>
        <v/>
      </c>
      <c r="Q85" s="47" t="str">
        <f t="shared" si="38"/>
        <v/>
      </c>
      <c r="R85" s="48" t="e">
        <f t="shared" si="39"/>
        <v>#VALUE!</v>
      </c>
      <c r="S85" s="49" t="e">
        <f t="shared" si="32"/>
        <v>#VALUE!</v>
      </c>
      <c r="T85" s="48" t="str">
        <f t="shared" si="53"/>
        <v/>
      </c>
      <c r="U85" s="50"/>
      <c r="V85" s="51"/>
      <c r="W85" s="52" t="e">
        <f t="shared" si="40"/>
        <v>#VALUE!</v>
      </c>
      <c r="X85" s="53"/>
      <c r="Y85" s="53"/>
      <c r="Z85" s="53"/>
      <c r="AA85" s="48" t="e">
        <f>INDEX([1]!VISITORS[INSECT ORDER], MATCH(X85,[1]!VISITORS[NAME USED],0))</f>
        <v>#REF!</v>
      </c>
      <c r="AB85" s="48" t="e">
        <f t="shared" si="41"/>
        <v>#REF!</v>
      </c>
      <c r="AC85" s="54" t="e">
        <f t="shared" si="42"/>
        <v>#VALUE!</v>
      </c>
      <c r="AD85" s="55" t="str">
        <f t="shared" si="54"/>
        <v/>
      </c>
      <c r="AE85" s="55"/>
      <c r="AF85" s="55"/>
      <c r="AG85" s="56" t="str">
        <f t="shared" si="55"/>
        <v/>
      </c>
      <c r="AH85" s="57" t="str">
        <f t="shared" si="56"/>
        <v/>
      </c>
      <c r="AI85" s="56"/>
      <c r="AJ85" s="57" t="str">
        <f t="shared" si="57"/>
        <v/>
      </c>
      <c r="AK85" s="56"/>
      <c r="AL85" s="57" t="str">
        <f t="shared" si="58"/>
        <v/>
      </c>
      <c r="AM85" s="56"/>
      <c r="AN85" s="57" t="str">
        <f t="shared" si="43"/>
        <v/>
      </c>
      <c r="AO85" s="56"/>
      <c r="AP85" s="57" t="str">
        <f t="shared" si="44"/>
        <v/>
      </c>
      <c r="AQ85" s="56"/>
      <c r="AR85" s="57" t="str">
        <f t="shared" si="45"/>
        <v/>
      </c>
      <c r="AS85" s="56"/>
      <c r="AT85" s="57" t="str">
        <f t="shared" si="46"/>
        <v/>
      </c>
      <c r="AU85" s="58"/>
      <c r="AV85" s="59"/>
      <c r="AW85" s="59"/>
      <c r="AX85" s="60"/>
      <c r="AY85" s="61" t="str">
        <f t="shared" si="59"/>
        <v/>
      </c>
      <c r="AZ85" s="62" t="str">
        <f t="shared" si="47"/>
        <v/>
      </c>
      <c r="BA85" s="61" t="str">
        <f t="shared" si="48"/>
        <v/>
      </c>
      <c r="BB85" s="62" t="str">
        <f t="shared" si="49"/>
        <v/>
      </c>
    </row>
    <row r="86" spans="1:54" s="3" customFormat="1" hidden="1" x14ac:dyDescent="0.35">
      <c r="A86" s="73">
        <f t="shared" si="33"/>
        <v>2019</v>
      </c>
      <c r="B86" s="73" t="str">
        <f t="shared" si="34"/>
        <v>Nov</v>
      </c>
      <c r="C86" s="74">
        <f t="shared" si="50"/>
        <v>16</v>
      </c>
      <c r="D86" s="75">
        <f t="shared" si="35"/>
        <v>17</v>
      </c>
      <c r="E86" s="76">
        <f t="shared" si="36"/>
        <v>9</v>
      </c>
      <c r="F86" s="80"/>
      <c r="G86" s="83"/>
      <c r="H86" s="69" t="str">
        <f t="shared" si="51"/>
        <v>Senbur6_20191116_17_00</v>
      </c>
      <c r="I86" s="70">
        <f t="shared" si="60"/>
        <v>1</v>
      </c>
      <c r="J86" s="77" t="str">
        <f t="shared" si="60"/>
        <v>Senecio</v>
      </c>
      <c r="K86" s="77" t="str">
        <f t="shared" si="60"/>
        <v>burtoni</v>
      </c>
      <c r="L86" s="78">
        <f t="shared" si="60"/>
        <v>6</v>
      </c>
      <c r="M86" s="78">
        <f t="shared" si="60"/>
        <v>12</v>
      </c>
      <c r="N86" s="72">
        <f t="shared" si="60"/>
        <v>0</v>
      </c>
      <c r="O86" s="45"/>
      <c r="P86" s="46" t="str">
        <f t="shared" si="37"/>
        <v/>
      </c>
      <c r="Q86" s="47" t="str">
        <f t="shared" si="38"/>
        <v/>
      </c>
      <c r="R86" s="48" t="e">
        <f t="shared" si="39"/>
        <v>#VALUE!</v>
      </c>
      <c r="S86" s="49" t="e">
        <f t="shared" si="32"/>
        <v>#VALUE!</v>
      </c>
      <c r="T86" s="48" t="str">
        <f t="shared" si="53"/>
        <v/>
      </c>
      <c r="U86" s="50"/>
      <c r="V86" s="51"/>
      <c r="W86" s="52" t="e">
        <f t="shared" si="40"/>
        <v>#VALUE!</v>
      </c>
      <c r="X86" s="53"/>
      <c r="Y86" s="53"/>
      <c r="Z86" s="53"/>
      <c r="AA86" s="48" t="e">
        <f>INDEX([1]!VISITORS[INSECT ORDER], MATCH(X86,[1]!VISITORS[NAME USED],0))</f>
        <v>#REF!</v>
      </c>
      <c r="AB86" s="48" t="e">
        <f t="shared" si="41"/>
        <v>#REF!</v>
      </c>
      <c r="AC86" s="54" t="e">
        <f t="shared" si="42"/>
        <v>#VALUE!</v>
      </c>
      <c r="AD86" s="55" t="str">
        <f t="shared" si="54"/>
        <v/>
      </c>
      <c r="AE86" s="55"/>
      <c r="AF86" s="55"/>
      <c r="AG86" s="56" t="str">
        <f t="shared" si="55"/>
        <v/>
      </c>
      <c r="AH86" s="57" t="str">
        <f t="shared" si="56"/>
        <v/>
      </c>
      <c r="AI86" s="56"/>
      <c r="AJ86" s="57" t="str">
        <f t="shared" si="57"/>
        <v/>
      </c>
      <c r="AK86" s="56"/>
      <c r="AL86" s="57" t="str">
        <f t="shared" si="58"/>
        <v/>
      </c>
      <c r="AM86" s="56"/>
      <c r="AN86" s="57" t="str">
        <f t="shared" si="43"/>
        <v/>
      </c>
      <c r="AO86" s="56"/>
      <c r="AP86" s="57" t="str">
        <f t="shared" si="44"/>
        <v/>
      </c>
      <c r="AQ86" s="56"/>
      <c r="AR86" s="57" t="str">
        <f t="shared" si="45"/>
        <v/>
      </c>
      <c r="AS86" s="56"/>
      <c r="AT86" s="57" t="str">
        <f t="shared" si="46"/>
        <v/>
      </c>
      <c r="AU86" s="58"/>
      <c r="AV86" s="59"/>
      <c r="AW86" s="59"/>
      <c r="AX86" s="60"/>
      <c r="AY86" s="61" t="str">
        <f t="shared" si="59"/>
        <v/>
      </c>
      <c r="AZ86" s="62" t="str">
        <f t="shared" si="47"/>
        <v/>
      </c>
      <c r="BA86" s="61" t="str">
        <f t="shared" si="48"/>
        <v/>
      </c>
      <c r="BB86" s="62" t="str">
        <f t="shared" si="49"/>
        <v/>
      </c>
    </row>
    <row r="87" spans="1:54" s="3" customFormat="1" hidden="1" x14ac:dyDescent="0.35">
      <c r="A87" s="73">
        <f t="shared" si="33"/>
        <v>2019</v>
      </c>
      <c r="B87" s="73" t="str">
        <f t="shared" si="34"/>
        <v>Nov</v>
      </c>
      <c r="C87" s="74">
        <f t="shared" si="50"/>
        <v>16</v>
      </c>
      <c r="D87" s="75">
        <f t="shared" si="35"/>
        <v>17</v>
      </c>
      <c r="E87" s="76">
        <f t="shared" si="36"/>
        <v>10</v>
      </c>
      <c r="F87" s="80"/>
      <c r="G87" s="83"/>
      <c r="H87" s="69" t="str">
        <f t="shared" si="51"/>
        <v>Senbur6_20191116_17_00</v>
      </c>
      <c r="I87" s="70">
        <f t="shared" si="60"/>
        <v>1</v>
      </c>
      <c r="J87" s="77" t="str">
        <f t="shared" si="60"/>
        <v>Senecio</v>
      </c>
      <c r="K87" s="77" t="str">
        <f t="shared" si="60"/>
        <v>burtoni</v>
      </c>
      <c r="L87" s="78">
        <f t="shared" si="60"/>
        <v>6</v>
      </c>
      <c r="M87" s="78">
        <f t="shared" si="60"/>
        <v>12</v>
      </c>
      <c r="N87" s="72">
        <f t="shared" si="60"/>
        <v>0</v>
      </c>
      <c r="O87" s="45"/>
      <c r="P87" s="46" t="str">
        <f t="shared" si="37"/>
        <v/>
      </c>
      <c r="Q87" s="47" t="str">
        <f t="shared" si="38"/>
        <v/>
      </c>
      <c r="R87" s="48" t="e">
        <f t="shared" si="39"/>
        <v>#VALUE!</v>
      </c>
      <c r="S87" s="49" t="e">
        <f t="shared" si="32"/>
        <v>#VALUE!</v>
      </c>
      <c r="T87" s="48" t="str">
        <f t="shared" si="53"/>
        <v/>
      </c>
      <c r="U87" s="50"/>
      <c r="V87" s="51"/>
      <c r="W87" s="52" t="e">
        <f t="shared" si="40"/>
        <v>#VALUE!</v>
      </c>
      <c r="X87" s="53"/>
      <c r="Y87" s="53"/>
      <c r="Z87" s="53"/>
      <c r="AA87" s="48" t="e">
        <f>INDEX([1]!VISITORS[INSECT ORDER], MATCH(X87,[1]!VISITORS[NAME USED],0))</f>
        <v>#REF!</v>
      </c>
      <c r="AB87" s="48" t="e">
        <f t="shared" si="41"/>
        <v>#REF!</v>
      </c>
      <c r="AC87" s="54" t="e">
        <f t="shared" si="42"/>
        <v>#VALUE!</v>
      </c>
      <c r="AD87" s="55" t="str">
        <f t="shared" si="54"/>
        <v/>
      </c>
      <c r="AE87" s="55"/>
      <c r="AF87" s="55"/>
      <c r="AG87" s="56" t="str">
        <f t="shared" si="55"/>
        <v/>
      </c>
      <c r="AH87" s="57" t="str">
        <f t="shared" si="56"/>
        <v/>
      </c>
      <c r="AI87" s="56"/>
      <c r="AJ87" s="57" t="str">
        <f t="shared" si="57"/>
        <v/>
      </c>
      <c r="AK87" s="56"/>
      <c r="AL87" s="57" t="str">
        <f t="shared" si="58"/>
        <v/>
      </c>
      <c r="AM87" s="56"/>
      <c r="AN87" s="57" t="str">
        <f t="shared" si="43"/>
        <v/>
      </c>
      <c r="AO87" s="56"/>
      <c r="AP87" s="57" t="str">
        <f t="shared" si="44"/>
        <v/>
      </c>
      <c r="AQ87" s="56"/>
      <c r="AR87" s="57" t="str">
        <f t="shared" si="45"/>
        <v/>
      </c>
      <c r="AS87" s="56"/>
      <c r="AT87" s="57" t="str">
        <f t="shared" si="46"/>
        <v/>
      </c>
      <c r="AU87" s="58"/>
      <c r="AV87" s="59"/>
      <c r="AW87" s="59"/>
      <c r="AX87" s="60"/>
      <c r="AY87" s="61" t="str">
        <f t="shared" si="59"/>
        <v/>
      </c>
      <c r="AZ87" s="62" t="str">
        <f t="shared" si="47"/>
        <v/>
      </c>
      <c r="BA87" s="61" t="str">
        <f t="shared" si="48"/>
        <v/>
      </c>
      <c r="BB87" s="62" t="str">
        <f t="shared" si="49"/>
        <v/>
      </c>
    </row>
    <row r="88" spans="1:54" s="3" customFormat="1" hidden="1" x14ac:dyDescent="0.35">
      <c r="A88" s="73">
        <f t="shared" si="33"/>
        <v>2019</v>
      </c>
      <c r="B88" s="73" t="str">
        <f t="shared" si="34"/>
        <v>Nov</v>
      </c>
      <c r="C88" s="74">
        <f t="shared" si="50"/>
        <v>16</v>
      </c>
      <c r="D88" s="75">
        <f t="shared" si="35"/>
        <v>17</v>
      </c>
      <c r="E88" s="76">
        <f t="shared" si="36"/>
        <v>11</v>
      </c>
      <c r="F88" s="80"/>
      <c r="G88" s="83"/>
      <c r="H88" s="69" t="str">
        <f t="shared" si="51"/>
        <v>Senbur6_20191116_17_00</v>
      </c>
      <c r="I88" s="70">
        <f t="shared" si="60"/>
        <v>1</v>
      </c>
      <c r="J88" s="77" t="str">
        <f t="shared" si="60"/>
        <v>Senecio</v>
      </c>
      <c r="K88" s="77" t="str">
        <f t="shared" si="60"/>
        <v>burtoni</v>
      </c>
      <c r="L88" s="78">
        <f t="shared" si="60"/>
        <v>6</v>
      </c>
      <c r="M88" s="78">
        <f t="shared" si="60"/>
        <v>12</v>
      </c>
      <c r="N88" s="72">
        <f t="shared" si="60"/>
        <v>0</v>
      </c>
      <c r="O88" s="45"/>
      <c r="P88" s="46" t="str">
        <f t="shared" si="37"/>
        <v/>
      </c>
      <c r="Q88" s="47" t="str">
        <f t="shared" si="38"/>
        <v/>
      </c>
      <c r="R88" s="48" t="e">
        <f t="shared" si="39"/>
        <v>#VALUE!</v>
      </c>
      <c r="S88" s="49" t="e">
        <f t="shared" si="32"/>
        <v>#VALUE!</v>
      </c>
      <c r="T88" s="48" t="str">
        <f t="shared" si="53"/>
        <v/>
      </c>
      <c r="U88" s="50"/>
      <c r="V88" s="51"/>
      <c r="W88" s="52" t="e">
        <f t="shared" si="40"/>
        <v>#VALUE!</v>
      </c>
      <c r="X88" s="53"/>
      <c r="Y88" s="53"/>
      <c r="Z88" s="53"/>
      <c r="AA88" s="48" t="e">
        <f>INDEX([1]!VISITORS[INSECT ORDER], MATCH(X88,[1]!VISITORS[NAME USED],0))</f>
        <v>#REF!</v>
      </c>
      <c r="AB88" s="48" t="e">
        <f t="shared" si="41"/>
        <v>#REF!</v>
      </c>
      <c r="AC88" s="54" t="e">
        <f t="shared" si="42"/>
        <v>#VALUE!</v>
      </c>
      <c r="AD88" s="55" t="str">
        <f t="shared" si="54"/>
        <v/>
      </c>
      <c r="AE88" s="55"/>
      <c r="AF88" s="55"/>
      <c r="AG88" s="56" t="str">
        <f t="shared" si="55"/>
        <v/>
      </c>
      <c r="AH88" s="57" t="str">
        <f t="shared" si="56"/>
        <v/>
      </c>
      <c r="AI88" s="56"/>
      <c r="AJ88" s="57" t="str">
        <f t="shared" si="57"/>
        <v/>
      </c>
      <c r="AK88" s="56"/>
      <c r="AL88" s="57" t="str">
        <f t="shared" si="58"/>
        <v/>
      </c>
      <c r="AM88" s="56"/>
      <c r="AN88" s="57" t="str">
        <f t="shared" si="43"/>
        <v/>
      </c>
      <c r="AO88" s="56"/>
      <c r="AP88" s="57" t="str">
        <f t="shared" si="44"/>
        <v/>
      </c>
      <c r="AQ88" s="56"/>
      <c r="AR88" s="57" t="str">
        <f t="shared" si="45"/>
        <v/>
      </c>
      <c r="AS88" s="56"/>
      <c r="AT88" s="57" t="str">
        <f t="shared" si="46"/>
        <v/>
      </c>
      <c r="AU88" s="58"/>
      <c r="AV88" s="59"/>
      <c r="AW88" s="59"/>
      <c r="AX88" s="60"/>
      <c r="AY88" s="61" t="str">
        <f t="shared" si="59"/>
        <v/>
      </c>
      <c r="AZ88" s="62" t="str">
        <f t="shared" si="47"/>
        <v/>
      </c>
      <c r="BA88" s="61" t="str">
        <f t="shared" si="48"/>
        <v/>
      </c>
      <c r="BB88" s="62" t="str">
        <f t="shared" si="49"/>
        <v/>
      </c>
    </row>
    <row r="89" spans="1:54" s="3" customFormat="1" hidden="1" x14ac:dyDescent="0.35">
      <c r="A89" s="73">
        <f t="shared" si="33"/>
        <v>2019</v>
      </c>
      <c r="B89" s="73" t="str">
        <f t="shared" si="34"/>
        <v>Nov</v>
      </c>
      <c r="C89" s="74">
        <f t="shared" si="50"/>
        <v>16</v>
      </c>
      <c r="D89" s="75">
        <f t="shared" si="35"/>
        <v>17</v>
      </c>
      <c r="E89" s="76">
        <f t="shared" si="36"/>
        <v>12</v>
      </c>
      <c r="F89" s="80"/>
      <c r="G89" s="83"/>
      <c r="H89" s="69" t="str">
        <f t="shared" si="51"/>
        <v>Senbur6_20191116_17_00</v>
      </c>
      <c r="I89" s="70">
        <f t="shared" si="60"/>
        <v>1</v>
      </c>
      <c r="J89" s="77" t="str">
        <f t="shared" si="60"/>
        <v>Senecio</v>
      </c>
      <c r="K89" s="77" t="str">
        <f t="shared" si="60"/>
        <v>burtoni</v>
      </c>
      <c r="L89" s="78">
        <f t="shared" si="60"/>
        <v>6</v>
      </c>
      <c r="M89" s="78">
        <f t="shared" si="60"/>
        <v>12</v>
      </c>
      <c r="N89" s="72">
        <f t="shared" si="60"/>
        <v>0</v>
      </c>
      <c r="O89" s="45"/>
      <c r="P89" s="46" t="str">
        <f t="shared" si="37"/>
        <v/>
      </c>
      <c r="Q89" s="47" t="str">
        <f t="shared" si="38"/>
        <v/>
      </c>
      <c r="R89" s="48" t="e">
        <f t="shared" si="39"/>
        <v>#VALUE!</v>
      </c>
      <c r="S89" s="49" t="e">
        <f t="shared" si="32"/>
        <v>#VALUE!</v>
      </c>
      <c r="T89" s="48" t="str">
        <f t="shared" si="53"/>
        <v/>
      </c>
      <c r="U89" s="50"/>
      <c r="V89" s="51"/>
      <c r="W89" s="52" t="e">
        <f t="shared" si="40"/>
        <v>#VALUE!</v>
      </c>
      <c r="X89" s="53"/>
      <c r="Y89" s="53"/>
      <c r="Z89" s="53"/>
      <c r="AA89" s="48" t="e">
        <f>INDEX([1]!VISITORS[INSECT ORDER], MATCH(X89,[1]!VISITORS[NAME USED],0))</f>
        <v>#REF!</v>
      </c>
      <c r="AB89" s="48" t="e">
        <f t="shared" si="41"/>
        <v>#REF!</v>
      </c>
      <c r="AC89" s="54" t="e">
        <f t="shared" si="42"/>
        <v>#VALUE!</v>
      </c>
      <c r="AD89" s="55" t="str">
        <f t="shared" si="54"/>
        <v/>
      </c>
      <c r="AE89" s="55"/>
      <c r="AF89" s="55"/>
      <c r="AG89" s="56" t="str">
        <f t="shared" si="55"/>
        <v/>
      </c>
      <c r="AH89" s="57" t="str">
        <f t="shared" si="56"/>
        <v/>
      </c>
      <c r="AI89" s="56"/>
      <c r="AJ89" s="57" t="str">
        <f t="shared" si="57"/>
        <v/>
      </c>
      <c r="AK89" s="56"/>
      <c r="AL89" s="57" t="str">
        <f t="shared" si="58"/>
        <v/>
      </c>
      <c r="AM89" s="56"/>
      <c r="AN89" s="57" t="str">
        <f t="shared" si="43"/>
        <v/>
      </c>
      <c r="AO89" s="56"/>
      <c r="AP89" s="57" t="str">
        <f t="shared" si="44"/>
        <v/>
      </c>
      <c r="AQ89" s="56"/>
      <c r="AR89" s="57" t="str">
        <f t="shared" si="45"/>
        <v/>
      </c>
      <c r="AS89" s="56"/>
      <c r="AT89" s="57" t="str">
        <f t="shared" si="46"/>
        <v/>
      </c>
      <c r="AU89" s="58"/>
      <c r="AV89" s="59"/>
      <c r="AW89" s="59"/>
      <c r="AX89" s="60"/>
      <c r="AY89" s="61" t="str">
        <f t="shared" si="59"/>
        <v/>
      </c>
      <c r="AZ89" s="62" t="str">
        <f t="shared" si="47"/>
        <v/>
      </c>
      <c r="BA89" s="61" t="str">
        <f t="shared" si="48"/>
        <v/>
      </c>
      <c r="BB89" s="62" t="str">
        <f t="shared" si="49"/>
        <v/>
      </c>
    </row>
    <row r="90" spans="1:54" s="3" customFormat="1" hidden="1" x14ac:dyDescent="0.35">
      <c r="A90" s="73">
        <f t="shared" si="33"/>
        <v>2019</v>
      </c>
      <c r="B90" s="73" t="str">
        <f t="shared" si="34"/>
        <v>Nov</v>
      </c>
      <c r="C90" s="74">
        <f t="shared" si="50"/>
        <v>16</v>
      </c>
      <c r="D90" s="75">
        <f t="shared" si="35"/>
        <v>17</v>
      </c>
      <c r="E90" s="76">
        <f t="shared" si="36"/>
        <v>13</v>
      </c>
      <c r="F90" s="80"/>
      <c r="G90" s="83"/>
      <c r="H90" s="69" t="str">
        <f t="shared" si="51"/>
        <v>Senbur6_20191116_17_00</v>
      </c>
      <c r="I90" s="70">
        <f t="shared" si="60"/>
        <v>1</v>
      </c>
      <c r="J90" s="77" t="str">
        <f t="shared" si="60"/>
        <v>Senecio</v>
      </c>
      <c r="K90" s="77" t="str">
        <f t="shared" si="60"/>
        <v>burtoni</v>
      </c>
      <c r="L90" s="78">
        <f t="shared" si="60"/>
        <v>6</v>
      </c>
      <c r="M90" s="78">
        <f t="shared" si="60"/>
        <v>12</v>
      </c>
      <c r="N90" s="72">
        <f t="shared" si="60"/>
        <v>0</v>
      </c>
      <c r="O90" s="45"/>
      <c r="P90" s="46" t="str">
        <f t="shared" si="37"/>
        <v/>
      </c>
      <c r="Q90" s="47" t="str">
        <f t="shared" si="38"/>
        <v/>
      </c>
      <c r="R90" s="48" t="e">
        <f t="shared" si="39"/>
        <v>#VALUE!</v>
      </c>
      <c r="S90" s="49" t="e">
        <f t="shared" si="32"/>
        <v>#VALUE!</v>
      </c>
      <c r="T90" s="48" t="str">
        <f t="shared" si="53"/>
        <v/>
      </c>
      <c r="U90" s="50"/>
      <c r="V90" s="51"/>
      <c r="W90" s="52" t="e">
        <f t="shared" si="40"/>
        <v>#VALUE!</v>
      </c>
      <c r="X90" s="53"/>
      <c r="Y90" s="53"/>
      <c r="Z90" s="53"/>
      <c r="AA90" s="48" t="e">
        <f>INDEX([1]!VISITORS[INSECT ORDER], MATCH(X90,[1]!VISITORS[NAME USED],0))</f>
        <v>#REF!</v>
      </c>
      <c r="AB90" s="48" t="e">
        <f t="shared" si="41"/>
        <v>#REF!</v>
      </c>
      <c r="AC90" s="54" t="e">
        <f t="shared" si="42"/>
        <v>#VALUE!</v>
      </c>
      <c r="AD90" s="55" t="str">
        <f t="shared" si="54"/>
        <v/>
      </c>
      <c r="AE90" s="55"/>
      <c r="AF90" s="55"/>
      <c r="AG90" s="56" t="str">
        <f t="shared" si="55"/>
        <v/>
      </c>
      <c r="AH90" s="57" t="str">
        <f t="shared" si="56"/>
        <v/>
      </c>
      <c r="AI90" s="56"/>
      <c r="AJ90" s="57" t="str">
        <f t="shared" si="57"/>
        <v/>
      </c>
      <c r="AK90" s="56"/>
      <c r="AL90" s="57" t="str">
        <f t="shared" si="58"/>
        <v/>
      </c>
      <c r="AM90" s="56"/>
      <c r="AN90" s="57" t="str">
        <f t="shared" si="43"/>
        <v/>
      </c>
      <c r="AO90" s="56"/>
      <c r="AP90" s="57" t="str">
        <f t="shared" si="44"/>
        <v/>
      </c>
      <c r="AQ90" s="56"/>
      <c r="AR90" s="57" t="str">
        <f t="shared" si="45"/>
        <v/>
      </c>
      <c r="AS90" s="56"/>
      <c r="AT90" s="57" t="str">
        <f t="shared" si="46"/>
        <v/>
      </c>
      <c r="AU90" s="58"/>
      <c r="AV90" s="59"/>
      <c r="AW90" s="59"/>
      <c r="AX90" s="60"/>
      <c r="AY90" s="61" t="str">
        <f t="shared" si="59"/>
        <v/>
      </c>
      <c r="AZ90" s="62" t="str">
        <f t="shared" si="47"/>
        <v/>
      </c>
      <c r="BA90" s="61" t="str">
        <f t="shared" si="48"/>
        <v/>
      </c>
      <c r="BB90" s="62" t="str">
        <f t="shared" si="49"/>
        <v/>
      </c>
    </row>
    <row r="91" spans="1:54" s="3" customFormat="1" hidden="1" x14ac:dyDescent="0.35">
      <c r="A91" s="73">
        <f t="shared" si="33"/>
        <v>2019</v>
      </c>
      <c r="B91" s="73" t="str">
        <f t="shared" si="34"/>
        <v>Nov</v>
      </c>
      <c r="C91" s="74">
        <f t="shared" si="50"/>
        <v>16</v>
      </c>
      <c r="D91" s="75">
        <f t="shared" si="35"/>
        <v>17</v>
      </c>
      <c r="E91" s="76">
        <f t="shared" si="36"/>
        <v>14</v>
      </c>
      <c r="F91" s="80"/>
      <c r="G91" s="83"/>
      <c r="H91" s="69" t="str">
        <f t="shared" si="51"/>
        <v>Senbur6_20191116_17_00</v>
      </c>
      <c r="I91" s="70">
        <f t="shared" si="60"/>
        <v>1</v>
      </c>
      <c r="J91" s="77" t="str">
        <f t="shared" si="60"/>
        <v>Senecio</v>
      </c>
      <c r="K91" s="77" t="str">
        <f t="shared" si="60"/>
        <v>burtoni</v>
      </c>
      <c r="L91" s="78">
        <f t="shared" si="60"/>
        <v>6</v>
      </c>
      <c r="M91" s="78">
        <f t="shared" si="60"/>
        <v>12</v>
      </c>
      <c r="N91" s="72">
        <f t="shared" si="60"/>
        <v>0</v>
      </c>
      <c r="O91" s="45"/>
      <c r="P91" s="46" t="str">
        <f t="shared" si="37"/>
        <v/>
      </c>
      <c r="Q91" s="47" t="str">
        <f t="shared" si="38"/>
        <v/>
      </c>
      <c r="R91" s="48" t="e">
        <f t="shared" si="39"/>
        <v>#VALUE!</v>
      </c>
      <c r="S91" s="49" t="e">
        <f t="shared" si="32"/>
        <v>#VALUE!</v>
      </c>
      <c r="T91" s="48" t="str">
        <f t="shared" si="53"/>
        <v/>
      </c>
      <c r="U91" s="50"/>
      <c r="V91" s="51"/>
      <c r="W91" s="52" t="e">
        <f t="shared" si="40"/>
        <v>#VALUE!</v>
      </c>
      <c r="X91" s="53"/>
      <c r="Y91" s="53"/>
      <c r="Z91" s="53"/>
      <c r="AA91" s="48" t="e">
        <f>INDEX([1]!VISITORS[INSECT ORDER], MATCH(X91,[1]!VISITORS[NAME USED],0))</f>
        <v>#REF!</v>
      </c>
      <c r="AB91" s="48" t="e">
        <f t="shared" si="41"/>
        <v>#REF!</v>
      </c>
      <c r="AC91" s="54" t="e">
        <f t="shared" si="42"/>
        <v>#VALUE!</v>
      </c>
      <c r="AD91" s="55" t="str">
        <f t="shared" si="54"/>
        <v/>
      </c>
      <c r="AE91" s="55"/>
      <c r="AF91" s="55"/>
      <c r="AG91" s="56" t="str">
        <f t="shared" si="55"/>
        <v/>
      </c>
      <c r="AH91" s="57" t="str">
        <f t="shared" si="56"/>
        <v/>
      </c>
      <c r="AI91" s="56"/>
      <c r="AJ91" s="57" t="str">
        <f t="shared" si="57"/>
        <v/>
      </c>
      <c r="AK91" s="56"/>
      <c r="AL91" s="57" t="str">
        <f t="shared" si="58"/>
        <v/>
      </c>
      <c r="AM91" s="56"/>
      <c r="AN91" s="57" t="str">
        <f t="shared" si="43"/>
        <v/>
      </c>
      <c r="AO91" s="56"/>
      <c r="AP91" s="57" t="str">
        <f t="shared" si="44"/>
        <v/>
      </c>
      <c r="AQ91" s="56"/>
      <c r="AR91" s="57" t="str">
        <f t="shared" si="45"/>
        <v/>
      </c>
      <c r="AS91" s="56"/>
      <c r="AT91" s="57" t="str">
        <f t="shared" si="46"/>
        <v/>
      </c>
      <c r="AU91" s="58"/>
      <c r="AV91" s="59"/>
      <c r="AW91" s="59"/>
      <c r="AX91" s="60"/>
      <c r="AY91" s="61" t="str">
        <f t="shared" si="59"/>
        <v/>
      </c>
      <c r="AZ91" s="62" t="str">
        <f t="shared" si="47"/>
        <v/>
      </c>
      <c r="BA91" s="61" t="str">
        <f t="shared" si="48"/>
        <v/>
      </c>
      <c r="BB91" s="62" t="str">
        <f t="shared" si="49"/>
        <v/>
      </c>
    </row>
    <row r="92" spans="1:54" s="3" customFormat="1" hidden="1" x14ac:dyDescent="0.35">
      <c r="A92" s="73">
        <f t="shared" si="33"/>
        <v>2019</v>
      </c>
      <c r="B92" s="73" t="str">
        <f t="shared" si="34"/>
        <v>Nov</v>
      </c>
      <c r="C92" s="74">
        <f t="shared" si="50"/>
        <v>16</v>
      </c>
      <c r="D92" s="75">
        <f t="shared" si="35"/>
        <v>17</v>
      </c>
      <c r="E92" s="76">
        <f t="shared" si="36"/>
        <v>15</v>
      </c>
      <c r="F92" s="80">
        <v>20</v>
      </c>
      <c r="G92" s="83"/>
      <c r="H92" s="69" t="str">
        <f t="shared" si="51"/>
        <v>Senbur6_20191116_17_00</v>
      </c>
      <c r="I92" s="70">
        <f t="shared" si="60"/>
        <v>1</v>
      </c>
      <c r="J92" s="77" t="str">
        <f t="shared" si="60"/>
        <v>Senecio</v>
      </c>
      <c r="K92" s="77" t="str">
        <f t="shared" si="60"/>
        <v>burtoni</v>
      </c>
      <c r="L92" s="78">
        <f t="shared" si="60"/>
        <v>6</v>
      </c>
      <c r="M92" s="78">
        <f t="shared" si="60"/>
        <v>12</v>
      </c>
      <c r="N92" s="72">
        <f t="shared" si="60"/>
        <v>0</v>
      </c>
      <c r="O92" s="45"/>
      <c r="P92" s="46">
        <f t="shared" si="37"/>
        <v>1</v>
      </c>
      <c r="Q92" s="47" t="str">
        <f t="shared" si="38"/>
        <v>17:15:20</v>
      </c>
      <c r="R92" s="48" t="str">
        <f t="shared" si="39"/>
        <v>15:20</v>
      </c>
      <c r="S92" s="49">
        <f t="shared" si="32"/>
        <v>200</v>
      </c>
      <c r="T92" s="48" t="str">
        <f t="shared" si="53"/>
        <v>17</v>
      </c>
      <c r="U92" s="50">
        <v>18</v>
      </c>
      <c r="V92" s="51">
        <v>40</v>
      </c>
      <c r="W92" s="52" t="str">
        <f t="shared" si="40"/>
        <v>18:40</v>
      </c>
      <c r="X92" s="53" t="s">
        <v>59</v>
      </c>
      <c r="Y92" s="97" t="s">
        <v>78</v>
      </c>
      <c r="Z92" s="97"/>
      <c r="AA92" s="48" t="s">
        <v>60</v>
      </c>
      <c r="AB92" s="48" t="str">
        <f t="shared" si="41"/>
        <v>NA</v>
      </c>
      <c r="AC92" s="54">
        <f t="shared" si="42"/>
        <v>0</v>
      </c>
      <c r="AD92" s="55">
        <f t="shared" si="54"/>
        <v>1</v>
      </c>
      <c r="AE92" s="55"/>
      <c r="AF92" s="55"/>
      <c r="AG92" s="56">
        <v>1</v>
      </c>
      <c r="AH92" s="57">
        <v>145</v>
      </c>
      <c r="AI92" s="56">
        <v>1</v>
      </c>
      <c r="AJ92" s="57">
        <v>1</v>
      </c>
      <c r="AK92" s="56">
        <v>1</v>
      </c>
      <c r="AL92" s="57">
        <v>54</v>
      </c>
      <c r="AM92" s="56"/>
      <c r="AN92" s="57" t="str">
        <f t="shared" si="43"/>
        <v/>
      </c>
      <c r="AO92" s="56"/>
      <c r="AP92" s="57" t="str">
        <f t="shared" si="44"/>
        <v/>
      </c>
      <c r="AQ92" s="56"/>
      <c r="AR92" s="57" t="str">
        <f t="shared" si="45"/>
        <v/>
      </c>
      <c r="AS92" s="56"/>
      <c r="AT92" s="57" t="str">
        <f t="shared" si="46"/>
        <v/>
      </c>
      <c r="AU92" s="58"/>
      <c r="AV92" s="59"/>
      <c r="AW92" s="59"/>
      <c r="AX92" s="60"/>
      <c r="AY92" s="61">
        <v>1</v>
      </c>
      <c r="AZ92" s="62">
        <f t="shared" si="47"/>
        <v>1</v>
      </c>
      <c r="BA92" s="61">
        <f t="shared" si="48"/>
        <v>0</v>
      </c>
      <c r="BB92" s="62" t="str">
        <f t="shared" si="49"/>
        <v/>
      </c>
    </row>
    <row r="93" spans="1:54" s="3" customFormat="1" hidden="1" x14ac:dyDescent="0.35">
      <c r="A93" s="73">
        <f t="shared" si="33"/>
        <v>2019</v>
      </c>
      <c r="B93" s="73" t="str">
        <f t="shared" si="34"/>
        <v>Nov</v>
      </c>
      <c r="C93" s="74">
        <f t="shared" si="50"/>
        <v>16</v>
      </c>
      <c r="D93" s="75">
        <f t="shared" si="35"/>
        <v>17</v>
      </c>
      <c r="E93" s="76">
        <f t="shared" si="36"/>
        <v>16</v>
      </c>
      <c r="F93" s="80"/>
      <c r="G93" s="83"/>
      <c r="H93" s="69" t="str">
        <f t="shared" si="51"/>
        <v>Senbur6_20191116_17_00</v>
      </c>
      <c r="I93" s="70">
        <f t="shared" si="60"/>
        <v>1</v>
      </c>
      <c r="J93" s="77" t="str">
        <f t="shared" si="60"/>
        <v>Senecio</v>
      </c>
      <c r="K93" s="77" t="str">
        <f t="shared" si="60"/>
        <v>burtoni</v>
      </c>
      <c r="L93" s="78">
        <f t="shared" si="60"/>
        <v>6</v>
      </c>
      <c r="M93" s="78">
        <f t="shared" si="60"/>
        <v>12</v>
      </c>
      <c r="N93" s="72">
        <f t="shared" si="60"/>
        <v>0</v>
      </c>
      <c r="O93" s="45"/>
      <c r="P93" s="46" t="str">
        <f t="shared" si="37"/>
        <v/>
      </c>
      <c r="Q93" s="47" t="str">
        <f t="shared" si="38"/>
        <v/>
      </c>
      <c r="R93" s="48" t="e">
        <f t="shared" si="39"/>
        <v>#VALUE!</v>
      </c>
      <c r="S93" s="49" t="e">
        <f t="shared" si="32"/>
        <v>#VALUE!</v>
      </c>
      <c r="T93" s="48" t="str">
        <f t="shared" si="53"/>
        <v/>
      </c>
      <c r="U93" s="50"/>
      <c r="V93" s="51"/>
      <c r="W93" s="52" t="e">
        <f t="shared" si="40"/>
        <v>#VALUE!</v>
      </c>
      <c r="X93" s="53"/>
      <c r="Y93" s="53"/>
      <c r="Z93" s="53"/>
      <c r="AA93" s="48" t="e">
        <f>INDEX([1]!VISITORS[INSECT ORDER], MATCH(X93,[1]!VISITORS[NAME USED],0))</f>
        <v>#REF!</v>
      </c>
      <c r="AB93" s="48" t="e">
        <f t="shared" si="41"/>
        <v>#REF!</v>
      </c>
      <c r="AC93" s="54" t="e">
        <f t="shared" si="42"/>
        <v>#VALUE!</v>
      </c>
      <c r="AD93" s="55" t="str">
        <f t="shared" si="54"/>
        <v/>
      </c>
      <c r="AE93" s="55"/>
      <c r="AF93" s="55"/>
      <c r="AG93" s="56" t="str">
        <f t="shared" si="55"/>
        <v/>
      </c>
      <c r="AH93" s="57" t="str">
        <f t="shared" si="56"/>
        <v/>
      </c>
      <c r="AI93" s="56"/>
      <c r="AJ93" s="57" t="str">
        <f t="shared" si="57"/>
        <v/>
      </c>
      <c r="AK93" s="56"/>
      <c r="AL93" s="57" t="str">
        <f t="shared" si="58"/>
        <v/>
      </c>
      <c r="AM93" s="56"/>
      <c r="AN93" s="57" t="str">
        <f t="shared" si="43"/>
        <v/>
      </c>
      <c r="AO93" s="56"/>
      <c r="AP93" s="57" t="str">
        <f t="shared" si="44"/>
        <v/>
      </c>
      <c r="AQ93" s="56"/>
      <c r="AR93" s="57" t="str">
        <f t="shared" si="45"/>
        <v/>
      </c>
      <c r="AS93" s="56"/>
      <c r="AT93" s="57" t="str">
        <f t="shared" si="46"/>
        <v/>
      </c>
      <c r="AU93" s="58"/>
      <c r="AV93" s="59"/>
      <c r="AW93" s="59"/>
      <c r="AX93" s="60"/>
      <c r="AY93" s="61" t="str">
        <f t="shared" si="59"/>
        <v/>
      </c>
      <c r="AZ93" s="62" t="str">
        <f t="shared" si="47"/>
        <v/>
      </c>
      <c r="BA93" s="61" t="str">
        <f t="shared" si="48"/>
        <v/>
      </c>
      <c r="BB93" s="62" t="str">
        <f t="shared" si="49"/>
        <v/>
      </c>
    </row>
    <row r="94" spans="1:54" s="3" customFormat="1" hidden="1" x14ac:dyDescent="0.35">
      <c r="A94" s="73">
        <f t="shared" si="33"/>
        <v>2019</v>
      </c>
      <c r="B94" s="73" t="str">
        <f t="shared" si="34"/>
        <v>Nov</v>
      </c>
      <c r="C94" s="74">
        <f t="shared" si="50"/>
        <v>16</v>
      </c>
      <c r="D94" s="75">
        <f t="shared" si="35"/>
        <v>17</v>
      </c>
      <c r="E94" s="76">
        <f t="shared" si="36"/>
        <v>17</v>
      </c>
      <c r="F94" s="80"/>
      <c r="G94" s="83"/>
      <c r="H94" s="69" t="str">
        <f t="shared" si="51"/>
        <v>Senbur6_20191116_17_00</v>
      </c>
      <c r="I94" s="70">
        <f t="shared" si="60"/>
        <v>1</v>
      </c>
      <c r="J94" s="77" t="str">
        <f t="shared" si="60"/>
        <v>Senecio</v>
      </c>
      <c r="K94" s="77" t="str">
        <f t="shared" si="60"/>
        <v>burtoni</v>
      </c>
      <c r="L94" s="78">
        <f t="shared" si="60"/>
        <v>6</v>
      </c>
      <c r="M94" s="78">
        <f t="shared" si="60"/>
        <v>12</v>
      </c>
      <c r="N94" s="72">
        <f t="shared" si="60"/>
        <v>0</v>
      </c>
      <c r="O94" s="45"/>
      <c r="P94" s="46" t="str">
        <f t="shared" si="37"/>
        <v/>
      </c>
      <c r="Q94" s="47" t="str">
        <f t="shared" si="38"/>
        <v/>
      </c>
      <c r="R94" s="48" t="e">
        <f t="shared" si="39"/>
        <v>#VALUE!</v>
      </c>
      <c r="S94" s="49" t="e">
        <f t="shared" si="32"/>
        <v>#VALUE!</v>
      </c>
      <c r="T94" s="48" t="str">
        <f t="shared" si="53"/>
        <v/>
      </c>
      <c r="U94" s="50"/>
      <c r="V94" s="51"/>
      <c r="W94" s="52" t="e">
        <f t="shared" si="40"/>
        <v>#VALUE!</v>
      </c>
      <c r="X94" s="53"/>
      <c r="Y94" s="53"/>
      <c r="Z94" s="53"/>
      <c r="AA94" s="48" t="e">
        <f>INDEX([1]!VISITORS[INSECT ORDER], MATCH(X94,[1]!VISITORS[NAME USED],0))</f>
        <v>#REF!</v>
      </c>
      <c r="AB94" s="48" t="e">
        <f t="shared" si="41"/>
        <v>#REF!</v>
      </c>
      <c r="AC94" s="54" t="e">
        <f t="shared" si="42"/>
        <v>#VALUE!</v>
      </c>
      <c r="AD94" s="55" t="str">
        <f t="shared" si="54"/>
        <v/>
      </c>
      <c r="AE94" s="55"/>
      <c r="AF94" s="55"/>
      <c r="AG94" s="56" t="str">
        <f t="shared" si="55"/>
        <v/>
      </c>
      <c r="AH94" s="57" t="str">
        <f t="shared" si="56"/>
        <v/>
      </c>
      <c r="AI94" s="56"/>
      <c r="AJ94" s="57" t="str">
        <f t="shared" si="57"/>
        <v/>
      </c>
      <c r="AK94" s="56"/>
      <c r="AL94" s="57" t="str">
        <f t="shared" si="58"/>
        <v/>
      </c>
      <c r="AM94" s="56"/>
      <c r="AN94" s="57" t="str">
        <f t="shared" si="43"/>
        <v/>
      </c>
      <c r="AO94" s="56"/>
      <c r="AP94" s="57" t="str">
        <f t="shared" si="44"/>
        <v/>
      </c>
      <c r="AQ94" s="56"/>
      <c r="AR94" s="57" t="str">
        <f t="shared" si="45"/>
        <v/>
      </c>
      <c r="AS94" s="56"/>
      <c r="AT94" s="57" t="str">
        <f t="shared" si="46"/>
        <v/>
      </c>
      <c r="AU94" s="58"/>
      <c r="AV94" s="59"/>
      <c r="AW94" s="59"/>
      <c r="AX94" s="60"/>
      <c r="AY94" s="61" t="str">
        <f t="shared" si="59"/>
        <v/>
      </c>
      <c r="AZ94" s="62" t="str">
        <f t="shared" si="47"/>
        <v/>
      </c>
      <c r="BA94" s="61" t="str">
        <f t="shared" si="48"/>
        <v/>
      </c>
      <c r="BB94" s="62" t="str">
        <f t="shared" si="49"/>
        <v/>
      </c>
    </row>
    <row r="95" spans="1:54" s="3" customFormat="1" hidden="1" x14ac:dyDescent="0.35">
      <c r="A95" s="73">
        <f t="shared" si="33"/>
        <v>2019</v>
      </c>
      <c r="B95" s="73" t="str">
        <f t="shared" si="34"/>
        <v>Nov</v>
      </c>
      <c r="C95" s="74">
        <f t="shared" si="50"/>
        <v>16</v>
      </c>
      <c r="D95" s="75">
        <f t="shared" si="35"/>
        <v>17</v>
      </c>
      <c r="E95" s="76">
        <f t="shared" si="36"/>
        <v>18</v>
      </c>
      <c r="F95" s="80"/>
      <c r="G95" s="83"/>
      <c r="H95" s="69" t="str">
        <f t="shared" si="51"/>
        <v>Senbur6_20191116_17_00</v>
      </c>
      <c r="I95" s="70">
        <f t="shared" si="60"/>
        <v>1</v>
      </c>
      <c r="J95" s="77" t="str">
        <f t="shared" si="60"/>
        <v>Senecio</v>
      </c>
      <c r="K95" s="77" t="str">
        <f t="shared" si="60"/>
        <v>burtoni</v>
      </c>
      <c r="L95" s="78">
        <f t="shared" si="60"/>
        <v>6</v>
      </c>
      <c r="M95" s="78">
        <f t="shared" si="60"/>
        <v>12</v>
      </c>
      <c r="N95" s="72">
        <f t="shared" si="60"/>
        <v>0</v>
      </c>
      <c r="O95" s="45"/>
      <c r="P95" s="46" t="str">
        <f t="shared" si="37"/>
        <v/>
      </c>
      <c r="Q95" s="47" t="str">
        <f t="shared" si="38"/>
        <v/>
      </c>
      <c r="R95" s="48" t="e">
        <f t="shared" si="39"/>
        <v>#VALUE!</v>
      </c>
      <c r="S95" s="49" t="e">
        <f t="shared" si="32"/>
        <v>#VALUE!</v>
      </c>
      <c r="T95" s="48" t="str">
        <f t="shared" si="53"/>
        <v/>
      </c>
      <c r="U95" s="50"/>
      <c r="V95" s="51"/>
      <c r="W95" s="52" t="e">
        <f t="shared" si="40"/>
        <v>#VALUE!</v>
      </c>
      <c r="X95" s="53"/>
      <c r="Y95" s="53"/>
      <c r="Z95" s="53"/>
      <c r="AA95" s="48" t="e">
        <f>INDEX([1]!VISITORS[INSECT ORDER], MATCH(X95,[1]!VISITORS[NAME USED],0))</f>
        <v>#REF!</v>
      </c>
      <c r="AB95" s="48" t="e">
        <f t="shared" si="41"/>
        <v>#REF!</v>
      </c>
      <c r="AC95" s="54" t="e">
        <f t="shared" si="42"/>
        <v>#VALUE!</v>
      </c>
      <c r="AD95" s="55" t="str">
        <f t="shared" si="54"/>
        <v/>
      </c>
      <c r="AE95" s="55"/>
      <c r="AF95" s="55"/>
      <c r="AG95" s="56" t="str">
        <f t="shared" si="55"/>
        <v/>
      </c>
      <c r="AH95" s="57" t="str">
        <f t="shared" si="56"/>
        <v/>
      </c>
      <c r="AI95" s="56"/>
      <c r="AJ95" s="57" t="str">
        <f t="shared" si="57"/>
        <v/>
      </c>
      <c r="AK95" s="56"/>
      <c r="AL95" s="57" t="str">
        <f t="shared" si="58"/>
        <v/>
      </c>
      <c r="AM95" s="56"/>
      <c r="AN95" s="57" t="str">
        <f t="shared" si="43"/>
        <v/>
      </c>
      <c r="AO95" s="56"/>
      <c r="AP95" s="57" t="str">
        <f t="shared" si="44"/>
        <v/>
      </c>
      <c r="AQ95" s="56"/>
      <c r="AR95" s="57" t="str">
        <f t="shared" si="45"/>
        <v/>
      </c>
      <c r="AS95" s="56"/>
      <c r="AT95" s="57" t="str">
        <f t="shared" si="46"/>
        <v/>
      </c>
      <c r="AU95" s="58"/>
      <c r="AV95" s="59"/>
      <c r="AW95" s="59"/>
      <c r="AX95" s="60"/>
      <c r="AY95" s="61" t="str">
        <f t="shared" si="59"/>
        <v/>
      </c>
      <c r="AZ95" s="62" t="str">
        <f t="shared" si="47"/>
        <v/>
      </c>
      <c r="BA95" s="61" t="str">
        <f t="shared" si="48"/>
        <v/>
      </c>
      <c r="BB95" s="62" t="str">
        <f t="shared" si="49"/>
        <v/>
      </c>
    </row>
    <row r="96" spans="1:54" s="3" customFormat="1" hidden="1" x14ac:dyDescent="0.35">
      <c r="A96" s="73">
        <f t="shared" si="33"/>
        <v>2019</v>
      </c>
      <c r="B96" s="73" t="str">
        <f t="shared" si="34"/>
        <v>Nov</v>
      </c>
      <c r="C96" s="74">
        <f t="shared" si="50"/>
        <v>16</v>
      </c>
      <c r="D96" s="75">
        <f t="shared" si="35"/>
        <v>17</v>
      </c>
      <c r="E96" s="76">
        <f t="shared" si="36"/>
        <v>19</v>
      </c>
      <c r="F96" s="80"/>
      <c r="G96" s="83"/>
      <c r="H96" s="69" t="str">
        <f t="shared" si="51"/>
        <v>Senbur6_20191116_17_00</v>
      </c>
      <c r="I96" s="70">
        <f t="shared" si="60"/>
        <v>1</v>
      </c>
      <c r="J96" s="77" t="str">
        <f t="shared" si="60"/>
        <v>Senecio</v>
      </c>
      <c r="K96" s="77" t="str">
        <f t="shared" si="60"/>
        <v>burtoni</v>
      </c>
      <c r="L96" s="78">
        <f t="shared" si="60"/>
        <v>6</v>
      </c>
      <c r="M96" s="78">
        <f t="shared" si="60"/>
        <v>12</v>
      </c>
      <c r="N96" s="72">
        <f t="shared" si="60"/>
        <v>0</v>
      </c>
      <c r="O96" s="45"/>
      <c r="P96" s="46" t="str">
        <f t="shared" si="37"/>
        <v/>
      </c>
      <c r="Q96" s="47" t="str">
        <f t="shared" si="38"/>
        <v/>
      </c>
      <c r="R96" s="48" t="e">
        <f t="shared" si="39"/>
        <v>#VALUE!</v>
      </c>
      <c r="S96" s="49" t="e">
        <f t="shared" si="32"/>
        <v>#VALUE!</v>
      </c>
      <c r="T96" s="48" t="str">
        <f t="shared" si="53"/>
        <v/>
      </c>
      <c r="U96" s="50"/>
      <c r="V96" s="51"/>
      <c r="W96" s="52" t="e">
        <f t="shared" si="40"/>
        <v>#VALUE!</v>
      </c>
      <c r="X96" s="53"/>
      <c r="Y96" s="53"/>
      <c r="Z96" s="53"/>
      <c r="AA96" s="48" t="e">
        <f>INDEX([1]!VISITORS[INSECT ORDER], MATCH(X96,[1]!VISITORS[NAME USED],0))</f>
        <v>#REF!</v>
      </c>
      <c r="AB96" s="48" t="e">
        <f t="shared" si="41"/>
        <v>#REF!</v>
      </c>
      <c r="AC96" s="54" t="e">
        <f t="shared" si="42"/>
        <v>#VALUE!</v>
      </c>
      <c r="AD96" s="55" t="str">
        <f t="shared" si="54"/>
        <v/>
      </c>
      <c r="AE96" s="55"/>
      <c r="AF96" s="55"/>
      <c r="AG96" s="56" t="str">
        <f t="shared" si="55"/>
        <v/>
      </c>
      <c r="AH96" s="57" t="str">
        <f t="shared" si="56"/>
        <v/>
      </c>
      <c r="AI96" s="56"/>
      <c r="AJ96" s="57" t="str">
        <f t="shared" si="57"/>
        <v/>
      </c>
      <c r="AK96" s="56"/>
      <c r="AL96" s="57" t="str">
        <f t="shared" si="58"/>
        <v/>
      </c>
      <c r="AM96" s="56"/>
      <c r="AN96" s="57" t="str">
        <f t="shared" si="43"/>
        <v/>
      </c>
      <c r="AO96" s="56"/>
      <c r="AP96" s="57" t="str">
        <f t="shared" si="44"/>
        <v/>
      </c>
      <c r="AQ96" s="56"/>
      <c r="AR96" s="57" t="str">
        <f t="shared" si="45"/>
        <v/>
      </c>
      <c r="AS96" s="56"/>
      <c r="AT96" s="57" t="str">
        <f t="shared" si="46"/>
        <v/>
      </c>
      <c r="AU96" s="58"/>
      <c r="AV96" s="59"/>
      <c r="AW96" s="59"/>
      <c r="AX96" s="60"/>
      <c r="AY96" s="61" t="str">
        <f t="shared" si="59"/>
        <v/>
      </c>
      <c r="AZ96" s="62" t="str">
        <f t="shared" si="47"/>
        <v/>
      </c>
      <c r="BA96" s="61" t="str">
        <f t="shared" si="48"/>
        <v/>
      </c>
      <c r="BB96" s="62" t="str">
        <f t="shared" si="49"/>
        <v/>
      </c>
    </row>
    <row r="97" spans="1:54" s="3" customFormat="1" hidden="1" x14ac:dyDescent="0.35">
      <c r="A97" s="73">
        <f t="shared" si="33"/>
        <v>2019</v>
      </c>
      <c r="B97" s="73" t="str">
        <f t="shared" si="34"/>
        <v>Nov</v>
      </c>
      <c r="C97" s="74">
        <f t="shared" si="50"/>
        <v>16</v>
      </c>
      <c r="D97" s="75">
        <f t="shared" si="35"/>
        <v>17</v>
      </c>
      <c r="E97" s="76">
        <f t="shared" si="36"/>
        <v>20</v>
      </c>
      <c r="F97" s="80"/>
      <c r="G97" s="83"/>
      <c r="H97" s="69" t="str">
        <f t="shared" si="51"/>
        <v>Senbur6_20191116_17_00</v>
      </c>
      <c r="I97" s="70">
        <f t="shared" si="60"/>
        <v>1</v>
      </c>
      <c r="J97" s="77" t="str">
        <f t="shared" si="60"/>
        <v>Senecio</v>
      </c>
      <c r="K97" s="77" t="str">
        <f t="shared" si="60"/>
        <v>burtoni</v>
      </c>
      <c r="L97" s="78">
        <f t="shared" si="60"/>
        <v>6</v>
      </c>
      <c r="M97" s="78">
        <f t="shared" si="60"/>
        <v>12</v>
      </c>
      <c r="N97" s="72">
        <f t="shared" si="60"/>
        <v>0</v>
      </c>
      <c r="O97" s="45"/>
      <c r="P97" s="46" t="str">
        <f t="shared" si="37"/>
        <v/>
      </c>
      <c r="Q97" s="47" t="str">
        <f t="shared" si="38"/>
        <v/>
      </c>
      <c r="R97" s="48" t="e">
        <f t="shared" si="39"/>
        <v>#VALUE!</v>
      </c>
      <c r="S97" s="49" t="e">
        <f t="shared" si="32"/>
        <v>#VALUE!</v>
      </c>
      <c r="T97" s="48" t="str">
        <f t="shared" si="53"/>
        <v/>
      </c>
      <c r="U97" s="50"/>
      <c r="V97" s="51"/>
      <c r="W97" s="52" t="e">
        <f t="shared" si="40"/>
        <v>#VALUE!</v>
      </c>
      <c r="X97" s="53"/>
      <c r="Y97" s="53"/>
      <c r="Z97" s="53"/>
      <c r="AA97" s="48" t="e">
        <f>INDEX([1]!VISITORS[INSECT ORDER], MATCH(X97,[1]!VISITORS[NAME USED],0))</f>
        <v>#REF!</v>
      </c>
      <c r="AB97" s="48" t="e">
        <f t="shared" si="41"/>
        <v>#REF!</v>
      </c>
      <c r="AC97" s="54" t="e">
        <f t="shared" si="42"/>
        <v>#VALUE!</v>
      </c>
      <c r="AD97" s="55" t="str">
        <f t="shared" si="54"/>
        <v/>
      </c>
      <c r="AE97" s="55"/>
      <c r="AF97" s="55"/>
      <c r="AG97" s="56" t="str">
        <f t="shared" si="55"/>
        <v/>
      </c>
      <c r="AH97" s="57" t="str">
        <f t="shared" si="56"/>
        <v/>
      </c>
      <c r="AI97" s="56"/>
      <c r="AJ97" s="57" t="str">
        <f t="shared" si="57"/>
        <v/>
      </c>
      <c r="AK97" s="56"/>
      <c r="AL97" s="57" t="str">
        <f t="shared" si="58"/>
        <v/>
      </c>
      <c r="AM97" s="56"/>
      <c r="AN97" s="57" t="str">
        <f t="shared" si="43"/>
        <v/>
      </c>
      <c r="AO97" s="56"/>
      <c r="AP97" s="57" t="str">
        <f t="shared" si="44"/>
        <v/>
      </c>
      <c r="AQ97" s="56"/>
      <c r="AR97" s="57" t="str">
        <f t="shared" si="45"/>
        <v/>
      </c>
      <c r="AS97" s="56"/>
      <c r="AT97" s="57" t="str">
        <f t="shared" si="46"/>
        <v/>
      </c>
      <c r="AU97" s="58"/>
      <c r="AV97" s="59"/>
      <c r="AW97" s="59"/>
      <c r="AX97" s="60"/>
      <c r="AY97" s="61" t="str">
        <f t="shared" si="59"/>
        <v/>
      </c>
      <c r="AZ97" s="62" t="str">
        <f t="shared" si="47"/>
        <v/>
      </c>
      <c r="BA97" s="61" t="str">
        <f t="shared" si="48"/>
        <v/>
      </c>
      <c r="BB97" s="62" t="str">
        <f t="shared" si="49"/>
        <v/>
      </c>
    </row>
    <row r="98" spans="1:54" s="3" customFormat="1" hidden="1" x14ac:dyDescent="0.35">
      <c r="A98" s="73">
        <f t="shared" si="33"/>
        <v>2019</v>
      </c>
      <c r="B98" s="73" t="str">
        <f t="shared" si="34"/>
        <v>Nov</v>
      </c>
      <c r="C98" s="74">
        <f t="shared" si="50"/>
        <v>16</v>
      </c>
      <c r="D98" s="75">
        <f t="shared" si="35"/>
        <v>17</v>
      </c>
      <c r="E98" s="76">
        <f t="shared" si="36"/>
        <v>21</v>
      </c>
      <c r="F98" s="80">
        <v>4</v>
      </c>
      <c r="G98" s="83"/>
      <c r="H98" s="69" t="str">
        <f t="shared" si="51"/>
        <v>Senbur6_20191116_17_00</v>
      </c>
      <c r="I98" s="70">
        <f t="shared" si="60"/>
        <v>1</v>
      </c>
      <c r="J98" s="77" t="str">
        <f t="shared" si="60"/>
        <v>Senecio</v>
      </c>
      <c r="K98" s="77" t="str">
        <f t="shared" si="60"/>
        <v>burtoni</v>
      </c>
      <c r="L98" s="78">
        <f t="shared" si="60"/>
        <v>6</v>
      </c>
      <c r="M98" s="78">
        <f t="shared" si="60"/>
        <v>12</v>
      </c>
      <c r="N98" s="72">
        <f t="shared" si="60"/>
        <v>0</v>
      </c>
      <c r="O98" s="45"/>
      <c r="P98" s="46">
        <f t="shared" si="37"/>
        <v>1</v>
      </c>
      <c r="Q98" s="47" t="str">
        <f t="shared" si="38"/>
        <v>17:21:04</v>
      </c>
      <c r="R98" s="48" t="str">
        <f t="shared" si="39"/>
        <v>21:04</v>
      </c>
      <c r="S98" s="49">
        <f t="shared" si="32"/>
        <v>45356</v>
      </c>
      <c r="T98" s="48">
        <v>5</v>
      </c>
      <c r="U98" s="50">
        <v>57</v>
      </c>
      <c r="V98" s="51">
        <v>0</v>
      </c>
      <c r="W98" s="52" t="e">
        <f t="shared" si="40"/>
        <v>#VALUE!</v>
      </c>
      <c r="X98" s="53" t="s">
        <v>65</v>
      </c>
      <c r="Y98" s="97" t="s">
        <v>83</v>
      </c>
      <c r="Z98" s="97"/>
      <c r="AA98" s="48" t="s">
        <v>66</v>
      </c>
      <c r="AB98" s="48" t="str">
        <f t="shared" si="41"/>
        <v>NA</v>
      </c>
      <c r="AC98" s="54">
        <f t="shared" si="42"/>
        <v>0</v>
      </c>
      <c r="AD98" s="55">
        <f t="shared" si="54"/>
        <v>1</v>
      </c>
      <c r="AE98" s="55"/>
      <c r="AF98" s="55"/>
      <c r="AG98" s="56">
        <v>1</v>
      </c>
      <c r="AH98" s="57">
        <f t="shared" si="56"/>
        <v>45356</v>
      </c>
      <c r="AI98" s="56"/>
      <c r="AJ98" s="57" t="str">
        <f t="shared" si="57"/>
        <v/>
      </c>
      <c r="AK98" s="56"/>
      <c r="AL98" s="57" t="str">
        <f t="shared" si="58"/>
        <v/>
      </c>
      <c r="AM98" s="56"/>
      <c r="AN98" s="57" t="str">
        <f t="shared" si="43"/>
        <v/>
      </c>
      <c r="AO98" s="56"/>
      <c r="AP98" s="57" t="str">
        <f t="shared" si="44"/>
        <v/>
      </c>
      <c r="AQ98" s="56"/>
      <c r="AR98" s="57" t="str">
        <f t="shared" si="45"/>
        <v/>
      </c>
      <c r="AS98" s="56"/>
      <c r="AT98" s="57" t="str">
        <f t="shared" si="46"/>
        <v/>
      </c>
      <c r="AU98" s="58"/>
      <c r="AV98" s="59"/>
      <c r="AW98" s="59"/>
      <c r="AX98" s="60"/>
      <c r="AY98" s="61">
        <v>1</v>
      </c>
      <c r="AZ98" s="62">
        <f t="shared" si="47"/>
        <v>1</v>
      </c>
      <c r="BA98" s="61">
        <f t="shared" si="48"/>
        <v>0</v>
      </c>
      <c r="BB98" s="62" t="str">
        <f t="shared" si="49"/>
        <v/>
      </c>
    </row>
    <row r="99" spans="1:54" s="3" customFormat="1" hidden="1" x14ac:dyDescent="0.35">
      <c r="A99" s="73">
        <f t="shared" si="33"/>
        <v>2019</v>
      </c>
      <c r="B99" s="73" t="str">
        <f t="shared" si="34"/>
        <v>Nov</v>
      </c>
      <c r="C99" s="74">
        <f t="shared" si="50"/>
        <v>16</v>
      </c>
      <c r="D99" s="75">
        <f t="shared" si="35"/>
        <v>17</v>
      </c>
      <c r="E99" s="76">
        <f t="shared" si="36"/>
        <v>22</v>
      </c>
      <c r="F99" s="80"/>
      <c r="G99" s="83"/>
      <c r="H99" s="69" t="str">
        <f t="shared" si="51"/>
        <v>Senbur6_20191116_17_00</v>
      </c>
      <c r="I99" s="70">
        <f t="shared" si="60"/>
        <v>1</v>
      </c>
      <c r="J99" s="77" t="str">
        <f t="shared" si="60"/>
        <v>Senecio</v>
      </c>
      <c r="K99" s="77" t="str">
        <f t="shared" si="60"/>
        <v>burtoni</v>
      </c>
      <c r="L99" s="78">
        <f t="shared" si="60"/>
        <v>6</v>
      </c>
      <c r="M99" s="78">
        <f t="shared" si="60"/>
        <v>12</v>
      </c>
      <c r="N99" s="72">
        <f t="shared" si="60"/>
        <v>0</v>
      </c>
      <c r="O99" s="45"/>
      <c r="P99" s="46" t="str">
        <f t="shared" si="37"/>
        <v/>
      </c>
      <c r="Q99" s="47" t="str">
        <f t="shared" si="38"/>
        <v/>
      </c>
      <c r="R99" s="48" t="e">
        <f t="shared" si="39"/>
        <v>#VALUE!</v>
      </c>
      <c r="S99" s="49" t="e">
        <f t="shared" si="32"/>
        <v>#VALUE!</v>
      </c>
      <c r="T99" s="48" t="str">
        <f t="shared" si="53"/>
        <v/>
      </c>
      <c r="U99" s="50"/>
      <c r="V99" s="51"/>
      <c r="W99" s="52" t="e">
        <f t="shared" si="40"/>
        <v>#VALUE!</v>
      </c>
      <c r="X99" s="53"/>
      <c r="Y99" s="53"/>
      <c r="Z99" s="53"/>
      <c r="AA99" s="48" t="e">
        <f>INDEX([1]!VISITORS[INSECT ORDER], MATCH(X99,[1]!VISITORS[NAME USED],0))</f>
        <v>#REF!</v>
      </c>
      <c r="AB99" s="48" t="e">
        <f t="shared" si="41"/>
        <v>#REF!</v>
      </c>
      <c r="AC99" s="54" t="e">
        <f t="shared" si="42"/>
        <v>#VALUE!</v>
      </c>
      <c r="AD99" s="55" t="str">
        <f t="shared" si="54"/>
        <v/>
      </c>
      <c r="AE99" s="55"/>
      <c r="AF99" s="55"/>
      <c r="AG99" s="56" t="str">
        <f t="shared" si="55"/>
        <v/>
      </c>
      <c r="AH99" s="57" t="str">
        <f t="shared" si="56"/>
        <v/>
      </c>
      <c r="AI99" s="56"/>
      <c r="AJ99" s="57" t="str">
        <f t="shared" si="57"/>
        <v/>
      </c>
      <c r="AK99" s="56"/>
      <c r="AL99" s="57" t="str">
        <f t="shared" si="58"/>
        <v/>
      </c>
      <c r="AM99" s="56"/>
      <c r="AN99" s="57" t="str">
        <f t="shared" si="43"/>
        <v/>
      </c>
      <c r="AO99" s="56"/>
      <c r="AP99" s="57" t="str">
        <f t="shared" si="44"/>
        <v/>
      </c>
      <c r="AQ99" s="56"/>
      <c r="AR99" s="57" t="str">
        <f t="shared" si="45"/>
        <v/>
      </c>
      <c r="AS99" s="56"/>
      <c r="AT99" s="57" t="str">
        <f t="shared" si="46"/>
        <v/>
      </c>
      <c r="AU99" s="58"/>
      <c r="AV99" s="59"/>
      <c r="AW99" s="59"/>
      <c r="AX99" s="60"/>
      <c r="AY99" s="61" t="str">
        <f t="shared" si="59"/>
        <v/>
      </c>
      <c r="AZ99" s="62" t="str">
        <f t="shared" si="47"/>
        <v/>
      </c>
      <c r="BA99" s="61" t="str">
        <f t="shared" si="48"/>
        <v/>
      </c>
      <c r="BB99" s="62" t="str">
        <f t="shared" si="49"/>
        <v/>
      </c>
    </row>
    <row r="100" spans="1:54" s="3" customFormat="1" hidden="1" x14ac:dyDescent="0.35">
      <c r="A100" s="73">
        <f t="shared" si="33"/>
        <v>2019</v>
      </c>
      <c r="B100" s="73" t="str">
        <f t="shared" si="34"/>
        <v>Nov</v>
      </c>
      <c r="C100" s="74">
        <f t="shared" si="50"/>
        <v>16</v>
      </c>
      <c r="D100" s="75">
        <f t="shared" si="35"/>
        <v>17</v>
      </c>
      <c r="E100" s="76">
        <f t="shared" si="36"/>
        <v>23</v>
      </c>
      <c r="F100" s="80"/>
      <c r="G100" s="83"/>
      <c r="H100" s="69" t="str">
        <f t="shared" si="51"/>
        <v>Senbur6_20191116_17_00</v>
      </c>
      <c r="I100" s="70">
        <f t="shared" si="60"/>
        <v>1</v>
      </c>
      <c r="J100" s="77" t="str">
        <f t="shared" si="60"/>
        <v>Senecio</v>
      </c>
      <c r="K100" s="77" t="str">
        <f t="shared" si="60"/>
        <v>burtoni</v>
      </c>
      <c r="L100" s="78">
        <f t="shared" si="60"/>
        <v>6</v>
      </c>
      <c r="M100" s="78">
        <f t="shared" si="60"/>
        <v>12</v>
      </c>
      <c r="N100" s="72">
        <f t="shared" si="60"/>
        <v>0</v>
      </c>
      <c r="O100" s="45"/>
      <c r="P100" s="46" t="str">
        <f t="shared" si="37"/>
        <v/>
      </c>
      <c r="Q100" s="47" t="str">
        <f t="shared" si="38"/>
        <v/>
      </c>
      <c r="R100" s="48" t="e">
        <f t="shared" si="39"/>
        <v>#VALUE!</v>
      </c>
      <c r="S100" s="49" t="e">
        <f t="shared" si="32"/>
        <v>#VALUE!</v>
      </c>
      <c r="T100" s="48" t="str">
        <f t="shared" si="53"/>
        <v/>
      </c>
      <c r="U100" s="50"/>
      <c r="V100" s="51"/>
      <c r="W100" s="52"/>
      <c r="X100" s="53"/>
      <c r="Y100" s="53"/>
      <c r="Z100" s="53"/>
      <c r="AA100" s="48"/>
      <c r="AB100" s="48" t="str">
        <f t="shared" si="41"/>
        <v/>
      </c>
      <c r="AC100" s="54" t="e">
        <f t="shared" si="42"/>
        <v>#VALUE!</v>
      </c>
      <c r="AD100" s="55"/>
      <c r="AE100" s="55"/>
      <c r="AF100" s="55"/>
      <c r="AG100" s="56"/>
      <c r="AH100" s="57"/>
      <c r="AI100" s="56"/>
      <c r="AJ100" s="57"/>
      <c r="AK100" s="56"/>
      <c r="AL100" s="57"/>
      <c r="AM100" s="56"/>
      <c r="AN100" s="57"/>
      <c r="AO100" s="56"/>
      <c r="AP100" s="57" t="str">
        <f t="shared" si="44"/>
        <v/>
      </c>
      <c r="AQ100" s="56"/>
      <c r="AR100" s="57" t="str">
        <f t="shared" si="45"/>
        <v/>
      </c>
      <c r="AS100" s="56"/>
      <c r="AT100" s="57" t="str">
        <f t="shared" si="46"/>
        <v/>
      </c>
      <c r="AU100" s="58"/>
      <c r="AV100" s="59"/>
      <c r="AW100" s="59"/>
      <c r="AX100" s="60"/>
      <c r="AY100" s="61"/>
      <c r="AZ100" s="62" t="str">
        <f t="shared" si="47"/>
        <v/>
      </c>
      <c r="BA100" s="61" t="str">
        <f t="shared" si="48"/>
        <v/>
      </c>
      <c r="BB100" s="62" t="str">
        <f t="shared" si="49"/>
        <v/>
      </c>
    </row>
    <row r="101" spans="1:54" s="3" customFormat="1" hidden="1" x14ac:dyDescent="0.35">
      <c r="A101" s="73">
        <f t="shared" si="33"/>
        <v>2019</v>
      </c>
      <c r="B101" s="73" t="str">
        <f t="shared" si="34"/>
        <v>Nov</v>
      </c>
      <c r="C101" s="74">
        <f t="shared" si="50"/>
        <v>16</v>
      </c>
      <c r="D101" s="75">
        <f t="shared" si="35"/>
        <v>17</v>
      </c>
      <c r="E101" s="76">
        <f t="shared" si="36"/>
        <v>24</v>
      </c>
      <c r="F101" s="80"/>
      <c r="G101" s="83"/>
      <c r="H101" s="69" t="str">
        <f t="shared" si="51"/>
        <v>Senbur6_20191116_17_00</v>
      </c>
      <c r="I101" s="70">
        <f t="shared" ref="I101:N116" si="61">I100</f>
        <v>1</v>
      </c>
      <c r="J101" s="77" t="str">
        <f t="shared" si="61"/>
        <v>Senecio</v>
      </c>
      <c r="K101" s="77" t="str">
        <f t="shared" si="61"/>
        <v>burtoni</v>
      </c>
      <c r="L101" s="78">
        <f t="shared" si="61"/>
        <v>6</v>
      </c>
      <c r="M101" s="78">
        <f t="shared" si="61"/>
        <v>12</v>
      </c>
      <c r="N101" s="72">
        <f t="shared" si="61"/>
        <v>0</v>
      </c>
      <c r="O101" s="45"/>
      <c r="P101" s="46" t="str">
        <f t="shared" si="37"/>
        <v/>
      </c>
      <c r="Q101" s="47" t="str">
        <f t="shared" si="38"/>
        <v/>
      </c>
      <c r="R101" s="48" t="e">
        <f t="shared" si="39"/>
        <v>#VALUE!</v>
      </c>
      <c r="S101" s="49" t="e">
        <f t="shared" si="32"/>
        <v>#VALUE!</v>
      </c>
      <c r="T101" s="48" t="str">
        <f t="shared" si="53"/>
        <v/>
      </c>
      <c r="U101" s="50"/>
      <c r="V101" s="51"/>
      <c r="W101" s="52" t="e">
        <f t="shared" si="40"/>
        <v>#VALUE!</v>
      </c>
      <c r="X101" s="53"/>
      <c r="Y101" s="53"/>
      <c r="Z101" s="53"/>
      <c r="AA101" s="48" t="e">
        <f>INDEX([1]!VISITORS[INSECT ORDER], MATCH(X101,[1]!VISITORS[NAME USED],0))</f>
        <v>#REF!</v>
      </c>
      <c r="AB101" s="48" t="e">
        <f t="shared" si="41"/>
        <v>#REF!</v>
      </c>
      <c r="AC101" s="54" t="e">
        <f t="shared" si="42"/>
        <v>#VALUE!</v>
      </c>
      <c r="AD101" s="55" t="str">
        <f t="shared" si="54"/>
        <v/>
      </c>
      <c r="AE101" s="55"/>
      <c r="AF101" s="55"/>
      <c r="AG101" s="56" t="str">
        <f t="shared" si="55"/>
        <v/>
      </c>
      <c r="AH101" s="57" t="str">
        <f t="shared" si="56"/>
        <v/>
      </c>
      <c r="AI101" s="56"/>
      <c r="AJ101" s="57" t="str">
        <f t="shared" si="57"/>
        <v/>
      </c>
      <c r="AK101" s="56"/>
      <c r="AL101" s="57" t="str">
        <f t="shared" si="58"/>
        <v/>
      </c>
      <c r="AM101" s="56"/>
      <c r="AN101" s="57" t="str">
        <f t="shared" si="43"/>
        <v/>
      </c>
      <c r="AO101" s="56"/>
      <c r="AP101" s="57" t="str">
        <f t="shared" si="44"/>
        <v/>
      </c>
      <c r="AQ101" s="56"/>
      <c r="AR101" s="57" t="str">
        <f t="shared" si="45"/>
        <v/>
      </c>
      <c r="AS101" s="56"/>
      <c r="AT101" s="57" t="str">
        <f t="shared" si="46"/>
        <v/>
      </c>
      <c r="AU101" s="58"/>
      <c r="AV101" s="59"/>
      <c r="AW101" s="59"/>
      <c r="AX101" s="60"/>
      <c r="AY101" s="61" t="str">
        <f t="shared" si="59"/>
        <v/>
      </c>
      <c r="AZ101" s="62" t="str">
        <f t="shared" si="47"/>
        <v/>
      </c>
      <c r="BA101" s="61" t="str">
        <f t="shared" si="48"/>
        <v/>
      </c>
      <c r="BB101" s="62" t="str">
        <f t="shared" si="49"/>
        <v/>
      </c>
    </row>
    <row r="102" spans="1:54" s="3" customFormat="1" hidden="1" x14ac:dyDescent="0.35">
      <c r="A102" s="73">
        <f t="shared" si="33"/>
        <v>2019</v>
      </c>
      <c r="B102" s="73" t="str">
        <f t="shared" si="34"/>
        <v>Nov</v>
      </c>
      <c r="C102" s="74">
        <f t="shared" si="50"/>
        <v>16</v>
      </c>
      <c r="D102" s="75">
        <f t="shared" si="35"/>
        <v>17</v>
      </c>
      <c r="E102" s="76">
        <f t="shared" si="36"/>
        <v>25</v>
      </c>
      <c r="F102" s="80"/>
      <c r="G102" s="83"/>
      <c r="H102" s="69" t="str">
        <f t="shared" si="51"/>
        <v>Senbur6_20191116_17_00</v>
      </c>
      <c r="I102" s="70">
        <f t="shared" si="61"/>
        <v>1</v>
      </c>
      <c r="J102" s="77" t="str">
        <f t="shared" si="61"/>
        <v>Senecio</v>
      </c>
      <c r="K102" s="77" t="str">
        <f t="shared" si="61"/>
        <v>burtoni</v>
      </c>
      <c r="L102" s="78">
        <f t="shared" si="61"/>
        <v>6</v>
      </c>
      <c r="M102" s="78">
        <f t="shared" si="61"/>
        <v>12</v>
      </c>
      <c r="N102" s="72">
        <f t="shared" si="61"/>
        <v>0</v>
      </c>
      <c r="O102" s="45"/>
      <c r="P102" s="46" t="str">
        <f t="shared" si="37"/>
        <v/>
      </c>
      <c r="Q102" s="47" t="str">
        <f t="shared" si="38"/>
        <v/>
      </c>
      <c r="R102" s="48" t="e">
        <f t="shared" si="39"/>
        <v>#VALUE!</v>
      </c>
      <c r="S102" s="49" t="e">
        <f t="shared" si="32"/>
        <v>#VALUE!</v>
      </c>
      <c r="T102" s="48" t="str">
        <f t="shared" si="53"/>
        <v/>
      </c>
      <c r="U102" s="50"/>
      <c r="V102" s="51"/>
      <c r="W102" s="52" t="e">
        <f t="shared" si="40"/>
        <v>#VALUE!</v>
      </c>
      <c r="X102" s="53"/>
      <c r="Y102" s="53"/>
      <c r="Z102" s="53"/>
      <c r="AA102" s="48" t="e">
        <f>INDEX([1]!VISITORS[INSECT ORDER], MATCH(X102,[1]!VISITORS[NAME USED],0))</f>
        <v>#REF!</v>
      </c>
      <c r="AB102" s="48" t="e">
        <f t="shared" si="41"/>
        <v>#REF!</v>
      </c>
      <c r="AC102" s="54" t="e">
        <f t="shared" si="42"/>
        <v>#VALUE!</v>
      </c>
      <c r="AD102" s="55" t="str">
        <f t="shared" si="54"/>
        <v/>
      </c>
      <c r="AE102" s="55"/>
      <c r="AF102" s="55"/>
      <c r="AG102" s="56" t="str">
        <f t="shared" si="55"/>
        <v/>
      </c>
      <c r="AH102" s="57" t="str">
        <f t="shared" si="56"/>
        <v/>
      </c>
      <c r="AI102" s="56"/>
      <c r="AJ102" s="57" t="str">
        <f t="shared" si="57"/>
        <v/>
      </c>
      <c r="AK102" s="56"/>
      <c r="AL102" s="57" t="str">
        <f t="shared" si="58"/>
        <v/>
      </c>
      <c r="AM102" s="56"/>
      <c r="AN102" s="57" t="str">
        <f t="shared" si="43"/>
        <v/>
      </c>
      <c r="AO102" s="56"/>
      <c r="AP102" s="57" t="str">
        <f t="shared" si="44"/>
        <v/>
      </c>
      <c r="AQ102" s="56"/>
      <c r="AR102" s="57" t="str">
        <f t="shared" si="45"/>
        <v/>
      </c>
      <c r="AS102" s="56"/>
      <c r="AT102" s="57" t="str">
        <f t="shared" si="46"/>
        <v/>
      </c>
      <c r="AU102" s="58"/>
      <c r="AV102" s="59"/>
      <c r="AW102" s="59"/>
      <c r="AX102" s="60"/>
      <c r="AY102" s="61" t="str">
        <f t="shared" si="59"/>
        <v/>
      </c>
      <c r="AZ102" s="62" t="str">
        <f t="shared" si="47"/>
        <v/>
      </c>
      <c r="BA102" s="61" t="str">
        <f t="shared" si="48"/>
        <v/>
      </c>
      <c r="BB102" s="62" t="str">
        <f t="shared" si="49"/>
        <v/>
      </c>
    </row>
    <row r="103" spans="1:54" s="3" customFormat="1" hidden="1" x14ac:dyDescent="0.35">
      <c r="A103" s="73">
        <f t="shared" si="33"/>
        <v>2019</v>
      </c>
      <c r="B103" s="73" t="str">
        <f t="shared" si="34"/>
        <v>Nov</v>
      </c>
      <c r="C103" s="74">
        <f t="shared" si="50"/>
        <v>16</v>
      </c>
      <c r="D103" s="75">
        <f t="shared" si="35"/>
        <v>17</v>
      </c>
      <c r="E103" s="76">
        <f t="shared" si="36"/>
        <v>26</v>
      </c>
      <c r="F103" s="80"/>
      <c r="G103" s="83"/>
      <c r="H103" s="69" t="str">
        <f t="shared" si="51"/>
        <v>Senbur6_20191116_17_00</v>
      </c>
      <c r="I103" s="70">
        <f t="shared" si="61"/>
        <v>1</v>
      </c>
      <c r="J103" s="77" t="str">
        <f t="shared" si="61"/>
        <v>Senecio</v>
      </c>
      <c r="K103" s="77" t="str">
        <f t="shared" si="61"/>
        <v>burtoni</v>
      </c>
      <c r="L103" s="78">
        <f t="shared" si="61"/>
        <v>6</v>
      </c>
      <c r="M103" s="78">
        <f t="shared" si="61"/>
        <v>12</v>
      </c>
      <c r="N103" s="72">
        <f t="shared" si="61"/>
        <v>0</v>
      </c>
      <c r="O103" s="45"/>
      <c r="P103" s="46" t="str">
        <f t="shared" si="37"/>
        <v/>
      </c>
      <c r="Q103" s="47" t="str">
        <f t="shared" si="38"/>
        <v/>
      </c>
      <c r="R103" s="48" t="e">
        <f t="shared" si="39"/>
        <v>#VALUE!</v>
      </c>
      <c r="S103" s="49" t="e">
        <f t="shared" si="32"/>
        <v>#VALUE!</v>
      </c>
      <c r="T103" s="48" t="str">
        <f t="shared" si="53"/>
        <v/>
      </c>
      <c r="U103" s="50"/>
      <c r="V103" s="51"/>
      <c r="W103" s="52" t="e">
        <f t="shared" si="40"/>
        <v>#VALUE!</v>
      </c>
      <c r="X103" s="53"/>
      <c r="Y103" s="53"/>
      <c r="Z103" s="53"/>
      <c r="AA103" s="48" t="e">
        <f>INDEX([1]!VISITORS[INSECT ORDER], MATCH(X103,[1]!VISITORS[NAME USED],0))</f>
        <v>#REF!</v>
      </c>
      <c r="AB103" s="48" t="e">
        <f t="shared" si="41"/>
        <v>#REF!</v>
      </c>
      <c r="AC103" s="54" t="e">
        <f t="shared" si="42"/>
        <v>#VALUE!</v>
      </c>
      <c r="AD103" s="55" t="str">
        <f t="shared" si="54"/>
        <v/>
      </c>
      <c r="AE103" s="55"/>
      <c r="AF103" s="55"/>
      <c r="AG103" s="56" t="str">
        <f t="shared" si="55"/>
        <v/>
      </c>
      <c r="AH103" s="57" t="str">
        <f t="shared" si="56"/>
        <v/>
      </c>
      <c r="AI103" s="56"/>
      <c r="AJ103" s="57" t="str">
        <f t="shared" si="57"/>
        <v/>
      </c>
      <c r="AK103" s="56"/>
      <c r="AL103" s="57" t="str">
        <f t="shared" si="58"/>
        <v/>
      </c>
      <c r="AM103" s="56"/>
      <c r="AN103" s="57" t="str">
        <f t="shared" si="43"/>
        <v/>
      </c>
      <c r="AO103" s="56"/>
      <c r="AP103" s="57" t="str">
        <f t="shared" si="44"/>
        <v/>
      </c>
      <c r="AQ103" s="56"/>
      <c r="AR103" s="57" t="str">
        <f t="shared" si="45"/>
        <v/>
      </c>
      <c r="AS103" s="56"/>
      <c r="AT103" s="57" t="str">
        <f t="shared" si="46"/>
        <v/>
      </c>
      <c r="AU103" s="58"/>
      <c r="AV103" s="59"/>
      <c r="AW103" s="59"/>
      <c r="AX103" s="60"/>
      <c r="AY103" s="61" t="str">
        <f t="shared" si="59"/>
        <v/>
      </c>
      <c r="AZ103" s="62" t="str">
        <f t="shared" si="47"/>
        <v/>
      </c>
      <c r="BA103" s="61" t="str">
        <f t="shared" si="48"/>
        <v/>
      </c>
      <c r="BB103" s="62" t="str">
        <f t="shared" si="49"/>
        <v/>
      </c>
    </row>
    <row r="104" spans="1:54" s="3" customFormat="1" hidden="1" x14ac:dyDescent="0.35">
      <c r="A104" s="73">
        <f t="shared" si="33"/>
        <v>2019</v>
      </c>
      <c r="B104" s="73" t="str">
        <f t="shared" si="34"/>
        <v>Nov</v>
      </c>
      <c r="C104" s="74">
        <f t="shared" si="50"/>
        <v>16</v>
      </c>
      <c r="D104" s="75">
        <f t="shared" si="35"/>
        <v>17</v>
      </c>
      <c r="E104" s="76">
        <f t="shared" si="36"/>
        <v>27</v>
      </c>
      <c r="F104" s="80"/>
      <c r="G104" s="83"/>
      <c r="H104" s="69" t="str">
        <f t="shared" si="51"/>
        <v>Senbur6_20191116_17_00</v>
      </c>
      <c r="I104" s="70">
        <f t="shared" si="61"/>
        <v>1</v>
      </c>
      <c r="J104" s="77" t="str">
        <f t="shared" si="61"/>
        <v>Senecio</v>
      </c>
      <c r="K104" s="77" t="str">
        <f t="shared" si="61"/>
        <v>burtoni</v>
      </c>
      <c r="L104" s="78">
        <f t="shared" si="61"/>
        <v>6</v>
      </c>
      <c r="M104" s="78">
        <f t="shared" si="61"/>
        <v>12</v>
      </c>
      <c r="N104" s="72">
        <f t="shared" si="61"/>
        <v>0</v>
      </c>
      <c r="O104" s="45"/>
      <c r="P104" s="46" t="str">
        <f t="shared" si="37"/>
        <v/>
      </c>
      <c r="Q104" s="47" t="str">
        <f t="shared" si="38"/>
        <v/>
      </c>
      <c r="R104" s="48" t="e">
        <f t="shared" si="39"/>
        <v>#VALUE!</v>
      </c>
      <c r="S104" s="49" t="e">
        <f t="shared" si="32"/>
        <v>#VALUE!</v>
      </c>
      <c r="T104" s="48" t="str">
        <f t="shared" si="53"/>
        <v/>
      </c>
      <c r="U104" s="50"/>
      <c r="V104" s="51"/>
      <c r="W104" s="52" t="e">
        <f t="shared" si="40"/>
        <v>#VALUE!</v>
      </c>
      <c r="X104" s="53"/>
      <c r="Y104" s="53"/>
      <c r="Z104" s="53"/>
      <c r="AA104" s="48" t="e">
        <f>INDEX([1]!VISITORS[INSECT ORDER], MATCH(X104,[1]!VISITORS[NAME USED],0))</f>
        <v>#REF!</v>
      </c>
      <c r="AB104" s="48" t="e">
        <f t="shared" si="41"/>
        <v>#REF!</v>
      </c>
      <c r="AC104" s="54" t="e">
        <f t="shared" si="42"/>
        <v>#VALUE!</v>
      </c>
      <c r="AD104" s="55" t="str">
        <f t="shared" si="54"/>
        <v/>
      </c>
      <c r="AE104" s="55"/>
      <c r="AF104" s="55"/>
      <c r="AG104" s="56" t="str">
        <f t="shared" si="55"/>
        <v/>
      </c>
      <c r="AH104" s="57" t="str">
        <f t="shared" si="56"/>
        <v/>
      </c>
      <c r="AI104" s="56"/>
      <c r="AJ104" s="57" t="str">
        <f t="shared" si="57"/>
        <v/>
      </c>
      <c r="AK104" s="56"/>
      <c r="AL104" s="57" t="str">
        <f t="shared" si="58"/>
        <v/>
      </c>
      <c r="AM104" s="56"/>
      <c r="AN104" s="57" t="str">
        <f t="shared" si="43"/>
        <v/>
      </c>
      <c r="AO104" s="56"/>
      <c r="AP104" s="57" t="str">
        <f t="shared" si="44"/>
        <v/>
      </c>
      <c r="AQ104" s="56"/>
      <c r="AR104" s="57" t="str">
        <f t="shared" si="45"/>
        <v/>
      </c>
      <c r="AS104" s="56"/>
      <c r="AT104" s="57" t="str">
        <f t="shared" si="46"/>
        <v/>
      </c>
      <c r="AU104" s="58"/>
      <c r="AV104" s="59"/>
      <c r="AW104" s="59"/>
      <c r="AX104" s="60"/>
      <c r="AY104" s="61" t="str">
        <f t="shared" si="59"/>
        <v/>
      </c>
      <c r="AZ104" s="62" t="str">
        <f t="shared" si="47"/>
        <v/>
      </c>
      <c r="BA104" s="61" t="str">
        <f t="shared" si="48"/>
        <v/>
      </c>
      <c r="BB104" s="62" t="str">
        <f t="shared" si="49"/>
        <v/>
      </c>
    </row>
    <row r="105" spans="1:54" s="3" customFormat="1" hidden="1" x14ac:dyDescent="0.35">
      <c r="A105" s="73">
        <f t="shared" si="33"/>
        <v>2019</v>
      </c>
      <c r="B105" s="73" t="str">
        <f t="shared" si="34"/>
        <v>Nov</v>
      </c>
      <c r="C105" s="74">
        <f t="shared" si="50"/>
        <v>16</v>
      </c>
      <c r="D105" s="75">
        <f t="shared" si="35"/>
        <v>17</v>
      </c>
      <c r="E105" s="76">
        <f t="shared" si="36"/>
        <v>28</v>
      </c>
      <c r="F105" s="80"/>
      <c r="G105" s="83"/>
      <c r="H105" s="69" t="str">
        <f t="shared" si="51"/>
        <v>Senbur6_20191116_17_00</v>
      </c>
      <c r="I105" s="70">
        <f t="shared" si="61"/>
        <v>1</v>
      </c>
      <c r="J105" s="77" t="str">
        <f t="shared" si="61"/>
        <v>Senecio</v>
      </c>
      <c r="K105" s="77" t="str">
        <f t="shared" si="61"/>
        <v>burtoni</v>
      </c>
      <c r="L105" s="78">
        <f t="shared" si="61"/>
        <v>6</v>
      </c>
      <c r="M105" s="78">
        <f t="shared" si="61"/>
        <v>12</v>
      </c>
      <c r="N105" s="72">
        <f t="shared" si="61"/>
        <v>0</v>
      </c>
      <c r="O105" s="45"/>
      <c r="P105" s="46" t="str">
        <f t="shared" si="37"/>
        <v/>
      </c>
      <c r="Q105" s="47" t="str">
        <f t="shared" si="38"/>
        <v/>
      </c>
      <c r="R105" s="48" t="e">
        <f t="shared" si="39"/>
        <v>#VALUE!</v>
      </c>
      <c r="S105" s="49" t="e">
        <f t="shared" si="32"/>
        <v>#VALUE!</v>
      </c>
      <c r="T105" s="48" t="str">
        <f t="shared" si="53"/>
        <v/>
      </c>
      <c r="U105" s="50"/>
      <c r="V105" s="51"/>
      <c r="W105" s="52" t="e">
        <f t="shared" si="40"/>
        <v>#VALUE!</v>
      </c>
      <c r="X105" s="53"/>
      <c r="Y105" s="53"/>
      <c r="Z105" s="53"/>
      <c r="AA105" s="48" t="e">
        <f>INDEX([1]!VISITORS[INSECT ORDER], MATCH(X105,[1]!VISITORS[NAME USED],0))</f>
        <v>#REF!</v>
      </c>
      <c r="AB105" s="48" t="e">
        <f t="shared" si="41"/>
        <v>#REF!</v>
      </c>
      <c r="AC105" s="54" t="e">
        <f t="shared" si="42"/>
        <v>#VALUE!</v>
      </c>
      <c r="AD105" s="55" t="str">
        <f t="shared" si="54"/>
        <v/>
      </c>
      <c r="AE105" s="55"/>
      <c r="AF105" s="55"/>
      <c r="AG105" s="56" t="str">
        <f t="shared" si="55"/>
        <v/>
      </c>
      <c r="AH105" s="57" t="str">
        <f t="shared" si="56"/>
        <v/>
      </c>
      <c r="AI105" s="56"/>
      <c r="AJ105" s="57" t="str">
        <f t="shared" si="57"/>
        <v/>
      </c>
      <c r="AK105" s="56"/>
      <c r="AL105" s="57" t="str">
        <f t="shared" si="58"/>
        <v/>
      </c>
      <c r="AM105" s="56"/>
      <c r="AN105" s="57" t="str">
        <f t="shared" si="43"/>
        <v/>
      </c>
      <c r="AO105" s="56"/>
      <c r="AP105" s="57" t="str">
        <f t="shared" si="44"/>
        <v/>
      </c>
      <c r="AQ105" s="56"/>
      <c r="AR105" s="57" t="str">
        <f t="shared" si="45"/>
        <v/>
      </c>
      <c r="AS105" s="56"/>
      <c r="AT105" s="57" t="str">
        <f t="shared" si="46"/>
        <v/>
      </c>
      <c r="AU105" s="58"/>
      <c r="AV105" s="59"/>
      <c r="AW105" s="59"/>
      <c r="AX105" s="60"/>
      <c r="AY105" s="61" t="str">
        <f t="shared" si="59"/>
        <v/>
      </c>
      <c r="AZ105" s="62" t="str">
        <f t="shared" si="47"/>
        <v/>
      </c>
      <c r="BA105" s="61" t="str">
        <f t="shared" si="48"/>
        <v/>
      </c>
      <c r="BB105" s="62" t="str">
        <f t="shared" si="49"/>
        <v/>
      </c>
    </row>
    <row r="106" spans="1:54" s="3" customFormat="1" hidden="1" x14ac:dyDescent="0.35">
      <c r="A106" s="73">
        <f t="shared" si="33"/>
        <v>2019</v>
      </c>
      <c r="B106" s="73" t="str">
        <f t="shared" si="34"/>
        <v>Nov</v>
      </c>
      <c r="C106" s="74">
        <f t="shared" si="50"/>
        <v>16</v>
      </c>
      <c r="D106" s="75">
        <f t="shared" si="35"/>
        <v>17</v>
      </c>
      <c r="E106" s="76">
        <f t="shared" si="36"/>
        <v>29</v>
      </c>
      <c r="F106" s="80"/>
      <c r="G106" s="83"/>
      <c r="H106" s="69" t="str">
        <f t="shared" si="51"/>
        <v>Senbur6_20191116_17_00</v>
      </c>
      <c r="I106" s="70">
        <f t="shared" si="61"/>
        <v>1</v>
      </c>
      <c r="J106" s="77" t="str">
        <f t="shared" si="61"/>
        <v>Senecio</v>
      </c>
      <c r="K106" s="77" t="str">
        <f t="shared" si="61"/>
        <v>burtoni</v>
      </c>
      <c r="L106" s="78">
        <f t="shared" si="61"/>
        <v>6</v>
      </c>
      <c r="M106" s="78">
        <f t="shared" si="61"/>
        <v>12</v>
      </c>
      <c r="N106" s="72">
        <f t="shared" si="61"/>
        <v>0</v>
      </c>
      <c r="O106" s="45"/>
      <c r="P106" s="46" t="str">
        <f t="shared" si="37"/>
        <v/>
      </c>
      <c r="Q106" s="47" t="str">
        <f t="shared" si="38"/>
        <v/>
      </c>
      <c r="R106" s="48" t="e">
        <f t="shared" si="39"/>
        <v>#VALUE!</v>
      </c>
      <c r="S106" s="49" t="e">
        <f t="shared" si="32"/>
        <v>#VALUE!</v>
      </c>
      <c r="T106" s="48" t="str">
        <f t="shared" si="53"/>
        <v/>
      </c>
      <c r="U106" s="50"/>
      <c r="V106" s="51"/>
      <c r="W106" s="52" t="e">
        <f t="shared" si="40"/>
        <v>#VALUE!</v>
      </c>
      <c r="X106" s="53"/>
      <c r="Y106" s="53"/>
      <c r="Z106" s="53"/>
      <c r="AA106" s="48" t="e">
        <f>INDEX([1]!VISITORS[INSECT ORDER], MATCH(X106,[1]!VISITORS[NAME USED],0))</f>
        <v>#REF!</v>
      </c>
      <c r="AB106" s="48" t="e">
        <f t="shared" si="41"/>
        <v>#REF!</v>
      </c>
      <c r="AC106" s="54" t="e">
        <f t="shared" si="42"/>
        <v>#VALUE!</v>
      </c>
      <c r="AD106" s="55" t="str">
        <f t="shared" si="54"/>
        <v/>
      </c>
      <c r="AE106" s="55"/>
      <c r="AF106" s="55"/>
      <c r="AG106" s="56" t="str">
        <f t="shared" si="55"/>
        <v/>
      </c>
      <c r="AH106" s="57" t="str">
        <f t="shared" si="56"/>
        <v/>
      </c>
      <c r="AI106" s="56"/>
      <c r="AJ106" s="57" t="str">
        <f t="shared" si="57"/>
        <v/>
      </c>
      <c r="AK106" s="56"/>
      <c r="AL106" s="57" t="str">
        <f t="shared" si="58"/>
        <v/>
      </c>
      <c r="AM106" s="56"/>
      <c r="AN106" s="57" t="str">
        <f t="shared" si="43"/>
        <v/>
      </c>
      <c r="AO106" s="56"/>
      <c r="AP106" s="57" t="str">
        <f t="shared" si="44"/>
        <v/>
      </c>
      <c r="AQ106" s="56"/>
      <c r="AR106" s="57" t="str">
        <f t="shared" si="45"/>
        <v/>
      </c>
      <c r="AS106" s="56"/>
      <c r="AT106" s="57" t="str">
        <f t="shared" si="46"/>
        <v/>
      </c>
      <c r="AU106" s="58"/>
      <c r="AV106" s="59"/>
      <c r="AW106" s="59"/>
      <c r="AX106" s="60"/>
      <c r="AY106" s="61" t="str">
        <f t="shared" si="59"/>
        <v/>
      </c>
      <c r="AZ106" s="62" t="str">
        <f t="shared" si="47"/>
        <v/>
      </c>
      <c r="BA106" s="61" t="str">
        <f t="shared" si="48"/>
        <v/>
      </c>
      <c r="BB106" s="62" t="str">
        <f t="shared" si="49"/>
        <v/>
      </c>
    </row>
    <row r="107" spans="1:54" s="3" customFormat="1" hidden="1" x14ac:dyDescent="0.35">
      <c r="A107" s="73">
        <f t="shared" si="33"/>
        <v>2019</v>
      </c>
      <c r="B107" s="73" t="str">
        <f t="shared" si="34"/>
        <v>Nov</v>
      </c>
      <c r="C107" s="74">
        <f t="shared" si="50"/>
        <v>16</v>
      </c>
      <c r="D107" s="75">
        <f t="shared" si="35"/>
        <v>17</v>
      </c>
      <c r="E107" s="76">
        <f t="shared" si="36"/>
        <v>30</v>
      </c>
      <c r="F107" s="80"/>
      <c r="G107" s="83"/>
      <c r="H107" s="69" t="str">
        <f t="shared" si="51"/>
        <v>Senbur6_20191116_17_00</v>
      </c>
      <c r="I107" s="70">
        <f t="shared" si="61"/>
        <v>1</v>
      </c>
      <c r="J107" s="77" t="str">
        <f t="shared" si="61"/>
        <v>Senecio</v>
      </c>
      <c r="K107" s="77" t="str">
        <f t="shared" si="61"/>
        <v>burtoni</v>
      </c>
      <c r="L107" s="78">
        <f t="shared" si="61"/>
        <v>6</v>
      </c>
      <c r="M107" s="78">
        <f t="shared" si="61"/>
        <v>12</v>
      </c>
      <c r="N107" s="72">
        <f t="shared" si="61"/>
        <v>0</v>
      </c>
      <c r="O107" s="45"/>
      <c r="P107" s="46" t="str">
        <f t="shared" si="37"/>
        <v/>
      </c>
      <c r="Q107" s="47" t="str">
        <f t="shared" si="38"/>
        <v/>
      </c>
      <c r="R107" s="48" t="e">
        <f t="shared" si="39"/>
        <v>#VALUE!</v>
      </c>
      <c r="S107" s="49" t="e">
        <f t="shared" si="32"/>
        <v>#VALUE!</v>
      </c>
      <c r="T107" s="48" t="str">
        <f t="shared" si="53"/>
        <v/>
      </c>
      <c r="U107" s="50"/>
      <c r="V107" s="51"/>
      <c r="W107" s="52" t="e">
        <f t="shared" si="40"/>
        <v>#VALUE!</v>
      </c>
      <c r="X107" s="53"/>
      <c r="Y107" s="53"/>
      <c r="Z107" s="53"/>
      <c r="AA107" s="48" t="e">
        <f>INDEX([1]!VISITORS[INSECT ORDER], MATCH(X107,[1]!VISITORS[NAME USED],0))</f>
        <v>#REF!</v>
      </c>
      <c r="AB107" s="48" t="e">
        <f t="shared" si="41"/>
        <v>#REF!</v>
      </c>
      <c r="AC107" s="54" t="e">
        <f t="shared" si="42"/>
        <v>#VALUE!</v>
      </c>
      <c r="AD107" s="55" t="str">
        <f t="shared" si="54"/>
        <v/>
      </c>
      <c r="AE107" s="55"/>
      <c r="AF107" s="55"/>
      <c r="AG107" s="56" t="str">
        <f t="shared" si="55"/>
        <v/>
      </c>
      <c r="AH107" s="57" t="str">
        <f t="shared" si="56"/>
        <v/>
      </c>
      <c r="AI107" s="56"/>
      <c r="AJ107" s="57" t="str">
        <f t="shared" si="57"/>
        <v/>
      </c>
      <c r="AK107" s="56"/>
      <c r="AL107" s="57" t="str">
        <f t="shared" si="58"/>
        <v/>
      </c>
      <c r="AM107" s="56"/>
      <c r="AN107" s="57" t="str">
        <f t="shared" si="43"/>
        <v/>
      </c>
      <c r="AO107" s="56"/>
      <c r="AP107" s="57" t="str">
        <f t="shared" si="44"/>
        <v/>
      </c>
      <c r="AQ107" s="56"/>
      <c r="AR107" s="57" t="str">
        <f t="shared" si="45"/>
        <v/>
      </c>
      <c r="AS107" s="56"/>
      <c r="AT107" s="57" t="str">
        <f t="shared" si="46"/>
        <v/>
      </c>
      <c r="AU107" s="58"/>
      <c r="AV107" s="59"/>
      <c r="AW107" s="59"/>
      <c r="AX107" s="60"/>
      <c r="AY107" s="61" t="str">
        <f t="shared" si="59"/>
        <v/>
      </c>
      <c r="AZ107" s="62" t="str">
        <f t="shared" si="47"/>
        <v/>
      </c>
      <c r="BA107" s="61" t="str">
        <f t="shared" si="48"/>
        <v/>
      </c>
      <c r="BB107" s="62" t="str">
        <f t="shared" si="49"/>
        <v/>
      </c>
    </row>
    <row r="108" spans="1:54" s="3" customFormat="1" hidden="1" x14ac:dyDescent="0.35">
      <c r="A108" s="73">
        <f t="shared" si="33"/>
        <v>2019</v>
      </c>
      <c r="B108" s="73" t="str">
        <f t="shared" si="34"/>
        <v>Nov</v>
      </c>
      <c r="C108" s="74">
        <f t="shared" si="50"/>
        <v>16</v>
      </c>
      <c r="D108" s="75">
        <f t="shared" si="35"/>
        <v>17</v>
      </c>
      <c r="E108" s="76">
        <f t="shared" si="36"/>
        <v>31</v>
      </c>
      <c r="F108" s="80"/>
      <c r="G108" s="83"/>
      <c r="H108" s="69" t="str">
        <f t="shared" si="51"/>
        <v>Senbur6_20191116_17_00</v>
      </c>
      <c r="I108" s="70">
        <f t="shared" si="61"/>
        <v>1</v>
      </c>
      <c r="J108" s="77" t="str">
        <f t="shared" si="61"/>
        <v>Senecio</v>
      </c>
      <c r="K108" s="77" t="str">
        <f t="shared" si="61"/>
        <v>burtoni</v>
      </c>
      <c r="L108" s="78">
        <f t="shared" si="61"/>
        <v>6</v>
      </c>
      <c r="M108" s="78">
        <f t="shared" si="61"/>
        <v>12</v>
      </c>
      <c r="N108" s="72">
        <f t="shared" si="61"/>
        <v>0</v>
      </c>
      <c r="O108" s="45"/>
      <c r="P108" s="46" t="str">
        <f t="shared" si="37"/>
        <v/>
      </c>
      <c r="Q108" s="47" t="str">
        <f t="shared" si="38"/>
        <v/>
      </c>
      <c r="R108" s="48" t="e">
        <f t="shared" si="39"/>
        <v>#VALUE!</v>
      </c>
      <c r="S108" s="49" t="e">
        <f t="shared" si="32"/>
        <v>#VALUE!</v>
      </c>
      <c r="T108" s="48" t="str">
        <f t="shared" si="53"/>
        <v/>
      </c>
      <c r="U108" s="50"/>
      <c r="V108" s="51"/>
      <c r="W108" s="52" t="e">
        <f t="shared" si="40"/>
        <v>#VALUE!</v>
      </c>
      <c r="X108" s="53"/>
      <c r="Y108" s="53"/>
      <c r="Z108" s="53"/>
      <c r="AA108" s="48" t="e">
        <f>INDEX([1]!VISITORS[INSECT ORDER], MATCH(X108,[1]!VISITORS[NAME USED],0))</f>
        <v>#REF!</v>
      </c>
      <c r="AB108" s="48" t="e">
        <f t="shared" si="41"/>
        <v>#REF!</v>
      </c>
      <c r="AC108" s="54" t="e">
        <f t="shared" si="42"/>
        <v>#VALUE!</v>
      </c>
      <c r="AD108" s="55" t="str">
        <f t="shared" si="54"/>
        <v/>
      </c>
      <c r="AE108" s="55"/>
      <c r="AF108" s="55"/>
      <c r="AG108" s="56" t="str">
        <f t="shared" si="55"/>
        <v/>
      </c>
      <c r="AH108" s="57" t="str">
        <f t="shared" si="56"/>
        <v/>
      </c>
      <c r="AI108" s="56"/>
      <c r="AJ108" s="57" t="str">
        <f t="shared" si="57"/>
        <v/>
      </c>
      <c r="AK108" s="56"/>
      <c r="AL108" s="57" t="str">
        <f t="shared" si="58"/>
        <v/>
      </c>
      <c r="AM108" s="56"/>
      <c r="AN108" s="57" t="str">
        <f t="shared" si="43"/>
        <v/>
      </c>
      <c r="AO108" s="56"/>
      <c r="AP108" s="57" t="str">
        <f t="shared" si="44"/>
        <v/>
      </c>
      <c r="AQ108" s="56"/>
      <c r="AR108" s="57" t="str">
        <f t="shared" si="45"/>
        <v/>
      </c>
      <c r="AS108" s="56"/>
      <c r="AT108" s="57" t="str">
        <f t="shared" si="46"/>
        <v/>
      </c>
      <c r="AU108" s="58"/>
      <c r="AV108" s="59"/>
      <c r="AW108" s="59"/>
      <c r="AX108" s="60"/>
      <c r="AY108" s="61" t="str">
        <f t="shared" si="59"/>
        <v/>
      </c>
      <c r="AZ108" s="62" t="str">
        <f t="shared" si="47"/>
        <v/>
      </c>
      <c r="BA108" s="61" t="str">
        <f t="shared" si="48"/>
        <v/>
      </c>
      <c r="BB108" s="62" t="str">
        <f t="shared" si="49"/>
        <v/>
      </c>
    </row>
    <row r="109" spans="1:54" s="3" customFormat="1" hidden="1" x14ac:dyDescent="0.35">
      <c r="A109" s="73">
        <f t="shared" si="33"/>
        <v>2019</v>
      </c>
      <c r="B109" s="73" t="str">
        <f t="shared" si="34"/>
        <v>Nov</v>
      </c>
      <c r="C109" s="74">
        <f t="shared" si="50"/>
        <v>16</v>
      </c>
      <c r="D109" s="75">
        <f t="shared" si="35"/>
        <v>17</v>
      </c>
      <c r="E109" s="76">
        <f t="shared" si="36"/>
        <v>32</v>
      </c>
      <c r="F109" s="80"/>
      <c r="G109" s="83"/>
      <c r="H109" s="69" t="str">
        <f t="shared" si="51"/>
        <v>Senbur6_20191116_17_00</v>
      </c>
      <c r="I109" s="70">
        <f t="shared" si="61"/>
        <v>1</v>
      </c>
      <c r="J109" s="77" t="str">
        <f t="shared" si="61"/>
        <v>Senecio</v>
      </c>
      <c r="K109" s="77" t="str">
        <f t="shared" si="61"/>
        <v>burtoni</v>
      </c>
      <c r="L109" s="78">
        <f t="shared" si="61"/>
        <v>6</v>
      </c>
      <c r="M109" s="78">
        <f t="shared" si="61"/>
        <v>12</v>
      </c>
      <c r="N109" s="72">
        <f t="shared" si="61"/>
        <v>0</v>
      </c>
      <c r="O109" s="45"/>
      <c r="P109" s="46" t="str">
        <f t="shared" si="37"/>
        <v/>
      </c>
      <c r="Q109" s="47" t="str">
        <f t="shared" si="38"/>
        <v/>
      </c>
      <c r="R109" s="48" t="e">
        <f t="shared" si="39"/>
        <v>#VALUE!</v>
      </c>
      <c r="S109" s="49" t="e">
        <f t="shared" si="32"/>
        <v>#VALUE!</v>
      </c>
      <c r="T109" s="48" t="str">
        <f t="shared" si="53"/>
        <v/>
      </c>
      <c r="U109" s="50"/>
      <c r="V109" s="51"/>
      <c r="W109" s="52" t="e">
        <f t="shared" si="40"/>
        <v>#VALUE!</v>
      </c>
      <c r="X109" s="53"/>
      <c r="Y109" s="53"/>
      <c r="Z109" s="53"/>
      <c r="AA109" s="48" t="e">
        <f>INDEX([1]!VISITORS[INSECT ORDER], MATCH(X109,[1]!VISITORS[NAME USED],0))</f>
        <v>#REF!</v>
      </c>
      <c r="AB109" s="48" t="e">
        <f t="shared" si="41"/>
        <v>#REF!</v>
      </c>
      <c r="AC109" s="54" t="e">
        <f t="shared" si="42"/>
        <v>#VALUE!</v>
      </c>
      <c r="AD109" s="55" t="str">
        <f t="shared" si="54"/>
        <v/>
      </c>
      <c r="AE109" s="55"/>
      <c r="AF109" s="55"/>
      <c r="AG109" s="56" t="str">
        <f t="shared" si="55"/>
        <v/>
      </c>
      <c r="AH109" s="57" t="str">
        <f t="shared" si="56"/>
        <v/>
      </c>
      <c r="AI109" s="56"/>
      <c r="AJ109" s="57" t="str">
        <f t="shared" si="57"/>
        <v/>
      </c>
      <c r="AK109" s="56"/>
      <c r="AL109" s="57" t="str">
        <f t="shared" si="58"/>
        <v/>
      </c>
      <c r="AM109" s="56"/>
      <c r="AN109" s="57" t="str">
        <f t="shared" si="43"/>
        <v/>
      </c>
      <c r="AO109" s="56"/>
      <c r="AP109" s="57" t="str">
        <f t="shared" si="44"/>
        <v/>
      </c>
      <c r="AQ109" s="56"/>
      <c r="AR109" s="57" t="str">
        <f t="shared" si="45"/>
        <v/>
      </c>
      <c r="AS109" s="56"/>
      <c r="AT109" s="57" t="str">
        <f t="shared" si="46"/>
        <v/>
      </c>
      <c r="AU109" s="58"/>
      <c r="AV109" s="59"/>
      <c r="AW109" s="59"/>
      <c r="AX109" s="60"/>
      <c r="AY109" s="61" t="str">
        <f t="shared" si="59"/>
        <v/>
      </c>
      <c r="AZ109" s="62" t="str">
        <f t="shared" si="47"/>
        <v/>
      </c>
      <c r="BA109" s="61" t="str">
        <f t="shared" si="48"/>
        <v/>
      </c>
      <c r="BB109" s="62" t="str">
        <f t="shared" si="49"/>
        <v/>
      </c>
    </row>
    <row r="110" spans="1:54" s="3" customFormat="1" hidden="1" x14ac:dyDescent="0.35">
      <c r="A110" s="73">
        <f t="shared" si="33"/>
        <v>2019</v>
      </c>
      <c r="B110" s="73" t="str">
        <f t="shared" si="34"/>
        <v>Nov</v>
      </c>
      <c r="C110" s="74">
        <f t="shared" si="50"/>
        <v>16</v>
      </c>
      <c r="D110" s="75">
        <f t="shared" si="35"/>
        <v>17</v>
      </c>
      <c r="E110" s="76">
        <f t="shared" si="36"/>
        <v>33</v>
      </c>
      <c r="F110" s="80"/>
      <c r="G110" s="83"/>
      <c r="H110" s="69" t="str">
        <f t="shared" si="51"/>
        <v>Senbur6_20191116_17_00</v>
      </c>
      <c r="I110" s="70">
        <f t="shared" si="61"/>
        <v>1</v>
      </c>
      <c r="J110" s="77" t="str">
        <f t="shared" si="61"/>
        <v>Senecio</v>
      </c>
      <c r="K110" s="77" t="str">
        <f t="shared" si="61"/>
        <v>burtoni</v>
      </c>
      <c r="L110" s="78">
        <f t="shared" si="61"/>
        <v>6</v>
      </c>
      <c r="M110" s="78">
        <f t="shared" si="61"/>
        <v>12</v>
      </c>
      <c r="N110" s="72">
        <f t="shared" si="61"/>
        <v>0</v>
      </c>
      <c r="O110" s="45"/>
      <c r="P110" s="46" t="str">
        <f t="shared" si="37"/>
        <v/>
      </c>
      <c r="Q110" s="47" t="str">
        <f t="shared" si="38"/>
        <v/>
      </c>
      <c r="R110" s="48" t="e">
        <f t="shared" si="39"/>
        <v>#VALUE!</v>
      </c>
      <c r="S110" s="49" t="e">
        <f t="shared" si="32"/>
        <v>#VALUE!</v>
      </c>
      <c r="T110" s="48" t="str">
        <f t="shared" si="53"/>
        <v/>
      </c>
      <c r="U110" s="50"/>
      <c r="V110" s="51"/>
      <c r="W110" s="52" t="e">
        <f t="shared" si="40"/>
        <v>#VALUE!</v>
      </c>
      <c r="X110" s="53"/>
      <c r="Y110" s="53"/>
      <c r="Z110" s="53"/>
      <c r="AA110" s="48" t="e">
        <f>INDEX([1]!VISITORS[INSECT ORDER], MATCH(X110,[1]!VISITORS[NAME USED],0))</f>
        <v>#REF!</v>
      </c>
      <c r="AB110" s="48" t="e">
        <f t="shared" si="41"/>
        <v>#REF!</v>
      </c>
      <c r="AC110" s="54" t="e">
        <f t="shared" si="42"/>
        <v>#VALUE!</v>
      </c>
      <c r="AD110" s="55" t="str">
        <f t="shared" si="54"/>
        <v/>
      </c>
      <c r="AE110" s="55"/>
      <c r="AF110" s="55"/>
      <c r="AG110" s="56" t="str">
        <f t="shared" si="55"/>
        <v/>
      </c>
      <c r="AH110" s="57" t="str">
        <f t="shared" si="56"/>
        <v/>
      </c>
      <c r="AI110" s="56"/>
      <c r="AJ110" s="57" t="str">
        <f t="shared" si="57"/>
        <v/>
      </c>
      <c r="AK110" s="56"/>
      <c r="AL110" s="57" t="str">
        <f t="shared" si="58"/>
        <v/>
      </c>
      <c r="AM110" s="56"/>
      <c r="AN110" s="57" t="str">
        <f t="shared" si="43"/>
        <v/>
      </c>
      <c r="AO110" s="56"/>
      <c r="AP110" s="57" t="str">
        <f t="shared" si="44"/>
        <v/>
      </c>
      <c r="AQ110" s="56"/>
      <c r="AR110" s="57" t="str">
        <f t="shared" si="45"/>
        <v/>
      </c>
      <c r="AS110" s="56"/>
      <c r="AT110" s="57" t="str">
        <f t="shared" si="46"/>
        <v/>
      </c>
      <c r="AU110" s="58"/>
      <c r="AV110" s="59"/>
      <c r="AW110" s="59"/>
      <c r="AX110" s="60"/>
      <c r="AY110" s="61" t="str">
        <f t="shared" si="59"/>
        <v/>
      </c>
      <c r="AZ110" s="62" t="str">
        <f t="shared" si="47"/>
        <v/>
      </c>
      <c r="BA110" s="61" t="str">
        <f t="shared" si="48"/>
        <v/>
      </c>
      <c r="BB110" s="62" t="str">
        <f t="shared" si="49"/>
        <v/>
      </c>
    </row>
    <row r="111" spans="1:54" s="3" customFormat="1" hidden="1" x14ac:dyDescent="0.35">
      <c r="A111" s="73">
        <f t="shared" si="33"/>
        <v>2019</v>
      </c>
      <c r="B111" s="73" t="str">
        <f t="shared" si="34"/>
        <v>Nov</v>
      </c>
      <c r="C111" s="74">
        <f t="shared" si="50"/>
        <v>16</v>
      </c>
      <c r="D111" s="75">
        <f t="shared" si="35"/>
        <v>17</v>
      </c>
      <c r="E111" s="76">
        <f t="shared" si="36"/>
        <v>34</v>
      </c>
      <c r="F111" s="80"/>
      <c r="G111" s="83"/>
      <c r="H111" s="69" t="str">
        <f t="shared" si="51"/>
        <v>Senbur6_20191116_17_00</v>
      </c>
      <c r="I111" s="70">
        <f t="shared" si="61"/>
        <v>1</v>
      </c>
      <c r="J111" s="77" t="str">
        <f t="shared" si="61"/>
        <v>Senecio</v>
      </c>
      <c r="K111" s="77" t="str">
        <f t="shared" si="61"/>
        <v>burtoni</v>
      </c>
      <c r="L111" s="78">
        <f t="shared" si="61"/>
        <v>6</v>
      </c>
      <c r="M111" s="78">
        <f t="shared" si="61"/>
        <v>12</v>
      </c>
      <c r="N111" s="72">
        <f t="shared" si="61"/>
        <v>0</v>
      </c>
      <c r="O111" s="45"/>
      <c r="P111" s="46" t="str">
        <f t="shared" si="37"/>
        <v/>
      </c>
      <c r="Q111" s="47" t="str">
        <f t="shared" si="38"/>
        <v/>
      </c>
      <c r="R111" s="48" t="e">
        <f t="shared" si="39"/>
        <v>#VALUE!</v>
      </c>
      <c r="S111" s="49" t="e">
        <f t="shared" si="32"/>
        <v>#VALUE!</v>
      </c>
      <c r="T111" s="48" t="str">
        <f t="shared" si="53"/>
        <v/>
      </c>
      <c r="U111" s="50"/>
      <c r="V111" s="51"/>
      <c r="W111" s="52" t="e">
        <f t="shared" si="40"/>
        <v>#VALUE!</v>
      </c>
      <c r="X111" s="53"/>
      <c r="Y111" s="53"/>
      <c r="Z111" s="53"/>
      <c r="AA111" s="48" t="e">
        <f>INDEX([1]!VISITORS[INSECT ORDER], MATCH(X111,[1]!VISITORS[NAME USED],0))</f>
        <v>#REF!</v>
      </c>
      <c r="AB111" s="48" t="e">
        <f t="shared" si="41"/>
        <v>#REF!</v>
      </c>
      <c r="AC111" s="54" t="e">
        <f t="shared" si="42"/>
        <v>#VALUE!</v>
      </c>
      <c r="AD111" s="55" t="str">
        <f t="shared" si="54"/>
        <v/>
      </c>
      <c r="AE111" s="55"/>
      <c r="AF111" s="55"/>
      <c r="AG111" s="56" t="str">
        <f t="shared" si="55"/>
        <v/>
      </c>
      <c r="AH111" s="57" t="str">
        <f t="shared" si="56"/>
        <v/>
      </c>
      <c r="AI111" s="56"/>
      <c r="AJ111" s="57" t="str">
        <f t="shared" si="57"/>
        <v/>
      </c>
      <c r="AK111" s="56"/>
      <c r="AL111" s="57" t="str">
        <f t="shared" si="58"/>
        <v/>
      </c>
      <c r="AM111" s="56"/>
      <c r="AN111" s="57" t="str">
        <f t="shared" si="43"/>
        <v/>
      </c>
      <c r="AO111" s="56"/>
      <c r="AP111" s="57" t="str">
        <f t="shared" si="44"/>
        <v/>
      </c>
      <c r="AQ111" s="56"/>
      <c r="AR111" s="57" t="str">
        <f t="shared" si="45"/>
        <v/>
      </c>
      <c r="AS111" s="56"/>
      <c r="AT111" s="57" t="str">
        <f t="shared" si="46"/>
        <v/>
      </c>
      <c r="AU111" s="58"/>
      <c r="AV111" s="59"/>
      <c r="AW111" s="59"/>
      <c r="AX111" s="60"/>
      <c r="AY111" s="61" t="str">
        <f t="shared" si="59"/>
        <v/>
      </c>
      <c r="AZ111" s="62" t="str">
        <f t="shared" si="47"/>
        <v/>
      </c>
      <c r="BA111" s="61" t="str">
        <f t="shared" si="48"/>
        <v/>
      </c>
      <c r="BB111" s="62" t="str">
        <f t="shared" si="49"/>
        <v/>
      </c>
    </row>
    <row r="112" spans="1:54" s="3" customFormat="1" hidden="1" x14ac:dyDescent="0.35">
      <c r="A112" s="73">
        <f t="shared" si="33"/>
        <v>2019</v>
      </c>
      <c r="B112" s="73" t="str">
        <f t="shared" si="34"/>
        <v>Nov</v>
      </c>
      <c r="C112" s="74">
        <f t="shared" si="50"/>
        <v>16</v>
      </c>
      <c r="D112" s="75">
        <f t="shared" si="35"/>
        <v>17</v>
      </c>
      <c r="E112" s="76">
        <f t="shared" si="36"/>
        <v>35</v>
      </c>
      <c r="F112" s="80"/>
      <c r="G112" s="83"/>
      <c r="H112" s="69" t="str">
        <f t="shared" si="51"/>
        <v>Senbur6_20191116_17_00</v>
      </c>
      <c r="I112" s="70">
        <f t="shared" si="61"/>
        <v>1</v>
      </c>
      <c r="J112" s="77" t="str">
        <f t="shared" si="61"/>
        <v>Senecio</v>
      </c>
      <c r="K112" s="77" t="str">
        <f t="shared" si="61"/>
        <v>burtoni</v>
      </c>
      <c r="L112" s="78">
        <f t="shared" si="61"/>
        <v>6</v>
      </c>
      <c r="M112" s="78">
        <f t="shared" si="61"/>
        <v>12</v>
      </c>
      <c r="N112" s="72">
        <f t="shared" si="61"/>
        <v>0</v>
      </c>
      <c r="O112" s="45"/>
      <c r="P112" s="46" t="str">
        <f t="shared" si="37"/>
        <v/>
      </c>
      <c r="Q112" s="47" t="str">
        <f t="shared" si="38"/>
        <v/>
      </c>
      <c r="R112" s="48" t="e">
        <f t="shared" si="39"/>
        <v>#VALUE!</v>
      </c>
      <c r="S112" s="49" t="e">
        <f t="shared" si="32"/>
        <v>#VALUE!</v>
      </c>
      <c r="T112" s="48" t="str">
        <f t="shared" si="53"/>
        <v/>
      </c>
      <c r="U112" s="50"/>
      <c r="V112" s="51"/>
      <c r="W112" s="52" t="e">
        <f t="shared" si="40"/>
        <v>#VALUE!</v>
      </c>
      <c r="X112" s="53"/>
      <c r="Y112" s="53"/>
      <c r="Z112" s="53"/>
      <c r="AA112" s="48" t="e">
        <f>INDEX([1]!VISITORS[INSECT ORDER], MATCH(X112,[1]!VISITORS[NAME USED],0))</f>
        <v>#REF!</v>
      </c>
      <c r="AB112" s="48" t="e">
        <f t="shared" si="41"/>
        <v>#REF!</v>
      </c>
      <c r="AC112" s="54" t="e">
        <f t="shared" si="42"/>
        <v>#VALUE!</v>
      </c>
      <c r="AD112" s="55" t="str">
        <f t="shared" si="54"/>
        <v/>
      </c>
      <c r="AE112" s="55"/>
      <c r="AF112" s="55"/>
      <c r="AG112" s="56" t="str">
        <f t="shared" si="55"/>
        <v/>
      </c>
      <c r="AH112" s="57" t="str">
        <f t="shared" si="56"/>
        <v/>
      </c>
      <c r="AI112" s="56"/>
      <c r="AJ112" s="57" t="str">
        <f t="shared" si="57"/>
        <v/>
      </c>
      <c r="AK112" s="56"/>
      <c r="AL112" s="57" t="str">
        <f t="shared" si="58"/>
        <v/>
      </c>
      <c r="AM112" s="56"/>
      <c r="AN112" s="57" t="str">
        <f t="shared" si="43"/>
        <v/>
      </c>
      <c r="AO112" s="56"/>
      <c r="AP112" s="57" t="str">
        <f t="shared" si="44"/>
        <v/>
      </c>
      <c r="AQ112" s="56"/>
      <c r="AR112" s="57" t="str">
        <f t="shared" si="45"/>
        <v/>
      </c>
      <c r="AS112" s="56"/>
      <c r="AT112" s="57" t="str">
        <f t="shared" si="46"/>
        <v/>
      </c>
      <c r="AU112" s="58"/>
      <c r="AV112" s="59"/>
      <c r="AW112" s="59"/>
      <c r="AX112" s="60"/>
      <c r="AY112" s="61" t="str">
        <f t="shared" si="59"/>
        <v/>
      </c>
      <c r="AZ112" s="62" t="str">
        <f t="shared" si="47"/>
        <v/>
      </c>
      <c r="BA112" s="61" t="str">
        <f t="shared" si="48"/>
        <v/>
      </c>
      <c r="BB112" s="62" t="str">
        <f t="shared" si="49"/>
        <v/>
      </c>
    </row>
    <row r="113" spans="1:54" s="3" customFormat="1" hidden="1" x14ac:dyDescent="0.35">
      <c r="A113" s="73">
        <f t="shared" si="33"/>
        <v>2019</v>
      </c>
      <c r="B113" s="73" t="str">
        <f t="shared" si="34"/>
        <v>Nov</v>
      </c>
      <c r="C113" s="74">
        <f t="shared" si="50"/>
        <v>16</v>
      </c>
      <c r="D113" s="75">
        <f t="shared" si="35"/>
        <v>17</v>
      </c>
      <c r="E113" s="76">
        <f t="shared" si="36"/>
        <v>36</v>
      </c>
      <c r="F113" s="80"/>
      <c r="G113" s="83"/>
      <c r="H113" s="69" t="str">
        <f t="shared" si="51"/>
        <v>Senbur6_20191116_17_00</v>
      </c>
      <c r="I113" s="70">
        <f t="shared" si="61"/>
        <v>1</v>
      </c>
      <c r="J113" s="77" t="str">
        <f t="shared" si="61"/>
        <v>Senecio</v>
      </c>
      <c r="K113" s="77" t="str">
        <f t="shared" si="61"/>
        <v>burtoni</v>
      </c>
      <c r="L113" s="78">
        <f t="shared" si="61"/>
        <v>6</v>
      </c>
      <c r="M113" s="78">
        <f t="shared" si="61"/>
        <v>12</v>
      </c>
      <c r="N113" s="72">
        <f t="shared" si="61"/>
        <v>0</v>
      </c>
      <c r="O113" s="45"/>
      <c r="P113" s="46" t="str">
        <f t="shared" si="37"/>
        <v/>
      </c>
      <c r="Q113" s="47" t="str">
        <f t="shared" si="38"/>
        <v/>
      </c>
      <c r="R113" s="48" t="e">
        <f t="shared" si="39"/>
        <v>#VALUE!</v>
      </c>
      <c r="S113" s="49" t="e">
        <f t="shared" si="32"/>
        <v>#VALUE!</v>
      </c>
      <c r="T113" s="48" t="str">
        <f t="shared" si="53"/>
        <v/>
      </c>
      <c r="U113" s="50"/>
      <c r="V113" s="51"/>
      <c r="W113" s="52" t="e">
        <f t="shared" si="40"/>
        <v>#VALUE!</v>
      </c>
      <c r="X113" s="53"/>
      <c r="Y113" s="53"/>
      <c r="Z113" s="53"/>
      <c r="AA113" s="48" t="e">
        <f>INDEX([1]!VISITORS[INSECT ORDER], MATCH(X113,[1]!VISITORS[NAME USED],0))</f>
        <v>#REF!</v>
      </c>
      <c r="AB113" s="48" t="e">
        <f t="shared" si="41"/>
        <v>#REF!</v>
      </c>
      <c r="AC113" s="54" t="e">
        <f t="shared" si="42"/>
        <v>#VALUE!</v>
      </c>
      <c r="AD113" s="55" t="str">
        <f t="shared" si="54"/>
        <v/>
      </c>
      <c r="AE113" s="55"/>
      <c r="AF113" s="55"/>
      <c r="AG113" s="56" t="str">
        <f t="shared" si="55"/>
        <v/>
      </c>
      <c r="AH113" s="57" t="str">
        <f t="shared" si="56"/>
        <v/>
      </c>
      <c r="AI113" s="56"/>
      <c r="AJ113" s="57" t="str">
        <f t="shared" si="57"/>
        <v/>
      </c>
      <c r="AK113" s="56"/>
      <c r="AL113" s="57" t="str">
        <f t="shared" si="58"/>
        <v/>
      </c>
      <c r="AM113" s="56"/>
      <c r="AN113" s="57" t="str">
        <f t="shared" si="43"/>
        <v/>
      </c>
      <c r="AO113" s="56"/>
      <c r="AP113" s="57" t="str">
        <f t="shared" si="44"/>
        <v/>
      </c>
      <c r="AQ113" s="56"/>
      <c r="AR113" s="57" t="str">
        <f t="shared" si="45"/>
        <v/>
      </c>
      <c r="AS113" s="56"/>
      <c r="AT113" s="57" t="str">
        <f t="shared" si="46"/>
        <v/>
      </c>
      <c r="AU113" s="58"/>
      <c r="AV113" s="59"/>
      <c r="AW113" s="59"/>
      <c r="AX113" s="60"/>
      <c r="AY113" s="61" t="str">
        <f t="shared" si="59"/>
        <v/>
      </c>
      <c r="AZ113" s="62" t="str">
        <f t="shared" si="47"/>
        <v/>
      </c>
      <c r="BA113" s="61" t="str">
        <f t="shared" si="48"/>
        <v/>
      </c>
      <c r="BB113" s="62" t="str">
        <f t="shared" si="49"/>
        <v/>
      </c>
    </row>
    <row r="114" spans="1:54" s="3" customFormat="1" hidden="1" x14ac:dyDescent="0.35">
      <c r="A114" s="73">
        <f t="shared" si="33"/>
        <v>2019</v>
      </c>
      <c r="B114" s="73" t="str">
        <f t="shared" si="34"/>
        <v>Nov</v>
      </c>
      <c r="C114" s="74">
        <f t="shared" si="50"/>
        <v>16</v>
      </c>
      <c r="D114" s="75">
        <f t="shared" si="35"/>
        <v>17</v>
      </c>
      <c r="E114" s="76">
        <f t="shared" si="36"/>
        <v>37</v>
      </c>
      <c r="F114" s="80"/>
      <c r="G114" s="83"/>
      <c r="H114" s="69" t="str">
        <f t="shared" si="51"/>
        <v>Senbur6_20191116_17_00</v>
      </c>
      <c r="I114" s="70">
        <f t="shared" si="61"/>
        <v>1</v>
      </c>
      <c r="J114" s="77" t="str">
        <f t="shared" si="61"/>
        <v>Senecio</v>
      </c>
      <c r="K114" s="77" t="str">
        <f t="shared" si="61"/>
        <v>burtoni</v>
      </c>
      <c r="L114" s="78">
        <f t="shared" si="61"/>
        <v>6</v>
      </c>
      <c r="M114" s="78">
        <f t="shared" si="61"/>
        <v>12</v>
      </c>
      <c r="N114" s="72">
        <f t="shared" si="61"/>
        <v>0</v>
      </c>
      <c r="O114" s="45"/>
      <c r="P114" s="46" t="str">
        <f t="shared" si="37"/>
        <v/>
      </c>
      <c r="Q114" s="47" t="str">
        <f t="shared" si="38"/>
        <v/>
      </c>
      <c r="R114" s="48" t="e">
        <f t="shared" si="39"/>
        <v>#VALUE!</v>
      </c>
      <c r="S114" s="49" t="e">
        <f t="shared" si="32"/>
        <v>#VALUE!</v>
      </c>
      <c r="T114" s="48" t="str">
        <f t="shared" si="53"/>
        <v/>
      </c>
      <c r="U114" s="50"/>
      <c r="V114" s="51"/>
      <c r="W114" s="52" t="e">
        <f t="shared" si="40"/>
        <v>#VALUE!</v>
      </c>
      <c r="X114" s="53"/>
      <c r="Y114" s="53"/>
      <c r="Z114" s="53"/>
      <c r="AA114" s="48" t="e">
        <f>INDEX([1]!VISITORS[INSECT ORDER], MATCH(X114,[1]!VISITORS[NAME USED],0))</f>
        <v>#REF!</v>
      </c>
      <c r="AB114" s="48" t="e">
        <f t="shared" si="41"/>
        <v>#REF!</v>
      </c>
      <c r="AC114" s="54" t="e">
        <f t="shared" si="42"/>
        <v>#VALUE!</v>
      </c>
      <c r="AD114" s="55" t="str">
        <f t="shared" si="54"/>
        <v/>
      </c>
      <c r="AE114" s="55"/>
      <c r="AF114" s="55"/>
      <c r="AG114" s="56" t="str">
        <f t="shared" si="55"/>
        <v/>
      </c>
      <c r="AH114" s="57" t="str">
        <f t="shared" si="56"/>
        <v/>
      </c>
      <c r="AI114" s="56"/>
      <c r="AJ114" s="57" t="str">
        <f t="shared" si="57"/>
        <v/>
      </c>
      <c r="AK114" s="56"/>
      <c r="AL114" s="57" t="str">
        <f t="shared" si="58"/>
        <v/>
      </c>
      <c r="AM114" s="56"/>
      <c r="AN114" s="57" t="str">
        <f t="shared" si="43"/>
        <v/>
      </c>
      <c r="AO114" s="56"/>
      <c r="AP114" s="57" t="str">
        <f t="shared" si="44"/>
        <v/>
      </c>
      <c r="AQ114" s="56"/>
      <c r="AR114" s="57" t="str">
        <f t="shared" si="45"/>
        <v/>
      </c>
      <c r="AS114" s="56"/>
      <c r="AT114" s="57" t="str">
        <f t="shared" si="46"/>
        <v/>
      </c>
      <c r="AU114" s="58"/>
      <c r="AV114" s="59"/>
      <c r="AW114" s="59"/>
      <c r="AX114" s="60"/>
      <c r="AY114" s="61" t="str">
        <f t="shared" si="59"/>
        <v/>
      </c>
      <c r="AZ114" s="62" t="str">
        <f t="shared" si="47"/>
        <v/>
      </c>
      <c r="BA114" s="61" t="str">
        <f t="shared" si="48"/>
        <v/>
      </c>
      <c r="BB114" s="62" t="str">
        <f t="shared" si="49"/>
        <v/>
      </c>
    </row>
    <row r="115" spans="1:54" s="3" customFormat="1" hidden="1" x14ac:dyDescent="0.35">
      <c r="A115" s="73">
        <f t="shared" si="33"/>
        <v>2019</v>
      </c>
      <c r="B115" s="73" t="str">
        <f t="shared" si="34"/>
        <v>Nov</v>
      </c>
      <c r="C115" s="74">
        <f t="shared" si="50"/>
        <v>16</v>
      </c>
      <c r="D115" s="75">
        <f t="shared" si="35"/>
        <v>17</v>
      </c>
      <c r="E115" s="76">
        <f t="shared" si="36"/>
        <v>38</v>
      </c>
      <c r="F115" s="80"/>
      <c r="G115" s="83"/>
      <c r="H115" s="69" t="str">
        <f t="shared" si="51"/>
        <v>Senbur6_20191116_17_00</v>
      </c>
      <c r="I115" s="70">
        <f t="shared" si="61"/>
        <v>1</v>
      </c>
      <c r="J115" s="77" t="str">
        <f t="shared" si="61"/>
        <v>Senecio</v>
      </c>
      <c r="K115" s="77" t="str">
        <f t="shared" si="61"/>
        <v>burtoni</v>
      </c>
      <c r="L115" s="78">
        <f t="shared" si="61"/>
        <v>6</v>
      </c>
      <c r="M115" s="78">
        <f t="shared" si="61"/>
        <v>12</v>
      </c>
      <c r="N115" s="72">
        <f t="shared" si="61"/>
        <v>0</v>
      </c>
      <c r="O115" s="45"/>
      <c r="P115" s="46" t="str">
        <f t="shared" si="37"/>
        <v/>
      </c>
      <c r="Q115" s="47" t="str">
        <f t="shared" si="38"/>
        <v/>
      </c>
      <c r="R115" s="48" t="e">
        <f t="shared" si="39"/>
        <v>#VALUE!</v>
      </c>
      <c r="S115" s="49" t="e">
        <f t="shared" si="32"/>
        <v>#VALUE!</v>
      </c>
      <c r="T115" s="48" t="str">
        <f t="shared" si="53"/>
        <v/>
      </c>
      <c r="U115" s="50"/>
      <c r="V115" s="51"/>
      <c r="W115" s="52" t="e">
        <f t="shared" si="40"/>
        <v>#VALUE!</v>
      </c>
      <c r="X115" s="53"/>
      <c r="Y115" s="53"/>
      <c r="Z115" s="53"/>
      <c r="AA115" s="48" t="e">
        <f>INDEX([1]!VISITORS[INSECT ORDER], MATCH(X115,[1]!VISITORS[NAME USED],0))</f>
        <v>#REF!</v>
      </c>
      <c r="AB115" s="48" t="e">
        <f t="shared" si="41"/>
        <v>#REF!</v>
      </c>
      <c r="AC115" s="54" t="e">
        <f t="shared" si="42"/>
        <v>#VALUE!</v>
      </c>
      <c r="AD115" s="55" t="str">
        <f t="shared" si="54"/>
        <v/>
      </c>
      <c r="AE115" s="55"/>
      <c r="AF115" s="55"/>
      <c r="AG115" s="56" t="str">
        <f t="shared" si="55"/>
        <v/>
      </c>
      <c r="AH115" s="57" t="str">
        <f t="shared" si="56"/>
        <v/>
      </c>
      <c r="AI115" s="56"/>
      <c r="AJ115" s="57" t="str">
        <f t="shared" si="57"/>
        <v/>
      </c>
      <c r="AK115" s="56"/>
      <c r="AL115" s="57" t="str">
        <f t="shared" si="58"/>
        <v/>
      </c>
      <c r="AM115" s="56"/>
      <c r="AN115" s="57" t="str">
        <f t="shared" si="43"/>
        <v/>
      </c>
      <c r="AO115" s="56"/>
      <c r="AP115" s="57" t="str">
        <f t="shared" si="44"/>
        <v/>
      </c>
      <c r="AQ115" s="56"/>
      <c r="AR115" s="57" t="str">
        <f t="shared" si="45"/>
        <v/>
      </c>
      <c r="AS115" s="56"/>
      <c r="AT115" s="57" t="str">
        <f t="shared" si="46"/>
        <v/>
      </c>
      <c r="AU115" s="58"/>
      <c r="AV115" s="59"/>
      <c r="AW115" s="59"/>
      <c r="AX115" s="60"/>
      <c r="AY115" s="61" t="str">
        <f t="shared" si="59"/>
        <v/>
      </c>
      <c r="AZ115" s="62" t="str">
        <f t="shared" si="47"/>
        <v/>
      </c>
      <c r="BA115" s="61" t="str">
        <f t="shared" si="48"/>
        <v/>
      </c>
      <c r="BB115" s="62" t="str">
        <f t="shared" si="49"/>
        <v/>
      </c>
    </row>
    <row r="116" spans="1:54" s="3" customFormat="1" hidden="1" x14ac:dyDescent="0.35">
      <c r="A116" s="73">
        <f t="shared" si="33"/>
        <v>2019</v>
      </c>
      <c r="B116" s="73" t="str">
        <f t="shared" si="34"/>
        <v>Nov</v>
      </c>
      <c r="C116" s="74">
        <f t="shared" si="50"/>
        <v>16</v>
      </c>
      <c r="D116" s="75">
        <f t="shared" si="35"/>
        <v>17</v>
      </c>
      <c r="E116" s="76">
        <f t="shared" si="36"/>
        <v>39</v>
      </c>
      <c r="F116" s="80"/>
      <c r="G116" s="83"/>
      <c r="H116" s="69" t="str">
        <f t="shared" si="51"/>
        <v>Senbur6_20191116_17_00</v>
      </c>
      <c r="I116" s="70">
        <f t="shared" si="61"/>
        <v>1</v>
      </c>
      <c r="J116" s="77" t="str">
        <f t="shared" si="61"/>
        <v>Senecio</v>
      </c>
      <c r="K116" s="77" t="str">
        <f t="shared" si="61"/>
        <v>burtoni</v>
      </c>
      <c r="L116" s="78">
        <f t="shared" si="61"/>
        <v>6</v>
      </c>
      <c r="M116" s="78">
        <f t="shared" si="61"/>
        <v>12</v>
      </c>
      <c r="N116" s="72">
        <f t="shared" si="61"/>
        <v>0</v>
      </c>
      <c r="O116" s="45"/>
      <c r="P116" s="46" t="str">
        <f t="shared" si="37"/>
        <v/>
      </c>
      <c r="Q116" s="47" t="str">
        <f t="shared" si="38"/>
        <v/>
      </c>
      <c r="R116" s="48" t="e">
        <f t="shared" si="39"/>
        <v>#VALUE!</v>
      </c>
      <c r="S116" s="49" t="e">
        <f t="shared" si="32"/>
        <v>#VALUE!</v>
      </c>
      <c r="T116" s="48" t="str">
        <f t="shared" si="53"/>
        <v/>
      </c>
      <c r="U116" s="50"/>
      <c r="V116" s="51"/>
      <c r="W116" s="52" t="e">
        <f t="shared" si="40"/>
        <v>#VALUE!</v>
      </c>
      <c r="X116" s="53"/>
      <c r="Y116" s="53"/>
      <c r="Z116" s="53"/>
      <c r="AA116" s="48" t="e">
        <f>INDEX([1]!VISITORS[INSECT ORDER], MATCH(X116,[1]!VISITORS[NAME USED],0))</f>
        <v>#REF!</v>
      </c>
      <c r="AB116" s="48" t="e">
        <f t="shared" si="41"/>
        <v>#REF!</v>
      </c>
      <c r="AC116" s="54" t="e">
        <f t="shared" si="42"/>
        <v>#VALUE!</v>
      </c>
      <c r="AD116" s="55" t="str">
        <f t="shared" si="54"/>
        <v/>
      </c>
      <c r="AE116" s="55"/>
      <c r="AF116" s="55"/>
      <c r="AG116" s="56" t="str">
        <f t="shared" si="55"/>
        <v/>
      </c>
      <c r="AH116" s="57" t="str">
        <f t="shared" si="56"/>
        <v/>
      </c>
      <c r="AI116" s="56"/>
      <c r="AJ116" s="57" t="str">
        <f t="shared" si="57"/>
        <v/>
      </c>
      <c r="AK116" s="56"/>
      <c r="AL116" s="57" t="str">
        <f t="shared" si="58"/>
        <v/>
      </c>
      <c r="AM116" s="56"/>
      <c r="AN116" s="57" t="str">
        <f t="shared" si="43"/>
        <v/>
      </c>
      <c r="AO116" s="56"/>
      <c r="AP116" s="57" t="str">
        <f t="shared" si="44"/>
        <v/>
      </c>
      <c r="AQ116" s="56"/>
      <c r="AR116" s="57" t="str">
        <f t="shared" si="45"/>
        <v/>
      </c>
      <c r="AS116" s="56"/>
      <c r="AT116" s="57" t="str">
        <f t="shared" si="46"/>
        <v/>
      </c>
      <c r="AU116" s="58"/>
      <c r="AV116" s="59"/>
      <c r="AW116" s="59"/>
      <c r="AX116" s="60"/>
      <c r="AY116" s="61" t="str">
        <f t="shared" si="59"/>
        <v/>
      </c>
      <c r="AZ116" s="62" t="str">
        <f t="shared" si="47"/>
        <v/>
      </c>
      <c r="BA116" s="61" t="str">
        <f t="shared" si="48"/>
        <v/>
      </c>
      <c r="BB116" s="62" t="str">
        <f t="shared" si="49"/>
        <v/>
      </c>
    </row>
    <row r="117" spans="1:54" s="3" customFormat="1" hidden="1" x14ac:dyDescent="0.35">
      <c r="A117" s="73">
        <f t="shared" si="33"/>
        <v>2019</v>
      </c>
      <c r="B117" s="73" t="str">
        <f t="shared" si="34"/>
        <v>Nov</v>
      </c>
      <c r="C117" s="74">
        <f t="shared" si="50"/>
        <v>16</v>
      </c>
      <c r="D117" s="75">
        <f t="shared" si="35"/>
        <v>17</v>
      </c>
      <c r="E117" s="76">
        <f t="shared" si="36"/>
        <v>40</v>
      </c>
      <c r="F117" s="80"/>
      <c r="G117" s="83"/>
      <c r="H117" s="69" t="str">
        <f t="shared" si="51"/>
        <v>Senbur6_20191116_17_00</v>
      </c>
      <c r="I117" s="70">
        <f t="shared" ref="I117:N132" si="62">I116</f>
        <v>1</v>
      </c>
      <c r="J117" s="77" t="str">
        <f t="shared" si="62"/>
        <v>Senecio</v>
      </c>
      <c r="K117" s="77" t="str">
        <f t="shared" si="62"/>
        <v>burtoni</v>
      </c>
      <c r="L117" s="78">
        <f t="shared" si="62"/>
        <v>6</v>
      </c>
      <c r="M117" s="78">
        <f t="shared" si="62"/>
        <v>12</v>
      </c>
      <c r="N117" s="72">
        <f t="shared" si="62"/>
        <v>0</v>
      </c>
      <c r="O117" s="45"/>
      <c r="P117" s="46" t="str">
        <f t="shared" si="37"/>
        <v/>
      </c>
      <c r="Q117" s="47" t="str">
        <f t="shared" si="38"/>
        <v/>
      </c>
      <c r="R117" s="48" t="e">
        <f t="shared" si="39"/>
        <v>#VALUE!</v>
      </c>
      <c r="S117" s="49" t="e">
        <f t="shared" si="32"/>
        <v>#VALUE!</v>
      </c>
      <c r="T117" s="48" t="str">
        <f t="shared" si="53"/>
        <v/>
      </c>
      <c r="U117" s="50"/>
      <c r="V117" s="51"/>
      <c r="W117" s="52" t="e">
        <f t="shared" si="40"/>
        <v>#VALUE!</v>
      </c>
      <c r="X117" s="53"/>
      <c r="Y117" s="53"/>
      <c r="Z117" s="53"/>
      <c r="AA117" s="48" t="e">
        <f>INDEX([1]!VISITORS[INSECT ORDER], MATCH(X117,[1]!VISITORS[NAME USED],0))</f>
        <v>#REF!</v>
      </c>
      <c r="AB117" s="48" t="e">
        <f t="shared" si="41"/>
        <v>#REF!</v>
      </c>
      <c r="AC117" s="54" t="e">
        <f t="shared" si="42"/>
        <v>#VALUE!</v>
      </c>
      <c r="AD117" s="55" t="str">
        <f t="shared" si="54"/>
        <v/>
      </c>
      <c r="AE117" s="55"/>
      <c r="AF117" s="55"/>
      <c r="AG117" s="56" t="str">
        <f t="shared" si="55"/>
        <v/>
      </c>
      <c r="AH117" s="57" t="str">
        <f t="shared" si="56"/>
        <v/>
      </c>
      <c r="AI117" s="56"/>
      <c r="AJ117" s="57" t="str">
        <f t="shared" si="57"/>
        <v/>
      </c>
      <c r="AK117" s="56"/>
      <c r="AL117" s="57" t="str">
        <f t="shared" si="58"/>
        <v/>
      </c>
      <c r="AM117" s="56"/>
      <c r="AN117" s="57" t="str">
        <f t="shared" si="43"/>
        <v/>
      </c>
      <c r="AO117" s="56"/>
      <c r="AP117" s="57" t="str">
        <f t="shared" si="44"/>
        <v/>
      </c>
      <c r="AQ117" s="56"/>
      <c r="AR117" s="57" t="str">
        <f t="shared" si="45"/>
        <v/>
      </c>
      <c r="AS117" s="56"/>
      <c r="AT117" s="57" t="str">
        <f t="shared" si="46"/>
        <v/>
      </c>
      <c r="AU117" s="58"/>
      <c r="AV117" s="59"/>
      <c r="AW117" s="59"/>
      <c r="AX117" s="60"/>
      <c r="AY117" s="61" t="str">
        <f t="shared" si="59"/>
        <v/>
      </c>
      <c r="AZ117" s="62" t="str">
        <f t="shared" si="47"/>
        <v/>
      </c>
      <c r="BA117" s="61" t="str">
        <f t="shared" si="48"/>
        <v/>
      </c>
      <c r="BB117" s="62" t="str">
        <f t="shared" si="49"/>
        <v/>
      </c>
    </row>
    <row r="118" spans="1:54" s="3" customFormat="1" hidden="1" x14ac:dyDescent="0.35">
      <c r="A118" s="73">
        <f t="shared" si="33"/>
        <v>2019</v>
      </c>
      <c r="B118" s="73" t="str">
        <f t="shared" si="34"/>
        <v>Nov</v>
      </c>
      <c r="C118" s="74">
        <f t="shared" si="50"/>
        <v>16</v>
      </c>
      <c r="D118" s="75">
        <f t="shared" si="35"/>
        <v>17</v>
      </c>
      <c r="E118" s="76">
        <f t="shared" si="36"/>
        <v>41</v>
      </c>
      <c r="F118" s="80"/>
      <c r="G118" s="83"/>
      <c r="H118" s="69" t="str">
        <f t="shared" si="51"/>
        <v>Senbur6_20191116_17_00</v>
      </c>
      <c r="I118" s="70">
        <f t="shared" si="62"/>
        <v>1</v>
      </c>
      <c r="J118" s="77" t="str">
        <f t="shared" si="62"/>
        <v>Senecio</v>
      </c>
      <c r="K118" s="77" t="str">
        <f t="shared" si="62"/>
        <v>burtoni</v>
      </c>
      <c r="L118" s="78">
        <f t="shared" si="62"/>
        <v>6</v>
      </c>
      <c r="M118" s="78">
        <f t="shared" si="62"/>
        <v>12</v>
      </c>
      <c r="N118" s="72">
        <f t="shared" si="62"/>
        <v>0</v>
      </c>
      <c r="O118" s="45"/>
      <c r="P118" s="46" t="str">
        <f t="shared" si="37"/>
        <v/>
      </c>
      <c r="Q118" s="47" t="str">
        <f t="shared" si="38"/>
        <v/>
      </c>
      <c r="R118" s="48" t="e">
        <f t="shared" si="39"/>
        <v>#VALUE!</v>
      </c>
      <c r="S118" s="49" t="e">
        <f t="shared" si="32"/>
        <v>#VALUE!</v>
      </c>
      <c r="T118" s="48" t="str">
        <f t="shared" si="53"/>
        <v/>
      </c>
      <c r="U118" s="50"/>
      <c r="V118" s="51"/>
      <c r="W118" s="52" t="e">
        <f t="shared" si="40"/>
        <v>#VALUE!</v>
      </c>
      <c r="X118" s="53"/>
      <c r="Y118" s="53"/>
      <c r="Z118" s="53"/>
      <c r="AA118" s="48" t="e">
        <f>INDEX([1]!VISITORS[INSECT ORDER], MATCH(X118,[1]!VISITORS[NAME USED],0))</f>
        <v>#REF!</v>
      </c>
      <c r="AB118" s="48" t="e">
        <f t="shared" si="41"/>
        <v>#REF!</v>
      </c>
      <c r="AC118" s="54" t="e">
        <f t="shared" si="42"/>
        <v>#VALUE!</v>
      </c>
      <c r="AD118" s="55" t="str">
        <f t="shared" si="54"/>
        <v/>
      </c>
      <c r="AE118" s="55"/>
      <c r="AF118" s="55"/>
      <c r="AG118" s="56" t="str">
        <f t="shared" si="55"/>
        <v/>
      </c>
      <c r="AH118" s="57" t="str">
        <f t="shared" si="56"/>
        <v/>
      </c>
      <c r="AI118" s="56"/>
      <c r="AJ118" s="57" t="str">
        <f t="shared" si="57"/>
        <v/>
      </c>
      <c r="AK118" s="56"/>
      <c r="AL118" s="57" t="str">
        <f t="shared" si="58"/>
        <v/>
      </c>
      <c r="AM118" s="56"/>
      <c r="AN118" s="57" t="str">
        <f t="shared" si="43"/>
        <v/>
      </c>
      <c r="AO118" s="56"/>
      <c r="AP118" s="57" t="str">
        <f t="shared" si="44"/>
        <v/>
      </c>
      <c r="AQ118" s="56"/>
      <c r="AR118" s="57" t="str">
        <f t="shared" si="45"/>
        <v/>
      </c>
      <c r="AS118" s="56"/>
      <c r="AT118" s="57" t="str">
        <f t="shared" si="46"/>
        <v/>
      </c>
      <c r="AU118" s="58"/>
      <c r="AV118" s="59"/>
      <c r="AW118" s="59"/>
      <c r="AX118" s="60"/>
      <c r="AY118" s="61" t="str">
        <f t="shared" si="59"/>
        <v/>
      </c>
      <c r="AZ118" s="62" t="str">
        <f t="shared" si="47"/>
        <v/>
      </c>
      <c r="BA118" s="61" t="str">
        <f t="shared" si="48"/>
        <v/>
      </c>
      <c r="BB118" s="62" t="str">
        <f t="shared" si="49"/>
        <v/>
      </c>
    </row>
    <row r="119" spans="1:54" s="3" customFormat="1" hidden="1" x14ac:dyDescent="0.35">
      <c r="A119" s="73">
        <f t="shared" si="33"/>
        <v>2019</v>
      </c>
      <c r="B119" s="73" t="str">
        <f t="shared" si="34"/>
        <v>Nov</v>
      </c>
      <c r="C119" s="74">
        <f t="shared" si="50"/>
        <v>16</v>
      </c>
      <c r="D119" s="75">
        <f t="shared" si="35"/>
        <v>17</v>
      </c>
      <c r="E119" s="76">
        <f t="shared" si="36"/>
        <v>42</v>
      </c>
      <c r="F119" s="80"/>
      <c r="G119" s="83"/>
      <c r="H119" s="69" t="str">
        <f t="shared" si="51"/>
        <v>Senbur6_20191116_17_00</v>
      </c>
      <c r="I119" s="70">
        <f t="shared" si="62"/>
        <v>1</v>
      </c>
      <c r="J119" s="77" t="str">
        <f t="shared" si="62"/>
        <v>Senecio</v>
      </c>
      <c r="K119" s="77" t="str">
        <f t="shared" si="62"/>
        <v>burtoni</v>
      </c>
      <c r="L119" s="78">
        <f t="shared" si="62"/>
        <v>6</v>
      </c>
      <c r="M119" s="78">
        <f t="shared" si="62"/>
        <v>12</v>
      </c>
      <c r="N119" s="72">
        <f t="shared" si="62"/>
        <v>0</v>
      </c>
      <c r="O119" s="45"/>
      <c r="P119" s="46" t="str">
        <f t="shared" si="37"/>
        <v/>
      </c>
      <c r="Q119" s="47" t="str">
        <f t="shared" si="38"/>
        <v/>
      </c>
      <c r="R119" s="48" t="e">
        <f t="shared" si="39"/>
        <v>#VALUE!</v>
      </c>
      <c r="S119" s="49" t="e">
        <f t="shared" si="32"/>
        <v>#VALUE!</v>
      </c>
      <c r="T119" s="48" t="str">
        <f t="shared" si="53"/>
        <v/>
      </c>
      <c r="U119" s="50"/>
      <c r="V119" s="51"/>
      <c r="W119" s="52" t="e">
        <f t="shared" si="40"/>
        <v>#VALUE!</v>
      </c>
      <c r="X119" s="53"/>
      <c r="Y119" s="53"/>
      <c r="Z119" s="53"/>
      <c r="AA119" s="48" t="e">
        <f>INDEX([1]!VISITORS[INSECT ORDER], MATCH(X119,[1]!VISITORS[NAME USED],0))</f>
        <v>#REF!</v>
      </c>
      <c r="AB119" s="48" t="e">
        <f t="shared" si="41"/>
        <v>#REF!</v>
      </c>
      <c r="AC119" s="54" t="e">
        <f t="shared" si="42"/>
        <v>#VALUE!</v>
      </c>
      <c r="AD119" s="55" t="str">
        <f t="shared" si="54"/>
        <v/>
      </c>
      <c r="AE119" s="55"/>
      <c r="AF119" s="55"/>
      <c r="AG119" s="56" t="str">
        <f t="shared" si="55"/>
        <v/>
      </c>
      <c r="AH119" s="57" t="str">
        <f t="shared" si="56"/>
        <v/>
      </c>
      <c r="AI119" s="56"/>
      <c r="AJ119" s="57" t="str">
        <f t="shared" si="57"/>
        <v/>
      </c>
      <c r="AK119" s="56"/>
      <c r="AL119" s="57" t="str">
        <f t="shared" si="58"/>
        <v/>
      </c>
      <c r="AM119" s="56"/>
      <c r="AN119" s="57" t="str">
        <f t="shared" si="43"/>
        <v/>
      </c>
      <c r="AO119" s="56"/>
      <c r="AP119" s="57" t="str">
        <f t="shared" si="44"/>
        <v/>
      </c>
      <c r="AQ119" s="56"/>
      <c r="AR119" s="57" t="str">
        <f t="shared" si="45"/>
        <v/>
      </c>
      <c r="AS119" s="56"/>
      <c r="AT119" s="57" t="str">
        <f t="shared" si="46"/>
        <v/>
      </c>
      <c r="AU119" s="58"/>
      <c r="AV119" s="59"/>
      <c r="AW119" s="59"/>
      <c r="AX119" s="60"/>
      <c r="AY119" s="61" t="str">
        <f t="shared" si="59"/>
        <v/>
      </c>
      <c r="AZ119" s="62" t="str">
        <f t="shared" si="47"/>
        <v/>
      </c>
      <c r="BA119" s="61" t="str">
        <f t="shared" si="48"/>
        <v/>
      </c>
      <c r="BB119" s="62" t="str">
        <f t="shared" si="49"/>
        <v/>
      </c>
    </row>
    <row r="120" spans="1:54" s="3" customFormat="1" hidden="1" x14ac:dyDescent="0.35">
      <c r="A120" s="73">
        <f t="shared" si="33"/>
        <v>2019</v>
      </c>
      <c r="B120" s="73" t="str">
        <f t="shared" si="34"/>
        <v>Nov</v>
      </c>
      <c r="C120" s="74">
        <f t="shared" si="50"/>
        <v>16</v>
      </c>
      <c r="D120" s="75">
        <f t="shared" si="35"/>
        <v>17</v>
      </c>
      <c r="E120" s="76">
        <f t="shared" si="36"/>
        <v>43</v>
      </c>
      <c r="F120" s="80"/>
      <c r="G120" s="83"/>
      <c r="H120" s="69" t="str">
        <f t="shared" si="51"/>
        <v>Senbur6_20191116_17_00</v>
      </c>
      <c r="I120" s="70">
        <f t="shared" si="62"/>
        <v>1</v>
      </c>
      <c r="J120" s="77" t="str">
        <f t="shared" si="62"/>
        <v>Senecio</v>
      </c>
      <c r="K120" s="77" t="str">
        <f t="shared" si="62"/>
        <v>burtoni</v>
      </c>
      <c r="L120" s="78">
        <f t="shared" si="62"/>
        <v>6</v>
      </c>
      <c r="M120" s="78">
        <f t="shared" si="62"/>
        <v>12</v>
      </c>
      <c r="N120" s="72">
        <f t="shared" si="62"/>
        <v>0</v>
      </c>
      <c r="O120" s="45"/>
      <c r="P120" s="46" t="str">
        <f t="shared" si="37"/>
        <v/>
      </c>
      <c r="Q120" s="47" t="str">
        <f t="shared" si="38"/>
        <v/>
      </c>
      <c r="R120" s="48" t="e">
        <f t="shared" si="39"/>
        <v>#VALUE!</v>
      </c>
      <c r="S120" s="49" t="e">
        <f t="shared" si="32"/>
        <v>#VALUE!</v>
      </c>
      <c r="T120" s="48" t="str">
        <f t="shared" si="53"/>
        <v/>
      </c>
      <c r="U120" s="50"/>
      <c r="V120" s="51"/>
      <c r="W120" s="52" t="e">
        <f t="shared" si="40"/>
        <v>#VALUE!</v>
      </c>
      <c r="X120" s="53"/>
      <c r="Y120" s="53"/>
      <c r="Z120" s="53"/>
      <c r="AA120" s="48" t="e">
        <f>INDEX([1]!VISITORS[INSECT ORDER], MATCH(X120,[1]!VISITORS[NAME USED],0))</f>
        <v>#REF!</v>
      </c>
      <c r="AB120" s="48" t="e">
        <f t="shared" si="41"/>
        <v>#REF!</v>
      </c>
      <c r="AC120" s="54" t="e">
        <f t="shared" si="42"/>
        <v>#VALUE!</v>
      </c>
      <c r="AD120" s="55" t="str">
        <f t="shared" si="54"/>
        <v/>
      </c>
      <c r="AE120" s="55"/>
      <c r="AF120" s="55"/>
      <c r="AG120" s="56" t="str">
        <f t="shared" si="55"/>
        <v/>
      </c>
      <c r="AH120" s="57" t="str">
        <f t="shared" si="56"/>
        <v/>
      </c>
      <c r="AI120" s="56"/>
      <c r="AJ120" s="57" t="str">
        <f t="shared" si="57"/>
        <v/>
      </c>
      <c r="AK120" s="56"/>
      <c r="AL120" s="57" t="str">
        <f t="shared" si="58"/>
        <v/>
      </c>
      <c r="AM120" s="56"/>
      <c r="AN120" s="57" t="str">
        <f t="shared" si="43"/>
        <v/>
      </c>
      <c r="AO120" s="56"/>
      <c r="AP120" s="57" t="str">
        <f t="shared" si="44"/>
        <v/>
      </c>
      <c r="AQ120" s="56"/>
      <c r="AR120" s="57" t="str">
        <f t="shared" si="45"/>
        <v/>
      </c>
      <c r="AS120" s="56"/>
      <c r="AT120" s="57" t="str">
        <f t="shared" si="46"/>
        <v/>
      </c>
      <c r="AU120" s="58"/>
      <c r="AV120" s="59"/>
      <c r="AW120" s="59"/>
      <c r="AX120" s="60"/>
      <c r="AY120" s="61" t="str">
        <f t="shared" si="59"/>
        <v/>
      </c>
      <c r="AZ120" s="62" t="str">
        <f t="shared" si="47"/>
        <v/>
      </c>
      <c r="BA120" s="61" t="str">
        <f t="shared" si="48"/>
        <v/>
      </c>
      <c r="BB120" s="62" t="str">
        <f t="shared" si="49"/>
        <v/>
      </c>
    </row>
    <row r="121" spans="1:54" s="3" customFormat="1" hidden="1" x14ac:dyDescent="0.35">
      <c r="A121" s="73">
        <f t="shared" si="33"/>
        <v>2019</v>
      </c>
      <c r="B121" s="73" t="str">
        <f t="shared" si="34"/>
        <v>Nov</v>
      </c>
      <c r="C121" s="74">
        <f t="shared" si="50"/>
        <v>16</v>
      </c>
      <c r="D121" s="75">
        <f t="shared" si="35"/>
        <v>17</v>
      </c>
      <c r="E121" s="76">
        <f t="shared" si="36"/>
        <v>44</v>
      </c>
      <c r="F121" s="80"/>
      <c r="G121" s="83"/>
      <c r="H121" s="69" t="str">
        <f t="shared" si="51"/>
        <v>Senbur6_20191116_17_00</v>
      </c>
      <c r="I121" s="70">
        <f t="shared" si="62"/>
        <v>1</v>
      </c>
      <c r="J121" s="77" t="str">
        <f t="shared" si="62"/>
        <v>Senecio</v>
      </c>
      <c r="K121" s="77" t="str">
        <f t="shared" si="62"/>
        <v>burtoni</v>
      </c>
      <c r="L121" s="78">
        <f t="shared" si="62"/>
        <v>6</v>
      </c>
      <c r="M121" s="78">
        <f t="shared" si="62"/>
        <v>12</v>
      </c>
      <c r="N121" s="72">
        <f t="shared" si="62"/>
        <v>0</v>
      </c>
      <c r="O121" s="45"/>
      <c r="P121" s="46" t="str">
        <f t="shared" si="37"/>
        <v/>
      </c>
      <c r="Q121" s="47" t="str">
        <f t="shared" si="38"/>
        <v/>
      </c>
      <c r="R121" s="48" t="e">
        <f t="shared" si="39"/>
        <v>#VALUE!</v>
      </c>
      <c r="S121" s="49" t="e">
        <f t="shared" si="32"/>
        <v>#VALUE!</v>
      </c>
      <c r="T121" s="48" t="str">
        <f t="shared" si="53"/>
        <v/>
      </c>
      <c r="U121" s="50"/>
      <c r="V121" s="51"/>
      <c r="W121" s="52" t="e">
        <f t="shared" si="40"/>
        <v>#VALUE!</v>
      </c>
      <c r="X121" s="53"/>
      <c r="Y121" s="53"/>
      <c r="Z121" s="53"/>
      <c r="AA121" s="48" t="e">
        <f>INDEX([1]!VISITORS[INSECT ORDER], MATCH(X121,[1]!VISITORS[NAME USED],0))</f>
        <v>#REF!</v>
      </c>
      <c r="AB121" s="48" t="e">
        <f t="shared" si="41"/>
        <v>#REF!</v>
      </c>
      <c r="AC121" s="54" t="e">
        <f t="shared" si="42"/>
        <v>#VALUE!</v>
      </c>
      <c r="AD121" s="55" t="str">
        <f t="shared" si="54"/>
        <v/>
      </c>
      <c r="AE121" s="55"/>
      <c r="AF121" s="55"/>
      <c r="AG121" s="56" t="str">
        <f t="shared" si="55"/>
        <v/>
      </c>
      <c r="AH121" s="57" t="str">
        <f t="shared" si="56"/>
        <v/>
      </c>
      <c r="AI121" s="56"/>
      <c r="AJ121" s="57" t="str">
        <f t="shared" si="57"/>
        <v/>
      </c>
      <c r="AK121" s="56"/>
      <c r="AL121" s="57" t="str">
        <f t="shared" si="58"/>
        <v/>
      </c>
      <c r="AM121" s="56"/>
      <c r="AN121" s="57" t="str">
        <f t="shared" si="43"/>
        <v/>
      </c>
      <c r="AO121" s="56"/>
      <c r="AP121" s="57" t="str">
        <f t="shared" si="44"/>
        <v/>
      </c>
      <c r="AQ121" s="56"/>
      <c r="AR121" s="57" t="str">
        <f t="shared" si="45"/>
        <v/>
      </c>
      <c r="AS121" s="56"/>
      <c r="AT121" s="57" t="str">
        <f t="shared" si="46"/>
        <v/>
      </c>
      <c r="AU121" s="58"/>
      <c r="AV121" s="59"/>
      <c r="AW121" s="59"/>
      <c r="AX121" s="60"/>
      <c r="AY121" s="61" t="str">
        <f t="shared" si="59"/>
        <v/>
      </c>
      <c r="AZ121" s="62" t="str">
        <f t="shared" si="47"/>
        <v/>
      </c>
      <c r="BA121" s="61" t="str">
        <f t="shared" si="48"/>
        <v/>
      </c>
      <c r="BB121" s="62" t="str">
        <f t="shared" si="49"/>
        <v/>
      </c>
    </row>
    <row r="122" spans="1:54" s="3" customFormat="1" hidden="1" x14ac:dyDescent="0.35">
      <c r="A122" s="73">
        <f t="shared" si="33"/>
        <v>2019</v>
      </c>
      <c r="B122" s="73" t="str">
        <f t="shared" si="34"/>
        <v>Nov</v>
      </c>
      <c r="C122" s="74">
        <f t="shared" si="50"/>
        <v>16</v>
      </c>
      <c r="D122" s="75">
        <f t="shared" si="35"/>
        <v>17</v>
      </c>
      <c r="E122" s="76">
        <f t="shared" si="36"/>
        <v>45</v>
      </c>
      <c r="F122" s="80"/>
      <c r="G122" s="83"/>
      <c r="H122" s="69" t="str">
        <f t="shared" si="51"/>
        <v>Senbur6_20191116_17_00</v>
      </c>
      <c r="I122" s="70">
        <f t="shared" si="62"/>
        <v>1</v>
      </c>
      <c r="J122" s="77" t="str">
        <f t="shared" si="62"/>
        <v>Senecio</v>
      </c>
      <c r="K122" s="77" t="str">
        <f t="shared" si="62"/>
        <v>burtoni</v>
      </c>
      <c r="L122" s="78">
        <f t="shared" si="62"/>
        <v>6</v>
      </c>
      <c r="M122" s="78">
        <f t="shared" si="62"/>
        <v>12</v>
      </c>
      <c r="N122" s="72">
        <f t="shared" si="62"/>
        <v>0</v>
      </c>
      <c r="O122" s="45"/>
      <c r="P122" s="46" t="str">
        <f t="shared" si="37"/>
        <v/>
      </c>
      <c r="Q122" s="47" t="str">
        <f t="shared" si="38"/>
        <v/>
      </c>
      <c r="R122" s="48" t="e">
        <f t="shared" si="39"/>
        <v>#VALUE!</v>
      </c>
      <c r="S122" s="49" t="e">
        <f t="shared" si="32"/>
        <v>#VALUE!</v>
      </c>
      <c r="T122" s="48" t="str">
        <f t="shared" si="53"/>
        <v/>
      </c>
      <c r="U122" s="50"/>
      <c r="V122" s="51"/>
      <c r="W122" s="52" t="e">
        <f t="shared" si="40"/>
        <v>#VALUE!</v>
      </c>
      <c r="X122" s="53"/>
      <c r="Y122" s="53"/>
      <c r="Z122" s="53"/>
      <c r="AA122" s="48" t="e">
        <f>INDEX([1]!VISITORS[INSECT ORDER], MATCH(X122,[1]!VISITORS[NAME USED],0))</f>
        <v>#REF!</v>
      </c>
      <c r="AB122" s="48" t="e">
        <f t="shared" si="41"/>
        <v>#REF!</v>
      </c>
      <c r="AC122" s="54" t="e">
        <f t="shared" si="42"/>
        <v>#VALUE!</v>
      </c>
      <c r="AD122" s="55" t="str">
        <f t="shared" si="54"/>
        <v/>
      </c>
      <c r="AE122" s="55"/>
      <c r="AF122" s="55"/>
      <c r="AG122" s="56" t="str">
        <f t="shared" si="55"/>
        <v/>
      </c>
      <c r="AH122" s="57" t="str">
        <f t="shared" si="56"/>
        <v/>
      </c>
      <c r="AI122" s="56"/>
      <c r="AJ122" s="57" t="str">
        <f t="shared" si="57"/>
        <v/>
      </c>
      <c r="AK122" s="56"/>
      <c r="AL122" s="57" t="str">
        <f t="shared" si="58"/>
        <v/>
      </c>
      <c r="AM122" s="56"/>
      <c r="AN122" s="57" t="str">
        <f t="shared" si="43"/>
        <v/>
      </c>
      <c r="AO122" s="56"/>
      <c r="AP122" s="57" t="str">
        <f t="shared" si="44"/>
        <v/>
      </c>
      <c r="AQ122" s="56"/>
      <c r="AR122" s="57" t="str">
        <f t="shared" si="45"/>
        <v/>
      </c>
      <c r="AS122" s="56"/>
      <c r="AT122" s="57" t="str">
        <f t="shared" si="46"/>
        <v/>
      </c>
      <c r="AU122" s="58"/>
      <c r="AV122" s="59"/>
      <c r="AW122" s="59"/>
      <c r="AX122" s="60"/>
      <c r="AY122" s="61" t="str">
        <f t="shared" si="59"/>
        <v/>
      </c>
      <c r="AZ122" s="62" t="str">
        <f t="shared" si="47"/>
        <v/>
      </c>
      <c r="BA122" s="61" t="str">
        <f t="shared" si="48"/>
        <v/>
      </c>
      <c r="BB122" s="62" t="str">
        <f t="shared" si="49"/>
        <v/>
      </c>
    </row>
    <row r="123" spans="1:54" s="3" customFormat="1" hidden="1" x14ac:dyDescent="0.35">
      <c r="A123" s="73">
        <f t="shared" si="33"/>
        <v>2019</v>
      </c>
      <c r="B123" s="73" t="str">
        <f t="shared" si="34"/>
        <v>Nov</v>
      </c>
      <c r="C123" s="74">
        <f t="shared" si="50"/>
        <v>16</v>
      </c>
      <c r="D123" s="75">
        <f t="shared" si="35"/>
        <v>17</v>
      </c>
      <c r="E123" s="76">
        <f t="shared" si="36"/>
        <v>46</v>
      </c>
      <c r="F123" s="80"/>
      <c r="G123" s="83"/>
      <c r="H123" s="69" t="str">
        <f t="shared" si="51"/>
        <v>Senbur6_20191116_17_00</v>
      </c>
      <c r="I123" s="70">
        <f t="shared" si="62"/>
        <v>1</v>
      </c>
      <c r="J123" s="77" t="str">
        <f t="shared" si="62"/>
        <v>Senecio</v>
      </c>
      <c r="K123" s="77" t="str">
        <f t="shared" si="62"/>
        <v>burtoni</v>
      </c>
      <c r="L123" s="78">
        <f t="shared" si="62"/>
        <v>6</v>
      </c>
      <c r="M123" s="78">
        <f t="shared" si="62"/>
        <v>12</v>
      </c>
      <c r="N123" s="72">
        <f t="shared" si="62"/>
        <v>0</v>
      </c>
      <c r="O123" s="45"/>
      <c r="P123" s="46" t="str">
        <f t="shared" si="37"/>
        <v/>
      </c>
      <c r="Q123" s="47" t="str">
        <f t="shared" si="38"/>
        <v/>
      </c>
      <c r="R123" s="48" t="e">
        <f t="shared" si="39"/>
        <v>#VALUE!</v>
      </c>
      <c r="S123" s="49" t="e">
        <f t="shared" si="32"/>
        <v>#VALUE!</v>
      </c>
      <c r="T123" s="48" t="str">
        <f t="shared" si="53"/>
        <v/>
      </c>
      <c r="U123" s="50"/>
      <c r="V123" s="51"/>
      <c r="W123" s="52" t="e">
        <f t="shared" si="40"/>
        <v>#VALUE!</v>
      </c>
      <c r="X123" s="53"/>
      <c r="Y123" s="53"/>
      <c r="Z123" s="53"/>
      <c r="AA123" s="48" t="e">
        <f>INDEX([1]!VISITORS[INSECT ORDER], MATCH(X123,[1]!VISITORS[NAME USED],0))</f>
        <v>#REF!</v>
      </c>
      <c r="AB123" s="48" t="e">
        <f t="shared" si="41"/>
        <v>#REF!</v>
      </c>
      <c r="AC123" s="54" t="e">
        <f t="shared" si="42"/>
        <v>#VALUE!</v>
      </c>
      <c r="AD123" s="55" t="str">
        <f t="shared" si="54"/>
        <v/>
      </c>
      <c r="AE123" s="55"/>
      <c r="AF123" s="55"/>
      <c r="AG123" s="56" t="str">
        <f t="shared" si="55"/>
        <v/>
      </c>
      <c r="AH123" s="57" t="str">
        <f t="shared" si="56"/>
        <v/>
      </c>
      <c r="AI123" s="56"/>
      <c r="AJ123" s="57" t="str">
        <f t="shared" si="57"/>
        <v/>
      </c>
      <c r="AK123" s="56"/>
      <c r="AL123" s="57" t="str">
        <f t="shared" si="58"/>
        <v/>
      </c>
      <c r="AM123" s="56"/>
      <c r="AN123" s="57" t="str">
        <f t="shared" si="43"/>
        <v/>
      </c>
      <c r="AO123" s="56"/>
      <c r="AP123" s="57" t="str">
        <f t="shared" si="44"/>
        <v/>
      </c>
      <c r="AQ123" s="56"/>
      <c r="AR123" s="57" t="str">
        <f t="shared" si="45"/>
        <v/>
      </c>
      <c r="AS123" s="56"/>
      <c r="AT123" s="57" t="str">
        <f t="shared" si="46"/>
        <v/>
      </c>
      <c r="AU123" s="58"/>
      <c r="AV123" s="59"/>
      <c r="AW123" s="59"/>
      <c r="AX123" s="60"/>
      <c r="AY123" s="61" t="str">
        <f t="shared" si="59"/>
        <v/>
      </c>
      <c r="AZ123" s="62" t="str">
        <f t="shared" si="47"/>
        <v/>
      </c>
      <c r="BA123" s="61" t="str">
        <f t="shared" si="48"/>
        <v/>
      </c>
      <c r="BB123" s="62" t="str">
        <f t="shared" si="49"/>
        <v/>
      </c>
    </row>
    <row r="124" spans="1:54" s="3" customFormat="1" hidden="1" x14ac:dyDescent="0.35">
      <c r="A124" s="73">
        <f t="shared" si="33"/>
        <v>2019</v>
      </c>
      <c r="B124" s="73" t="str">
        <f t="shared" si="34"/>
        <v>Nov</v>
      </c>
      <c r="C124" s="74">
        <f t="shared" si="50"/>
        <v>16</v>
      </c>
      <c r="D124" s="75">
        <f t="shared" si="35"/>
        <v>17</v>
      </c>
      <c r="E124" s="76">
        <f t="shared" si="36"/>
        <v>47</v>
      </c>
      <c r="F124" s="80"/>
      <c r="G124" s="83"/>
      <c r="H124" s="69" t="str">
        <f t="shared" si="51"/>
        <v>Senbur6_20191116_17_00</v>
      </c>
      <c r="I124" s="70">
        <f t="shared" si="62"/>
        <v>1</v>
      </c>
      <c r="J124" s="77" t="str">
        <f t="shared" si="62"/>
        <v>Senecio</v>
      </c>
      <c r="K124" s="77" t="str">
        <f t="shared" si="62"/>
        <v>burtoni</v>
      </c>
      <c r="L124" s="78">
        <f t="shared" si="62"/>
        <v>6</v>
      </c>
      <c r="M124" s="78">
        <f t="shared" si="62"/>
        <v>12</v>
      </c>
      <c r="N124" s="72">
        <f t="shared" si="62"/>
        <v>0</v>
      </c>
      <c r="O124" s="45"/>
      <c r="P124" s="46" t="str">
        <f t="shared" si="37"/>
        <v/>
      </c>
      <c r="Q124" s="47" t="str">
        <f t="shared" si="38"/>
        <v/>
      </c>
      <c r="R124" s="48" t="e">
        <f t="shared" si="39"/>
        <v>#VALUE!</v>
      </c>
      <c r="S124" s="49" t="e">
        <f t="shared" si="32"/>
        <v>#VALUE!</v>
      </c>
      <c r="T124" s="48" t="str">
        <f t="shared" si="53"/>
        <v/>
      </c>
      <c r="U124" s="50"/>
      <c r="V124" s="51"/>
      <c r="W124" s="52" t="e">
        <f t="shared" si="40"/>
        <v>#VALUE!</v>
      </c>
      <c r="X124" s="53"/>
      <c r="Y124" s="53"/>
      <c r="Z124" s="53"/>
      <c r="AA124" s="48" t="e">
        <f>INDEX([1]!VISITORS[INSECT ORDER], MATCH(X124,[1]!VISITORS[NAME USED],0))</f>
        <v>#REF!</v>
      </c>
      <c r="AB124" s="48" t="e">
        <f t="shared" si="41"/>
        <v>#REF!</v>
      </c>
      <c r="AC124" s="54" t="e">
        <f t="shared" si="42"/>
        <v>#VALUE!</v>
      </c>
      <c r="AD124" s="55" t="str">
        <f t="shared" si="54"/>
        <v/>
      </c>
      <c r="AE124" s="55"/>
      <c r="AF124" s="55"/>
      <c r="AG124" s="56" t="str">
        <f t="shared" si="55"/>
        <v/>
      </c>
      <c r="AH124" s="57" t="str">
        <f t="shared" si="56"/>
        <v/>
      </c>
      <c r="AI124" s="56"/>
      <c r="AJ124" s="57" t="str">
        <f t="shared" si="57"/>
        <v/>
      </c>
      <c r="AK124" s="56"/>
      <c r="AL124" s="57" t="str">
        <f t="shared" si="58"/>
        <v/>
      </c>
      <c r="AM124" s="56"/>
      <c r="AN124" s="57" t="str">
        <f t="shared" si="43"/>
        <v/>
      </c>
      <c r="AO124" s="56"/>
      <c r="AP124" s="57" t="str">
        <f t="shared" si="44"/>
        <v/>
      </c>
      <c r="AQ124" s="56"/>
      <c r="AR124" s="57" t="str">
        <f t="shared" si="45"/>
        <v/>
      </c>
      <c r="AS124" s="56"/>
      <c r="AT124" s="57" t="str">
        <f t="shared" si="46"/>
        <v/>
      </c>
      <c r="AU124" s="58"/>
      <c r="AV124" s="59"/>
      <c r="AW124" s="59"/>
      <c r="AX124" s="60"/>
      <c r="AY124" s="61" t="str">
        <f t="shared" si="59"/>
        <v/>
      </c>
      <c r="AZ124" s="62" t="str">
        <f t="shared" si="47"/>
        <v/>
      </c>
      <c r="BA124" s="61" t="str">
        <f t="shared" si="48"/>
        <v/>
      </c>
      <c r="BB124" s="62" t="str">
        <f t="shared" si="49"/>
        <v/>
      </c>
    </row>
    <row r="125" spans="1:54" s="3" customFormat="1" hidden="1" x14ac:dyDescent="0.35">
      <c r="A125" s="73">
        <f t="shared" si="33"/>
        <v>2019</v>
      </c>
      <c r="B125" s="73" t="str">
        <f t="shared" si="34"/>
        <v>Nov</v>
      </c>
      <c r="C125" s="74">
        <f t="shared" si="50"/>
        <v>16</v>
      </c>
      <c r="D125" s="75">
        <f t="shared" si="35"/>
        <v>17</v>
      </c>
      <c r="E125" s="76">
        <f t="shared" si="36"/>
        <v>48</v>
      </c>
      <c r="F125" s="80"/>
      <c r="G125" s="83"/>
      <c r="H125" s="69" t="str">
        <f t="shared" si="51"/>
        <v>Senbur6_20191116_17_00</v>
      </c>
      <c r="I125" s="70">
        <f t="shared" si="62"/>
        <v>1</v>
      </c>
      <c r="J125" s="77" t="str">
        <f t="shared" si="62"/>
        <v>Senecio</v>
      </c>
      <c r="K125" s="77" t="str">
        <f t="shared" si="62"/>
        <v>burtoni</v>
      </c>
      <c r="L125" s="78">
        <f t="shared" si="62"/>
        <v>6</v>
      </c>
      <c r="M125" s="78">
        <f t="shared" si="62"/>
        <v>12</v>
      </c>
      <c r="N125" s="72">
        <f t="shared" si="62"/>
        <v>0</v>
      </c>
      <c r="O125" s="45"/>
      <c r="P125" s="46" t="str">
        <f t="shared" si="37"/>
        <v/>
      </c>
      <c r="Q125" s="47" t="str">
        <f t="shared" si="38"/>
        <v/>
      </c>
      <c r="R125" s="48" t="e">
        <f t="shared" si="39"/>
        <v>#VALUE!</v>
      </c>
      <c r="S125" s="49" t="e">
        <f t="shared" si="32"/>
        <v>#VALUE!</v>
      </c>
      <c r="T125" s="48" t="str">
        <f t="shared" si="53"/>
        <v/>
      </c>
      <c r="U125" s="50"/>
      <c r="V125" s="51"/>
      <c r="W125" s="52" t="e">
        <f t="shared" si="40"/>
        <v>#VALUE!</v>
      </c>
      <c r="X125" s="53"/>
      <c r="Y125" s="53"/>
      <c r="Z125" s="53"/>
      <c r="AA125" s="48" t="e">
        <f>INDEX([1]!VISITORS[INSECT ORDER], MATCH(X125,[1]!VISITORS[NAME USED],0))</f>
        <v>#REF!</v>
      </c>
      <c r="AB125" s="48" t="e">
        <f t="shared" si="41"/>
        <v>#REF!</v>
      </c>
      <c r="AC125" s="54" t="e">
        <f t="shared" si="42"/>
        <v>#VALUE!</v>
      </c>
      <c r="AD125" s="55" t="str">
        <f t="shared" si="54"/>
        <v/>
      </c>
      <c r="AE125" s="55"/>
      <c r="AF125" s="55"/>
      <c r="AG125" s="56" t="str">
        <f t="shared" si="55"/>
        <v/>
      </c>
      <c r="AH125" s="57" t="str">
        <f t="shared" si="56"/>
        <v/>
      </c>
      <c r="AI125" s="56"/>
      <c r="AJ125" s="57" t="str">
        <f t="shared" si="57"/>
        <v/>
      </c>
      <c r="AK125" s="56"/>
      <c r="AL125" s="57" t="str">
        <f t="shared" si="58"/>
        <v/>
      </c>
      <c r="AM125" s="56"/>
      <c r="AN125" s="57" t="str">
        <f t="shared" si="43"/>
        <v/>
      </c>
      <c r="AO125" s="56"/>
      <c r="AP125" s="57" t="str">
        <f t="shared" si="44"/>
        <v/>
      </c>
      <c r="AQ125" s="56"/>
      <c r="AR125" s="57" t="str">
        <f t="shared" si="45"/>
        <v/>
      </c>
      <c r="AS125" s="56"/>
      <c r="AT125" s="57" t="str">
        <f t="shared" si="46"/>
        <v/>
      </c>
      <c r="AU125" s="58"/>
      <c r="AV125" s="59"/>
      <c r="AW125" s="59"/>
      <c r="AX125" s="60"/>
      <c r="AY125" s="61" t="str">
        <f t="shared" si="59"/>
        <v/>
      </c>
      <c r="AZ125" s="62" t="str">
        <f t="shared" si="47"/>
        <v/>
      </c>
      <c r="BA125" s="61" t="str">
        <f t="shared" si="48"/>
        <v/>
      </c>
      <c r="BB125" s="62" t="str">
        <f t="shared" si="49"/>
        <v/>
      </c>
    </row>
    <row r="126" spans="1:54" s="3" customFormat="1" hidden="1" x14ac:dyDescent="0.35">
      <c r="A126" s="73">
        <f t="shared" si="33"/>
        <v>2019</v>
      </c>
      <c r="B126" s="73" t="str">
        <f t="shared" si="34"/>
        <v>Nov</v>
      </c>
      <c r="C126" s="74">
        <f t="shared" si="50"/>
        <v>16</v>
      </c>
      <c r="D126" s="75">
        <f t="shared" si="35"/>
        <v>17</v>
      </c>
      <c r="E126" s="76">
        <f t="shared" si="36"/>
        <v>49</v>
      </c>
      <c r="F126" s="80"/>
      <c r="G126" s="83"/>
      <c r="H126" s="69" t="str">
        <f t="shared" si="51"/>
        <v>Senbur6_20191116_17_00</v>
      </c>
      <c r="I126" s="70">
        <f t="shared" si="62"/>
        <v>1</v>
      </c>
      <c r="J126" s="77" t="str">
        <f t="shared" si="62"/>
        <v>Senecio</v>
      </c>
      <c r="K126" s="77" t="str">
        <f t="shared" si="62"/>
        <v>burtoni</v>
      </c>
      <c r="L126" s="78">
        <f t="shared" si="62"/>
        <v>6</v>
      </c>
      <c r="M126" s="78">
        <f t="shared" si="62"/>
        <v>12</v>
      </c>
      <c r="N126" s="72">
        <f t="shared" si="62"/>
        <v>0</v>
      </c>
      <c r="O126" s="45"/>
      <c r="P126" s="46" t="str">
        <f t="shared" si="37"/>
        <v/>
      </c>
      <c r="Q126" s="47" t="str">
        <f t="shared" si="38"/>
        <v/>
      </c>
      <c r="R126" s="48" t="e">
        <f t="shared" si="39"/>
        <v>#VALUE!</v>
      </c>
      <c r="S126" s="49" t="e">
        <f t="shared" si="32"/>
        <v>#VALUE!</v>
      </c>
      <c r="T126" s="48" t="str">
        <f t="shared" si="53"/>
        <v/>
      </c>
      <c r="U126" s="50"/>
      <c r="V126" s="51"/>
      <c r="W126" s="52" t="e">
        <f t="shared" si="40"/>
        <v>#VALUE!</v>
      </c>
      <c r="X126" s="53"/>
      <c r="Y126" s="53"/>
      <c r="Z126" s="53"/>
      <c r="AA126" s="48" t="e">
        <f>INDEX([1]!VISITORS[INSECT ORDER], MATCH(X126,[1]!VISITORS[NAME USED],0))</f>
        <v>#REF!</v>
      </c>
      <c r="AB126" s="48" t="e">
        <f t="shared" si="41"/>
        <v>#REF!</v>
      </c>
      <c r="AC126" s="54" t="e">
        <f t="shared" si="42"/>
        <v>#VALUE!</v>
      </c>
      <c r="AD126" s="55" t="str">
        <f t="shared" si="54"/>
        <v/>
      </c>
      <c r="AE126" s="55"/>
      <c r="AF126" s="55"/>
      <c r="AG126" s="56" t="str">
        <f t="shared" si="55"/>
        <v/>
      </c>
      <c r="AH126" s="57" t="str">
        <f t="shared" si="56"/>
        <v/>
      </c>
      <c r="AI126" s="56"/>
      <c r="AJ126" s="57" t="str">
        <f t="shared" si="57"/>
        <v/>
      </c>
      <c r="AK126" s="56"/>
      <c r="AL126" s="57" t="str">
        <f t="shared" si="58"/>
        <v/>
      </c>
      <c r="AM126" s="56"/>
      <c r="AN126" s="57" t="str">
        <f t="shared" si="43"/>
        <v/>
      </c>
      <c r="AO126" s="56"/>
      <c r="AP126" s="57" t="str">
        <f t="shared" si="44"/>
        <v/>
      </c>
      <c r="AQ126" s="56"/>
      <c r="AR126" s="57" t="str">
        <f t="shared" si="45"/>
        <v/>
      </c>
      <c r="AS126" s="56"/>
      <c r="AT126" s="57" t="str">
        <f t="shared" si="46"/>
        <v/>
      </c>
      <c r="AU126" s="58"/>
      <c r="AV126" s="59"/>
      <c r="AW126" s="59"/>
      <c r="AX126" s="60"/>
      <c r="AY126" s="61" t="str">
        <f t="shared" si="59"/>
        <v/>
      </c>
      <c r="AZ126" s="62" t="str">
        <f t="shared" si="47"/>
        <v/>
      </c>
      <c r="BA126" s="61" t="str">
        <f t="shared" si="48"/>
        <v/>
      </c>
      <c r="BB126" s="62" t="str">
        <f t="shared" si="49"/>
        <v/>
      </c>
    </row>
    <row r="127" spans="1:54" s="3" customFormat="1" hidden="1" x14ac:dyDescent="0.35">
      <c r="A127" s="73">
        <f t="shared" si="33"/>
        <v>2019</v>
      </c>
      <c r="B127" s="73" t="str">
        <f t="shared" si="34"/>
        <v>Nov</v>
      </c>
      <c r="C127" s="74">
        <f t="shared" si="50"/>
        <v>16</v>
      </c>
      <c r="D127" s="75">
        <f t="shared" si="35"/>
        <v>17</v>
      </c>
      <c r="E127" s="76">
        <f t="shared" si="36"/>
        <v>50</v>
      </c>
      <c r="F127" s="80"/>
      <c r="G127" s="83"/>
      <c r="H127" s="69" t="str">
        <f t="shared" si="51"/>
        <v>Senbur6_20191116_17_00</v>
      </c>
      <c r="I127" s="70">
        <f t="shared" si="62"/>
        <v>1</v>
      </c>
      <c r="J127" s="77" t="str">
        <f t="shared" si="62"/>
        <v>Senecio</v>
      </c>
      <c r="K127" s="77" t="str">
        <f t="shared" si="62"/>
        <v>burtoni</v>
      </c>
      <c r="L127" s="78">
        <f t="shared" si="62"/>
        <v>6</v>
      </c>
      <c r="M127" s="78">
        <f t="shared" si="62"/>
        <v>12</v>
      </c>
      <c r="N127" s="72">
        <f t="shared" si="62"/>
        <v>0</v>
      </c>
      <c r="O127" s="45"/>
      <c r="P127" s="46" t="str">
        <f t="shared" si="37"/>
        <v/>
      </c>
      <c r="Q127" s="47" t="str">
        <f t="shared" si="38"/>
        <v/>
      </c>
      <c r="R127" s="48" t="e">
        <f t="shared" si="39"/>
        <v>#VALUE!</v>
      </c>
      <c r="S127" s="49" t="e">
        <f t="shared" si="32"/>
        <v>#VALUE!</v>
      </c>
      <c r="T127" s="48" t="str">
        <f t="shared" si="53"/>
        <v/>
      </c>
      <c r="U127" s="50"/>
      <c r="V127" s="51"/>
      <c r="W127" s="52" t="e">
        <f t="shared" si="40"/>
        <v>#VALUE!</v>
      </c>
      <c r="X127" s="53"/>
      <c r="Y127" s="53"/>
      <c r="Z127" s="53"/>
      <c r="AA127" s="48" t="e">
        <f>INDEX([1]!VISITORS[INSECT ORDER], MATCH(X127,[1]!VISITORS[NAME USED],0))</f>
        <v>#REF!</v>
      </c>
      <c r="AB127" s="48" t="e">
        <f t="shared" si="41"/>
        <v>#REF!</v>
      </c>
      <c r="AC127" s="54" t="e">
        <f t="shared" si="42"/>
        <v>#VALUE!</v>
      </c>
      <c r="AD127" s="55" t="str">
        <f t="shared" si="54"/>
        <v/>
      </c>
      <c r="AE127" s="55"/>
      <c r="AF127" s="55"/>
      <c r="AG127" s="56" t="str">
        <f t="shared" si="55"/>
        <v/>
      </c>
      <c r="AH127" s="57" t="str">
        <f t="shared" si="56"/>
        <v/>
      </c>
      <c r="AI127" s="56"/>
      <c r="AJ127" s="57" t="str">
        <f t="shared" si="57"/>
        <v/>
      </c>
      <c r="AK127" s="56"/>
      <c r="AL127" s="57" t="str">
        <f t="shared" si="58"/>
        <v/>
      </c>
      <c r="AM127" s="56"/>
      <c r="AN127" s="57" t="str">
        <f t="shared" si="43"/>
        <v/>
      </c>
      <c r="AO127" s="56"/>
      <c r="AP127" s="57" t="str">
        <f t="shared" si="44"/>
        <v/>
      </c>
      <c r="AQ127" s="56"/>
      <c r="AR127" s="57" t="str">
        <f t="shared" si="45"/>
        <v/>
      </c>
      <c r="AS127" s="56"/>
      <c r="AT127" s="57" t="str">
        <f t="shared" si="46"/>
        <v/>
      </c>
      <c r="AU127" s="58"/>
      <c r="AV127" s="59"/>
      <c r="AW127" s="59"/>
      <c r="AX127" s="60"/>
      <c r="AY127" s="61" t="str">
        <f t="shared" si="59"/>
        <v/>
      </c>
      <c r="AZ127" s="62" t="str">
        <f t="shared" si="47"/>
        <v/>
      </c>
      <c r="BA127" s="61" t="str">
        <f t="shared" si="48"/>
        <v/>
      </c>
      <c r="BB127" s="62" t="str">
        <f t="shared" si="49"/>
        <v/>
      </c>
    </row>
    <row r="128" spans="1:54" s="3" customFormat="1" hidden="1" x14ac:dyDescent="0.35">
      <c r="A128" s="73">
        <f t="shared" si="33"/>
        <v>2019</v>
      </c>
      <c r="B128" s="73" t="str">
        <f t="shared" si="34"/>
        <v>Nov</v>
      </c>
      <c r="C128" s="74">
        <f t="shared" si="50"/>
        <v>16</v>
      </c>
      <c r="D128" s="75">
        <f t="shared" si="35"/>
        <v>17</v>
      </c>
      <c r="E128" s="76">
        <f t="shared" si="36"/>
        <v>51</v>
      </c>
      <c r="F128" s="80"/>
      <c r="G128" s="83"/>
      <c r="H128" s="69" t="str">
        <f t="shared" si="51"/>
        <v>Senbur6_20191116_17_00</v>
      </c>
      <c r="I128" s="70">
        <f t="shared" si="62"/>
        <v>1</v>
      </c>
      <c r="J128" s="77" t="str">
        <f t="shared" si="62"/>
        <v>Senecio</v>
      </c>
      <c r="K128" s="77" t="str">
        <f t="shared" si="62"/>
        <v>burtoni</v>
      </c>
      <c r="L128" s="78">
        <f t="shared" si="62"/>
        <v>6</v>
      </c>
      <c r="M128" s="78">
        <f t="shared" si="62"/>
        <v>12</v>
      </c>
      <c r="N128" s="72">
        <f t="shared" si="62"/>
        <v>0</v>
      </c>
      <c r="O128" s="45"/>
      <c r="P128" s="46" t="str">
        <f t="shared" si="37"/>
        <v/>
      </c>
      <c r="Q128" s="47" t="str">
        <f t="shared" si="38"/>
        <v/>
      </c>
      <c r="R128" s="48" t="e">
        <f t="shared" si="39"/>
        <v>#VALUE!</v>
      </c>
      <c r="S128" s="49" t="e">
        <f t="shared" si="32"/>
        <v>#VALUE!</v>
      </c>
      <c r="T128" s="48" t="str">
        <f t="shared" si="53"/>
        <v/>
      </c>
      <c r="U128" s="50"/>
      <c r="V128" s="51"/>
      <c r="W128" s="52" t="e">
        <f t="shared" si="40"/>
        <v>#VALUE!</v>
      </c>
      <c r="X128" s="53"/>
      <c r="Y128" s="53"/>
      <c r="Z128" s="53"/>
      <c r="AA128" s="48" t="e">
        <f>INDEX([1]!VISITORS[INSECT ORDER], MATCH(X128,[1]!VISITORS[NAME USED],0))</f>
        <v>#REF!</v>
      </c>
      <c r="AB128" s="48" t="e">
        <f t="shared" si="41"/>
        <v>#REF!</v>
      </c>
      <c r="AC128" s="54" t="e">
        <f t="shared" si="42"/>
        <v>#VALUE!</v>
      </c>
      <c r="AD128" s="55" t="str">
        <f t="shared" si="54"/>
        <v/>
      </c>
      <c r="AE128" s="55"/>
      <c r="AF128" s="55"/>
      <c r="AG128" s="56" t="str">
        <f t="shared" si="55"/>
        <v/>
      </c>
      <c r="AH128" s="57" t="str">
        <f t="shared" si="56"/>
        <v/>
      </c>
      <c r="AI128" s="56"/>
      <c r="AJ128" s="57" t="str">
        <f t="shared" si="57"/>
        <v/>
      </c>
      <c r="AK128" s="56"/>
      <c r="AL128" s="57" t="str">
        <f t="shared" si="58"/>
        <v/>
      </c>
      <c r="AM128" s="56"/>
      <c r="AN128" s="57" t="str">
        <f t="shared" si="43"/>
        <v/>
      </c>
      <c r="AO128" s="56"/>
      <c r="AP128" s="57" t="str">
        <f t="shared" si="44"/>
        <v/>
      </c>
      <c r="AQ128" s="56"/>
      <c r="AR128" s="57" t="str">
        <f t="shared" si="45"/>
        <v/>
      </c>
      <c r="AS128" s="56"/>
      <c r="AT128" s="57" t="str">
        <f t="shared" si="46"/>
        <v/>
      </c>
      <c r="AU128" s="58"/>
      <c r="AV128" s="59"/>
      <c r="AW128" s="59"/>
      <c r="AX128" s="60"/>
      <c r="AY128" s="61" t="str">
        <f t="shared" si="59"/>
        <v/>
      </c>
      <c r="AZ128" s="62" t="str">
        <f t="shared" si="47"/>
        <v/>
      </c>
      <c r="BA128" s="61" t="str">
        <f t="shared" si="48"/>
        <v/>
      </c>
      <c r="BB128" s="62" t="str">
        <f t="shared" si="49"/>
        <v/>
      </c>
    </row>
    <row r="129" spans="1:54" s="3" customFormat="1" hidden="1" x14ac:dyDescent="0.35">
      <c r="A129" s="73">
        <f t="shared" si="33"/>
        <v>2019</v>
      </c>
      <c r="B129" s="73" t="str">
        <f t="shared" si="34"/>
        <v>Nov</v>
      </c>
      <c r="C129" s="74">
        <f t="shared" si="50"/>
        <v>16</v>
      </c>
      <c r="D129" s="75">
        <f t="shared" si="35"/>
        <v>17</v>
      </c>
      <c r="E129" s="76">
        <f t="shared" si="36"/>
        <v>52</v>
      </c>
      <c r="F129" s="80"/>
      <c r="G129" s="83"/>
      <c r="H129" s="69" t="str">
        <f t="shared" si="51"/>
        <v>Senbur6_20191116_17_00</v>
      </c>
      <c r="I129" s="70">
        <f t="shared" si="62"/>
        <v>1</v>
      </c>
      <c r="J129" s="77" t="str">
        <f t="shared" si="62"/>
        <v>Senecio</v>
      </c>
      <c r="K129" s="77" t="str">
        <f t="shared" si="62"/>
        <v>burtoni</v>
      </c>
      <c r="L129" s="78">
        <f t="shared" si="62"/>
        <v>6</v>
      </c>
      <c r="M129" s="78">
        <f t="shared" si="62"/>
        <v>12</v>
      </c>
      <c r="N129" s="72">
        <f t="shared" si="62"/>
        <v>0</v>
      </c>
      <c r="O129" s="45"/>
      <c r="P129" s="46" t="str">
        <f t="shared" si="37"/>
        <v/>
      </c>
      <c r="Q129" s="47" t="str">
        <f t="shared" si="38"/>
        <v/>
      </c>
      <c r="R129" s="48" t="e">
        <f t="shared" si="39"/>
        <v>#VALUE!</v>
      </c>
      <c r="S129" s="49" t="e">
        <f t="shared" si="32"/>
        <v>#VALUE!</v>
      </c>
      <c r="T129" s="48" t="str">
        <f t="shared" si="53"/>
        <v/>
      </c>
      <c r="U129" s="50"/>
      <c r="V129" s="51"/>
      <c r="W129" s="52" t="e">
        <f t="shared" si="40"/>
        <v>#VALUE!</v>
      </c>
      <c r="X129" s="53"/>
      <c r="Y129" s="53"/>
      <c r="Z129" s="53"/>
      <c r="AA129" s="48" t="e">
        <f>INDEX([1]!VISITORS[INSECT ORDER], MATCH(X129,[1]!VISITORS[NAME USED],0))</f>
        <v>#REF!</v>
      </c>
      <c r="AB129" s="48" t="e">
        <f t="shared" si="41"/>
        <v>#REF!</v>
      </c>
      <c r="AC129" s="54" t="e">
        <f t="shared" si="42"/>
        <v>#VALUE!</v>
      </c>
      <c r="AD129" s="55" t="str">
        <f t="shared" si="54"/>
        <v/>
      </c>
      <c r="AE129" s="55"/>
      <c r="AF129" s="55"/>
      <c r="AG129" s="56" t="str">
        <f t="shared" si="55"/>
        <v/>
      </c>
      <c r="AH129" s="57" t="str">
        <f t="shared" si="56"/>
        <v/>
      </c>
      <c r="AI129" s="56"/>
      <c r="AJ129" s="57" t="str">
        <f t="shared" si="57"/>
        <v/>
      </c>
      <c r="AK129" s="56"/>
      <c r="AL129" s="57" t="str">
        <f t="shared" si="58"/>
        <v/>
      </c>
      <c r="AM129" s="56"/>
      <c r="AN129" s="57" t="str">
        <f t="shared" si="43"/>
        <v/>
      </c>
      <c r="AO129" s="56"/>
      <c r="AP129" s="57" t="str">
        <f t="shared" si="44"/>
        <v/>
      </c>
      <c r="AQ129" s="56"/>
      <c r="AR129" s="57" t="str">
        <f t="shared" si="45"/>
        <v/>
      </c>
      <c r="AS129" s="56"/>
      <c r="AT129" s="57" t="str">
        <f t="shared" si="46"/>
        <v/>
      </c>
      <c r="AU129" s="58"/>
      <c r="AV129" s="59"/>
      <c r="AW129" s="59"/>
      <c r="AX129" s="60"/>
      <c r="AY129" s="61" t="str">
        <f t="shared" si="59"/>
        <v/>
      </c>
      <c r="AZ129" s="62" t="str">
        <f t="shared" si="47"/>
        <v/>
      </c>
      <c r="BA129" s="61" t="str">
        <f t="shared" si="48"/>
        <v/>
      </c>
      <c r="BB129" s="62" t="str">
        <f t="shared" si="49"/>
        <v/>
      </c>
    </row>
    <row r="130" spans="1:54" s="3" customFormat="1" hidden="1" x14ac:dyDescent="0.35">
      <c r="A130" s="73">
        <f t="shared" si="33"/>
        <v>2019</v>
      </c>
      <c r="B130" s="73" t="str">
        <f t="shared" si="34"/>
        <v>Nov</v>
      </c>
      <c r="C130" s="74">
        <f t="shared" si="50"/>
        <v>16</v>
      </c>
      <c r="D130" s="75">
        <f t="shared" si="35"/>
        <v>17</v>
      </c>
      <c r="E130" s="76">
        <f t="shared" si="36"/>
        <v>53</v>
      </c>
      <c r="F130" s="80"/>
      <c r="G130" s="83"/>
      <c r="H130" s="69" t="str">
        <f t="shared" si="51"/>
        <v>Senbur6_20191116_17_00</v>
      </c>
      <c r="I130" s="70">
        <f t="shared" si="62"/>
        <v>1</v>
      </c>
      <c r="J130" s="77" t="str">
        <f t="shared" si="62"/>
        <v>Senecio</v>
      </c>
      <c r="K130" s="77" t="str">
        <f t="shared" si="62"/>
        <v>burtoni</v>
      </c>
      <c r="L130" s="78">
        <f t="shared" si="62"/>
        <v>6</v>
      </c>
      <c r="M130" s="78">
        <f t="shared" si="62"/>
        <v>12</v>
      </c>
      <c r="N130" s="72">
        <f t="shared" si="62"/>
        <v>0</v>
      </c>
      <c r="O130" s="45"/>
      <c r="P130" s="46" t="str">
        <f t="shared" si="37"/>
        <v/>
      </c>
      <c r="Q130" s="47" t="str">
        <f t="shared" si="38"/>
        <v/>
      </c>
      <c r="R130" s="48" t="e">
        <f t="shared" si="39"/>
        <v>#VALUE!</v>
      </c>
      <c r="S130" s="49" t="e">
        <f t="shared" si="32"/>
        <v>#VALUE!</v>
      </c>
      <c r="T130" s="48" t="str">
        <f t="shared" si="53"/>
        <v/>
      </c>
      <c r="U130" s="50"/>
      <c r="V130" s="51"/>
      <c r="W130" s="52" t="e">
        <f t="shared" si="40"/>
        <v>#VALUE!</v>
      </c>
      <c r="X130" s="53"/>
      <c r="Y130" s="53"/>
      <c r="Z130" s="53"/>
      <c r="AA130" s="48" t="e">
        <f>INDEX([1]!VISITORS[INSECT ORDER], MATCH(X130,[1]!VISITORS[NAME USED],0))</f>
        <v>#REF!</v>
      </c>
      <c r="AB130" s="48" t="e">
        <f t="shared" si="41"/>
        <v>#REF!</v>
      </c>
      <c r="AC130" s="54" t="e">
        <f t="shared" si="42"/>
        <v>#VALUE!</v>
      </c>
      <c r="AD130" s="55" t="str">
        <f t="shared" si="54"/>
        <v/>
      </c>
      <c r="AE130" s="55"/>
      <c r="AF130" s="55"/>
      <c r="AG130" s="56" t="str">
        <f t="shared" si="55"/>
        <v/>
      </c>
      <c r="AH130" s="57" t="str">
        <f t="shared" si="56"/>
        <v/>
      </c>
      <c r="AI130" s="56"/>
      <c r="AJ130" s="57" t="str">
        <f t="shared" si="57"/>
        <v/>
      </c>
      <c r="AK130" s="56"/>
      <c r="AL130" s="57" t="str">
        <f t="shared" si="58"/>
        <v/>
      </c>
      <c r="AM130" s="56"/>
      <c r="AN130" s="57" t="str">
        <f t="shared" si="43"/>
        <v/>
      </c>
      <c r="AO130" s="56"/>
      <c r="AP130" s="57" t="str">
        <f t="shared" si="44"/>
        <v/>
      </c>
      <c r="AQ130" s="56"/>
      <c r="AR130" s="57" t="str">
        <f t="shared" si="45"/>
        <v/>
      </c>
      <c r="AS130" s="56"/>
      <c r="AT130" s="57" t="str">
        <f t="shared" si="46"/>
        <v/>
      </c>
      <c r="AU130" s="58"/>
      <c r="AV130" s="59"/>
      <c r="AW130" s="59"/>
      <c r="AX130" s="60"/>
      <c r="AY130" s="61" t="str">
        <f t="shared" si="59"/>
        <v/>
      </c>
      <c r="AZ130" s="62" t="str">
        <f t="shared" si="47"/>
        <v/>
      </c>
      <c r="BA130" s="61" t="str">
        <f t="shared" si="48"/>
        <v/>
      </c>
      <c r="BB130" s="62" t="str">
        <f t="shared" si="49"/>
        <v/>
      </c>
    </row>
    <row r="131" spans="1:54" s="3" customFormat="1" hidden="1" x14ac:dyDescent="0.35">
      <c r="A131" s="73">
        <f t="shared" si="33"/>
        <v>2019</v>
      </c>
      <c r="B131" s="73" t="str">
        <f t="shared" si="34"/>
        <v>Nov</v>
      </c>
      <c r="C131" s="74">
        <f t="shared" si="50"/>
        <v>16</v>
      </c>
      <c r="D131" s="75">
        <f t="shared" si="35"/>
        <v>17</v>
      </c>
      <c r="E131" s="76">
        <f t="shared" si="36"/>
        <v>54</v>
      </c>
      <c r="F131" s="80"/>
      <c r="G131" s="83"/>
      <c r="H131" s="69" t="str">
        <f t="shared" si="51"/>
        <v>Senbur6_20191116_17_00</v>
      </c>
      <c r="I131" s="70">
        <f t="shared" si="62"/>
        <v>1</v>
      </c>
      <c r="J131" s="77" t="str">
        <f t="shared" si="62"/>
        <v>Senecio</v>
      </c>
      <c r="K131" s="77" t="str">
        <f t="shared" si="62"/>
        <v>burtoni</v>
      </c>
      <c r="L131" s="78">
        <f t="shared" si="62"/>
        <v>6</v>
      </c>
      <c r="M131" s="78">
        <f t="shared" si="62"/>
        <v>12</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53"/>
        <v/>
      </c>
      <c r="U131" s="50"/>
      <c r="V131" s="51"/>
      <c r="W131" s="52" t="e">
        <f t="shared" si="40"/>
        <v>#VALUE!</v>
      </c>
      <c r="X131" s="53"/>
      <c r="Y131" s="53"/>
      <c r="Z131" s="53"/>
      <c r="AA131" s="48" t="e">
        <f>INDEX([1]!VISITORS[INSECT ORDER], MATCH(X131,[1]!VISITORS[NAME USED],0))</f>
        <v>#REF!</v>
      </c>
      <c r="AB131" s="48" t="e">
        <f t="shared" si="41"/>
        <v>#REF!</v>
      </c>
      <c r="AC131" s="54" t="e">
        <f t="shared" si="42"/>
        <v>#VALUE!</v>
      </c>
      <c r="AD131" s="55" t="str">
        <f t="shared" si="54"/>
        <v/>
      </c>
      <c r="AE131" s="55"/>
      <c r="AF131" s="55"/>
      <c r="AG131" s="56" t="str">
        <f t="shared" si="55"/>
        <v/>
      </c>
      <c r="AH131" s="57" t="str">
        <f t="shared" si="56"/>
        <v/>
      </c>
      <c r="AI131" s="56"/>
      <c r="AJ131" s="57" t="str">
        <f t="shared" si="57"/>
        <v/>
      </c>
      <c r="AK131" s="56"/>
      <c r="AL131" s="57" t="str">
        <f t="shared" si="58"/>
        <v/>
      </c>
      <c r="AM131" s="56"/>
      <c r="AN131" s="57" t="str">
        <f t="shared" si="43"/>
        <v/>
      </c>
      <c r="AO131" s="56"/>
      <c r="AP131" s="57" t="str">
        <f t="shared" si="44"/>
        <v/>
      </c>
      <c r="AQ131" s="56"/>
      <c r="AR131" s="57" t="str">
        <f t="shared" si="45"/>
        <v/>
      </c>
      <c r="AS131" s="56"/>
      <c r="AT131" s="57" t="str">
        <f t="shared" si="46"/>
        <v/>
      </c>
      <c r="AU131" s="58"/>
      <c r="AV131" s="59"/>
      <c r="AW131" s="59"/>
      <c r="AX131" s="60"/>
      <c r="AY131" s="61" t="str">
        <f t="shared" si="59"/>
        <v/>
      </c>
      <c r="AZ131" s="62" t="str">
        <f t="shared" si="47"/>
        <v/>
      </c>
      <c r="BA131" s="61" t="str">
        <f t="shared" si="48"/>
        <v/>
      </c>
      <c r="BB131" s="62" t="str">
        <f t="shared" si="49"/>
        <v/>
      </c>
    </row>
    <row r="132" spans="1:54" s="3" customFormat="1" hidden="1" x14ac:dyDescent="0.35">
      <c r="A132" s="73">
        <f t="shared" ref="A132:A195" si="64">A131</f>
        <v>2019</v>
      </c>
      <c r="B132" s="73" t="str">
        <f t="shared" ref="B132:B195" si="65">IF(C131-C132&gt;0, TEXT(DATE(2016,(MONTH(DATEVALUE(B131&amp;"1"))+1),1),"mmm"), B131)</f>
        <v>Nov</v>
      </c>
      <c r="C132" s="74">
        <f t="shared" si="50"/>
        <v>16</v>
      </c>
      <c r="D132" s="75">
        <f t="shared" ref="D132:D195" si="66">IF(IF(E131=59,D131+1,D131)=24,0,IF(E131=59,D131+1,D131))</f>
        <v>17</v>
      </c>
      <c r="E132" s="76">
        <f t="shared" ref="E132:E195" si="67">IF(E131&lt;59,E131+1,0)</f>
        <v>55</v>
      </c>
      <c r="F132" s="80"/>
      <c r="G132" s="83"/>
      <c r="H132" s="69" t="str">
        <f t="shared" si="51"/>
        <v>Senbur6_20191116_17_00</v>
      </c>
      <c r="I132" s="70">
        <f t="shared" si="62"/>
        <v>1</v>
      </c>
      <c r="J132" s="77" t="str">
        <f t="shared" si="62"/>
        <v>Senecio</v>
      </c>
      <c r="K132" s="77" t="str">
        <f t="shared" si="62"/>
        <v>burtoni</v>
      </c>
      <c r="L132" s="78">
        <f t="shared" si="62"/>
        <v>6</v>
      </c>
      <c r="M132" s="78">
        <f t="shared" si="62"/>
        <v>12</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INDEX([1]!VISITORS[INSECT ORDER], MATCH(X132,[1]!VISITORS[NAME USED],0))</f>
        <v>#REF!</v>
      </c>
      <c r="AB132" s="48" t="e">
        <f t="shared" ref="AB132:AB195" si="73">IF(AA132&lt;&gt;0,"NA","")</f>
        <v>#REF!</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16</v>
      </c>
      <c r="D133" s="75">
        <f t="shared" si="66"/>
        <v>17</v>
      </c>
      <c r="E133" s="76">
        <f t="shared" si="67"/>
        <v>56</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Senbur6_20191116_17_00</v>
      </c>
      <c r="I133" s="70">
        <f t="shared" ref="I133:N148" si="90">I132</f>
        <v>1</v>
      </c>
      <c r="J133" s="77" t="str">
        <f t="shared" si="90"/>
        <v>Senecio</v>
      </c>
      <c r="K133" s="77" t="str">
        <f t="shared" si="90"/>
        <v>burtoni</v>
      </c>
      <c r="L133" s="78">
        <f t="shared" si="90"/>
        <v>6</v>
      </c>
      <c r="M133" s="78">
        <f t="shared" si="90"/>
        <v>12</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INDEX([1]!VISITORS[INSECT ORDER], MATCH(X133,[1]!VISITORS[NAME USED],0))</f>
        <v>#REF!</v>
      </c>
      <c r="AB133" s="48" t="e">
        <f t="shared" si="73"/>
        <v>#REF!</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16</v>
      </c>
      <c r="D134" s="75">
        <f t="shared" si="66"/>
        <v>17</v>
      </c>
      <c r="E134" s="76">
        <f t="shared" si="67"/>
        <v>57</v>
      </c>
      <c r="F134" s="80"/>
      <c r="G134" s="83"/>
      <c r="H134" s="69" t="str">
        <f t="shared" si="89"/>
        <v>Senbur6_20191116_17_00</v>
      </c>
      <c r="I134" s="70">
        <f t="shared" si="90"/>
        <v>1</v>
      </c>
      <c r="J134" s="77" t="str">
        <f t="shared" si="90"/>
        <v>Senecio</v>
      </c>
      <c r="K134" s="77" t="str">
        <f t="shared" si="90"/>
        <v>burtoni</v>
      </c>
      <c r="L134" s="78">
        <f t="shared" si="90"/>
        <v>6</v>
      </c>
      <c r="M134" s="78">
        <f t="shared" si="90"/>
        <v>12</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INDEX([1]!VISITORS[INSECT ORDER], MATCH(X134,[1]!VISITORS[NAME USED],0))</f>
        <v>#REF!</v>
      </c>
      <c r="AB134" s="48" t="e">
        <f t="shared" si="73"/>
        <v>#REF!</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16</v>
      </c>
      <c r="D135" s="75">
        <f t="shared" si="66"/>
        <v>17</v>
      </c>
      <c r="E135" s="76">
        <f t="shared" si="67"/>
        <v>58</v>
      </c>
      <c r="F135" s="80"/>
      <c r="G135" s="83"/>
      <c r="H135" s="69" t="str">
        <f t="shared" si="89"/>
        <v>Senbur6_20191116_17_00</v>
      </c>
      <c r="I135" s="70">
        <f t="shared" si="90"/>
        <v>1</v>
      </c>
      <c r="J135" s="77" t="str">
        <f t="shared" si="90"/>
        <v>Senecio</v>
      </c>
      <c r="K135" s="77" t="str">
        <f t="shared" si="90"/>
        <v>burtoni</v>
      </c>
      <c r="L135" s="78">
        <f t="shared" si="90"/>
        <v>6</v>
      </c>
      <c r="M135" s="78">
        <f t="shared" si="90"/>
        <v>12</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INDEX([1]!VISITORS[INSECT ORDER], MATCH(X135,[1]!VISITORS[NAME USED],0))</f>
        <v>#REF!</v>
      </c>
      <c r="AB135" s="48" t="e">
        <f t="shared" si="73"/>
        <v>#REF!</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16</v>
      </c>
      <c r="D136" s="75">
        <f t="shared" si="66"/>
        <v>17</v>
      </c>
      <c r="E136" s="76">
        <f t="shared" si="67"/>
        <v>59</v>
      </c>
      <c r="F136" s="80"/>
      <c r="G136" s="83"/>
      <c r="H136" s="69" t="str">
        <f t="shared" si="89"/>
        <v>Senbur6_20191116_17_00</v>
      </c>
      <c r="I136" s="70">
        <f t="shared" si="90"/>
        <v>1</v>
      </c>
      <c r="J136" s="77" t="str">
        <f t="shared" si="90"/>
        <v>Senecio</v>
      </c>
      <c r="K136" s="77" t="str">
        <f t="shared" si="90"/>
        <v>burtoni</v>
      </c>
      <c r="L136" s="78">
        <f t="shared" si="90"/>
        <v>6</v>
      </c>
      <c r="M136" s="78">
        <f t="shared" si="90"/>
        <v>12</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INDEX([1]!VISITORS[INSECT ORDER], MATCH(X136,[1]!VISITORS[NAME USED],0))</f>
        <v>#REF!</v>
      </c>
      <c r="AB136" s="48" t="e">
        <f t="shared" si="73"/>
        <v>#REF!</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16</v>
      </c>
      <c r="D137" s="75">
        <f t="shared" si="66"/>
        <v>18</v>
      </c>
      <c r="E137" s="76">
        <f t="shared" si="67"/>
        <v>0</v>
      </c>
      <c r="F137" s="80"/>
      <c r="G137" s="83"/>
      <c r="H137" s="69" t="str">
        <f t="shared" si="89"/>
        <v>Senbur6_20191116_18_00</v>
      </c>
      <c r="I137" s="70">
        <f t="shared" si="90"/>
        <v>1</v>
      </c>
      <c r="J137" s="77" t="str">
        <f t="shared" si="90"/>
        <v>Senecio</v>
      </c>
      <c r="K137" s="77" t="str">
        <f t="shared" si="90"/>
        <v>burtoni</v>
      </c>
      <c r="L137" s="78">
        <f t="shared" si="90"/>
        <v>6</v>
      </c>
      <c r="M137" s="78">
        <f t="shared" si="90"/>
        <v>12</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INDEX([1]!VISITORS[INSECT ORDER], MATCH(X137,[1]!VISITORS[NAME USED],0))</f>
        <v>#REF!</v>
      </c>
      <c r="AB137" s="48" t="e">
        <f t="shared" si="73"/>
        <v>#REF!</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16</v>
      </c>
      <c r="D138" s="75">
        <f t="shared" si="66"/>
        <v>18</v>
      </c>
      <c r="E138" s="76">
        <f t="shared" si="67"/>
        <v>1</v>
      </c>
      <c r="F138" s="80"/>
      <c r="G138" s="83"/>
      <c r="H138" s="69" t="str">
        <f t="shared" si="89"/>
        <v>Senbur6_20191116_18_00</v>
      </c>
      <c r="I138" s="70">
        <f t="shared" si="90"/>
        <v>1</v>
      </c>
      <c r="J138" s="77" t="str">
        <f t="shared" si="90"/>
        <v>Senecio</v>
      </c>
      <c r="K138" s="77" t="str">
        <f t="shared" si="90"/>
        <v>burtoni</v>
      </c>
      <c r="L138" s="78">
        <f t="shared" si="90"/>
        <v>6</v>
      </c>
      <c r="M138" s="78">
        <f t="shared" si="90"/>
        <v>12</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INDEX([1]!VISITORS[INSECT ORDER], MATCH(X138,[1]!VISITORS[NAME USED],0))</f>
        <v>#REF!</v>
      </c>
      <c r="AB138" s="48" t="e">
        <f t="shared" si="73"/>
        <v>#REF!</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16</v>
      </c>
      <c r="D139" s="75">
        <f t="shared" si="66"/>
        <v>18</v>
      </c>
      <c r="E139" s="76">
        <f t="shared" si="67"/>
        <v>2</v>
      </c>
      <c r="F139" s="80"/>
      <c r="G139" s="83"/>
      <c r="H139" s="69" t="str">
        <f t="shared" si="89"/>
        <v>Senbur6_20191116_18_00</v>
      </c>
      <c r="I139" s="70">
        <f t="shared" si="90"/>
        <v>1</v>
      </c>
      <c r="J139" s="77" t="str">
        <f t="shared" si="90"/>
        <v>Senecio</v>
      </c>
      <c r="K139" s="77" t="str">
        <f t="shared" si="90"/>
        <v>burtoni</v>
      </c>
      <c r="L139" s="78">
        <f t="shared" si="90"/>
        <v>6</v>
      </c>
      <c r="M139" s="78">
        <f t="shared" si="90"/>
        <v>12</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INDEX([1]!VISITORS[INSECT ORDER], MATCH(X139,[1]!VISITORS[NAME USED],0))</f>
        <v>#REF!</v>
      </c>
      <c r="AB139" s="48" t="e">
        <f t="shared" si="73"/>
        <v>#REF!</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16</v>
      </c>
      <c r="D140" s="75">
        <f t="shared" si="66"/>
        <v>18</v>
      </c>
      <c r="E140" s="76">
        <f t="shared" si="67"/>
        <v>3</v>
      </c>
      <c r="F140" s="80"/>
      <c r="G140" s="83"/>
      <c r="H140" s="69" t="str">
        <f t="shared" si="89"/>
        <v>Senbur6_20191116_18_00</v>
      </c>
      <c r="I140" s="70">
        <f t="shared" si="90"/>
        <v>1</v>
      </c>
      <c r="J140" s="77" t="str">
        <f t="shared" si="90"/>
        <v>Senecio</v>
      </c>
      <c r="K140" s="77" t="str">
        <f t="shared" si="90"/>
        <v>burtoni</v>
      </c>
      <c r="L140" s="78">
        <f t="shared" si="90"/>
        <v>6</v>
      </c>
      <c r="M140" s="78">
        <f t="shared" si="90"/>
        <v>12</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INDEX([1]!VISITORS[INSECT ORDER], MATCH(X140,[1]!VISITORS[NAME USED],0))</f>
        <v>#REF!</v>
      </c>
      <c r="AB140" s="48" t="e">
        <f t="shared" si="73"/>
        <v>#REF!</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16</v>
      </c>
      <c r="D141" s="75">
        <f t="shared" si="66"/>
        <v>18</v>
      </c>
      <c r="E141" s="76">
        <f t="shared" si="67"/>
        <v>4</v>
      </c>
      <c r="F141" s="80"/>
      <c r="G141" s="83"/>
      <c r="H141" s="69" t="str">
        <f t="shared" si="89"/>
        <v>Senbur6_20191116_18_00</v>
      </c>
      <c r="I141" s="70">
        <f t="shared" si="90"/>
        <v>1</v>
      </c>
      <c r="J141" s="77" t="str">
        <f t="shared" si="90"/>
        <v>Senecio</v>
      </c>
      <c r="K141" s="77" t="str">
        <f t="shared" si="90"/>
        <v>burtoni</v>
      </c>
      <c r="L141" s="78">
        <f t="shared" si="90"/>
        <v>6</v>
      </c>
      <c r="M141" s="78">
        <f t="shared" si="90"/>
        <v>12</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INDEX([1]!VISITORS[INSECT ORDER], MATCH(X141,[1]!VISITORS[NAME USED],0))</f>
        <v>#REF!</v>
      </c>
      <c r="AB141" s="48" t="e">
        <f t="shared" si="73"/>
        <v>#REF!</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16</v>
      </c>
      <c r="D142" s="75">
        <f t="shared" si="66"/>
        <v>18</v>
      </c>
      <c r="E142" s="76">
        <f t="shared" si="67"/>
        <v>5</v>
      </c>
      <c r="F142" s="80"/>
      <c r="G142" s="83"/>
      <c r="H142" s="69" t="str">
        <f t="shared" si="89"/>
        <v>Senbur6_20191116_18_00</v>
      </c>
      <c r="I142" s="70">
        <f t="shared" si="90"/>
        <v>1</v>
      </c>
      <c r="J142" s="77" t="str">
        <f t="shared" si="90"/>
        <v>Senecio</v>
      </c>
      <c r="K142" s="77" t="str">
        <f t="shared" si="90"/>
        <v>burtoni</v>
      </c>
      <c r="L142" s="78">
        <f t="shared" si="90"/>
        <v>6</v>
      </c>
      <c r="M142" s="78">
        <f t="shared" si="90"/>
        <v>12</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INDEX([1]!VISITORS[INSECT ORDER], MATCH(X142,[1]!VISITORS[NAME USED],0))</f>
        <v>#REF!</v>
      </c>
      <c r="AB142" s="48" t="e">
        <f t="shared" si="73"/>
        <v>#REF!</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16</v>
      </c>
      <c r="D143" s="75">
        <f t="shared" si="66"/>
        <v>18</v>
      </c>
      <c r="E143" s="76">
        <f t="shared" si="67"/>
        <v>6</v>
      </c>
      <c r="F143" s="80"/>
      <c r="G143" s="83"/>
      <c r="H143" s="69" t="str">
        <f t="shared" si="89"/>
        <v>Senbur6_20191116_18_00</v>
      </c>
      <c r="I143" s="70">
        <f t="shared" si="90"/>
        <v>1</v>
      </c>
      <c r="J143" s="77" t="str">
        <f t="shared" si="90"/>
        <v>Senecio</v>
      </c>
      <c r="K143" s="77" t="str">
        <f t="shared" si="90"/>
        <v>burtoni</v>
      </c>
      <c r="L143" s="78">
        <f t="shared" si="90"/>
        <v>6</v>
      </c>
      <c r="M143" s="78">
        <f t="shared" si="90"/>
        <v>12</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INDEX([1]!VISITORS[INSECT ORDER], MATCH(X143,[1]!VISITORS[NAME USED],0))</f>
        <v>#REF!</v>
      </c>
      <c r="AB143" s="48" t="e">
        <f t="shared" si="73"/>
        <v>#REF!</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16</v>
      </c>
      <c r="D144" s="75">
        <f t="shared" si="66"/>
        <v>18</v>
      </c>
      <c r="E144" s="76">
        <f t="shared" si="67"/>
        <v>7</v>
      </c>
      <c r="F144" s="80"/>
      <c r="G144" s="83"/>
      <c r="H144" s="69" t="str">
        <f t="shared" si="89"/>
        <v>Senbur6_20191116_18_00</v>
      </c>
      <c r="I144" s="70">
        <f t="shared" si="90"/>
        <v>1</v>
      </c>
      <c r="J144" s="77" t="str">
        <f t="shared" si="90"/>
        <v>Senecio</v>
      </c>
      <c r="K144" s="77" t="str">
        <f t="shared" si="90"/>
        <v>burtoni</v>
      </c>
      <c r="L144" s="78">
        <f t="shared" si="90"/>
        <v>6</v>
      </c>
      <c r="M144" s="78">
        <f t="shared" si="90"/>
        <v>12</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INDEX([1]!VISITORS[INSECT ORDER], MATCH(X144,[1]!VISITORS[NAME USED],0))</f>
        <v>#REF!</v>
      </c>
      <c r="AB144" s="48" t="e">
        <f t="shared" si="73"/>
        <v>#REF!</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16</v>
      </c>
      <c r="D145" s="75">
        <f t="shared" si="66"/>
        <v>18</v>
      </c>
      <c r="E145" s="76">
        <f t="shared" si="67"/>
        <v>8</v>
      </c>
      <c r="F145" s="80"/>
      <c r="G145" s="83"/>
      <c r="H145" s="69" t="str">
        <f t="shared" si="89"/>
        <v>Senbur6_20191116_18_00</v>
      </c>
      <c r="I145" s="70">
        <f t="shared" si="90"/>
        <v>1</v>
      </c>
      <c r="J145" s="77" t="str">
        <f t="shared" si="90"/>
        <v>Senecio</v>
      </c>
      <c r="K145" s="77" t="str">
        <f t="shared" si="90"/>
        <v>burtoni</v>
      </c>
      <c r="L145" s="78">
        <f t="shared" si="90"/>
        <v>6</v>
      </c>
      <c r="M145" s="78">
        <f t="shared" si="90"/>
        <v>12</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INDEX([1]!VISITORS[INSECT ORDER], MATCH(X145,[1]!VISITORS[NAME USED],0))</f>
        <v>#REF!</v>
      </c>
      <c r="AB145" s="48" t="e">
        <f t="shared" si="73"/>
        <v>#REF!</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16</v>
      </c>
      <c r="D146" s="75">
        <f t="shared" si="66"/>
        <v>18</v>
      </c>
      <c r="E146" s="76">
        <f t="shared" si="67"/>
        <v>9</v>
      </c>
      <c r="F146" s="80"/>
      <c r="G146" s="83"/>
      <c r="H146" s="69" t="str">
        <f t="shared" si="89"/>
        <v>Senbur6_20191116_18_00</v>
      </c>
      <c r="I146" s="70">
        <f t="shared" si="90"/>
        <v>1</v>
      </c>
      <c r="J146" s="77" t="str">
        <f t="shared" si="90"/>
        <v>Senecio</v>
      </c>
      <c r="K146" s="77" t="str">
        <f t="shared" si="90"/>
        <v>burtoni</v>
      </c>
      <c r="L146" s="78">
        <f t="shared" si="90"/>
        <v>6</v>
      </c>
      <c r="M146" s="78">
        <f t="shared" si="90"/>
        <v>12</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INDEX([1]!VISITORS[INSECT ORDER], MATCH(X146,[1]!VISITORS[NAME USED],0))</f>
        <v>#REF!</v>
      </c>
      <c r="AB146" s="48" t="e">
        <f t="shared" si="73"/>
        <v>#REF!</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16</v>
      </c>
      <c r="D147" s="75">
        <f t="shared" si="66"/>
        <v>18</v>
      </c>
      <c r="E147" s="76">
        <f t="shared" si="67"/>
        <v>10</v>
      </c>
      <c r="F147" s="80"/>
      <c r="G147" s="83"/>
      <c r="H147" s="69" t="str">
        <f t="shared" si="89"/>
        <v>Senbur6_20191116_18_00</v>
      </c>
      <c r="I147" s="70">
        <f t="shared" si="90"/>
        <v>1</v>
      </c>
      <c r="J147" s="77" t="str">
        <f t="shared" si="90"/>
        <v>Senecio</v>
      </c>
      <c r="K147" s="77" t="str">
        <f t="shared" si="90"/>
        <v>burtoni</v>
      </c>
      <c r="L147" s="78">
        <f t="shared" si="90"/>
        <v>6</v>
      </c>
      <c r="M147" s="78">
        <f t="shared" si="90"/>
        <v>12</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INDEX([1]!VISITORS[INSECT ORDER], MATCH(X147,[1]!VISITORS[NAME USED],0))</f>
        <v>#REF!</v>
      </c>
      <c r="AB147" s="48" t="e">
        <f t="shared" si="73"/>
        <v>#REF!</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16</v>
      </c>
      <c r="D148" s="75">
        <f t="shared" si="66"/>
        <v>18</v>
      </c>
      <c r="E148" s="76">
        <f t="shared" si="67"/>
        <v>11</v>
      </c>
      <c r="F148" s="80"/>
      <c r="G148" s="83"/>
      <c r="H148" s="69" t="str">
        <f t="shared" si="89"/>
        <v>Senbur6_20191116_18_00</v>
      </c>
      <c r="I148" s="70">
        <f t="shared" si="90"/>
        <v>1</v>
      </c>
      <c r="J148" s="77" t="str">
        <f t="shared" si="90"/>
        <v>Senecio</v>
      </c>
      <c r="K148" s="77" t="str">
        <f t="shared" si="90"/>
        <v>burtoni</v>
      </c>
      <c r="L148" s="78">
        <f t="shared" si="90"/>
        <v>6</v>
      </c>
      <c r="M148" s="78">
        <f t="shared" si="90"/>
        <v>12</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INDEX([1]!VISITORS[INSECT ORDER], MATCH(X148,[1]!VISITORS[NAME USED],0))</f>
        <v>#REF!</v>
      </c>
      <c r="AB148" s="48" t="e">
        <f t="shared" si="73"/>
        <v>#REF!</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16</v>
      </c>
      <c r="D149" s="75">
        <f t="shared" si="66"/>
        <v>18</v>
      </c>
      <c r="E149" s="76">
        <f t="shared" si="67"/>
        <v>12</v>
      </c>
      <c r="F149" s="80"/>
      <c r="G149" s="83"/>
      <c r="H149" s="69" t="str">
        <f t="shared" si="89"/>
        <v>Senbur6_20191116_18_00</v>
      </c>
      <c r="I149" s="70">
        <f t="shared" ref="I149:N164" si="91">I148</f>
        <v>1</v>
      </c>
      <c r="J149" s="77" t="str">
        <f t="shared" si="91"/>
        <v>Senecio</v>
      </c>
      <c r="K149" s="77" t="str">
        <f t="shared" si="91"/>
        <v>burtoni</v>
      </c>
      <c r="L149" s="78">
        <f t="shared" si="91"/>
        <v>6</v>
      </c>
      <c r="M149" s="78">
        <f t="shared" si="91"/>
        <v>12</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INDEX([1]!VISITORS[INSECT ORDER], MATCH(X149,[1]!VISITORS[NAME USED],0))</f>
        <v>#REF!</v>
      </c>
      <c r="AB149" s="48" t="e">
        <f t="shared" si="73"/>
        <v>#REF!</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16</v>
      </c>
      <c r="D150" s="75">
        <f t="shared" si="66"/>
        <v>18</v>
      </c>
      <c r="E150" s="76">
        <f t="shared" si="67"/>
        <v>13</v>
      </c>
      <c r="F150" s="80"/>
      <c r="G150" s="83"/>
      <c r="H150" s="69" t="str">
        <f t="shared" si="89"/>
        <v>Senbur6_20191116_18_00</v>
      </c>
      <c r="I150" s="70">
        <f t="shared" si="91"/>
        <v>1</v>
      </c>
      <c r="J150" s="77" t="str">
        <f t="shared" si="91"/>
        <v>Senecio</v>
      </c>
      <c r="K150" s="77" t="str">
        <f t="shared" si="91"/>
        <v>burtoni</v>
      </c>
      <c r="L150" s="78">
        <f t="shared" si="91"/>
        <v>6</v>
      </c>
      <c r="M150" s="78">
        <f t="shared" si="91"/>
        <v>12</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INDEX([1]!VISITORS[INSECT ORDER], MATCH(X150,[1]!VISITORS[NAME USED],0))</f>
        <v>#REF!</v>
      </c>
      <c r="AB150" s="48" t="e">
        <f t="shared" si="73"/>
        <v>#REF!</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16</v>
      </c>
      <c r="D151" s="75">
        <f t="shared" si="66"/>
        <v>18</v>
      </c>
      <c r="E151" s="76">
        <f t="shared" si="67"/>
        <v>14</v>
      </c>
      <c r="F151" s="80"/>
      <c r="G151" s="83"/>
      <c r="H151" s="69" t="str">
        <f t="shared" si="89"/>
        <v>Senbur6_20191116_18_00</v>
      </c>
      <c r="I151" s="70">
        <f t="shared" si="91"/>
        <v>1</v>
      </c>
      <c r="J151" s="77" t="str">
        <f t="shared" si="91"/>
        <v>Senecio</v>
      </c>
      <c r="K151" s="77" t="str">
        <f t="shared" si="91"/>
        <v>burtoni</v>
      </c>
      <c r="L151" s="78">
        <f t="shared" si="91"/>
        <v>6</v>
      </c>
      <c r="M151" s="78">
        <f t="shared" si="91"/>
        <v>12</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INDEX([1]!VISITORS[INSECT ORDER], MATCH(X151,[1]!VISITORS[NAME USED],0))</f>
        <v>#REF!</v>
      </c>
      <c r="AB151" s="48" t="e">
        <f t="shared" si="73"/>
        <v>#REF!</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16</v>
      </c>
      <c r="D152" s="75">
        <f t="shared" si="66"/>
        <v>18</v>
      </c>
      <c r="E152" s="76">
        <f t="shared" si="67"/>
        <v>15</v>
      </c>
      <c r="F152" s="80"/>
      <c r="G152" s="83"/>
      <c r="H152" s="69" t="str">
        <f t="shared" si="89"/>
        <v>Senbur6_20191116_18_00</v>
      </c>
      <c r="I152" s="70">
        <f t="shared" si="91"/>
        <v>1</v>
      </c>
      <c r="J152" s="77" t="str">
        <f t="shared" si="91"/>
        <v>Senecio</v>
      </c>
      <c r="K152" s="77" t="str">
        <f t="shared" si="91"/>
        <v>burtoni</v>
      </c>
      <c r="L152" s="78">
        <f t="shared" si="91"/>
        <v>6</v>
      </c>
      <c r="M152" s="78">
        <f t="shared" si="91"/>
        <v>12</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INDEX([1]!VISITORS[INSECT ORDER], MATCH(X152,[1]!VISITORS[NAME USED],0))</f>
        <v>#REF!</v>
      </c>
      <c r="AB152" s="48" t="e">
        <f t="shared" si="73"/>
        <v>#REF!</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16</v>
      </c>
      <c r="D153" s="75">
        <f t="shared" si="66"/>
        <v>18</v>
      </c>
      <c r="E153" s="76">
        <f t="shared" si="67"/>
        <v>16</v>
      </c>
      <c r="F153" s="80"/>
      <c r="G153" s="83"/>
      <c r="H153" s="69" t="str">
        <f t="shared" si="89"/>
        <v>Senbur6_20191116_18_00</v>
      </c>
      <c r="I153" s="70">
        <f t="shared" si="91"/>
        <v>1</v>
      </c>
      <c r="J153" s="77" t="str">
        <f t="shared" si="91"/>
        <v>Senecio</v>
      </c>
      <c r="K153" s="77" t="str">
        <f t="shared" si="91"/>
        <v>burtoni</v>
      </c>
      <c r="L153" s="78">
        <f t="shared" si="91"/>
        <v>6</v>
      </c>
      <c r="M153" s="78">
        <f t="shared" si="91"/>
        <v>12</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INDEX([1]!VISITORS[INSECT ORDER], MATCH(X153,[1]!VISITORS[NAME USED],0))</f>
        <v>#REF!</v>
      </c>
      <c r="AB153" s="48" t="e">
        <f t="shared" si="73"/>
        <v>#REF!</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16</v>
      </c>
      <c r="D154" s="75">
        <f t="shared" si="66"/>
        <v>18</v>
      </c>
      <c r="E154" s="76">
        <f t="shared" si="67"/>
        <v>17</v>
      </c>
      <c r="F154" s="80"/>
      <c r="G154" s="83"/>
      <c r="H154" s="69" t="str">
        <f t="shared" si="89"/>
        <v>Senbur6_20191116_18_00</v>
      </c>
      <c r="I154" s="70">
        <f t="shared" si="91"/>
        <v>1</v>
      </c>
      <c r="J154" s="77" t="str">
        <f t="shared" si="91"/>
        <v>Senecio</v>
      </c>
      <c r="K154" s="77" t="str">
        <f t="shared" si="91"/>
        <v>burtoni</v>
      </c>
      <c r="L154" s="78">
        <f t="shared" si="91"/>
        <v>6</v>
      </c>
      <c r="M154" s="78">
        <f t="shared" si="91"/>
        <v>12</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INDEX([1]!VISITORS[INSECT ORDER], MATCH(X154,[1]!VISITORS[NAME USED],0))</f>
        <v>#REF!</v>
      </c>
      <c r="AB154" s="48" t="e">
        <f t="shared" si="73"/>
        <v>#REF!</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16</v>
      </c>
      <c r="D155" s="75">
        <f t="shared" si="66"/>
        <v>18</v>
      </c>
      <c r="E155" s="76">
        <f t="shared" si="67"/>
        <v>18</v>
      </c>
      <c r="F155" s="80"/>
      <c r="G155" s="83"/>
      <c r="H155" s="69" t="str">
        <f t="shared" si="89"/>
        <v>Senbur6_20191116_18_00</v>
      </c>
      <c r="I155" s="70">
        <f t="shared" si="91"/>
        <v>1</v>
      </c>
      <c r="J155" s="77" t="str">
        <f t="shared" si="91"/>
        <v>Senecio</v>
      </c>
      <c r="K155" s="77" t="str">
        <f t="shared" si="91"/>
        <v>burtoni</v>
      </c>
      <c r="L155" s="78">
        <f t="shared" si="91"/>
        <v>6</v>
      </c>
      <c r="M155" s="78">
        <f t="shared" si="91"/>
        <v>12</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INDEX([1]!VISITORS[INSECT ORDER], MATCH(X155,[1]!VISITORS[NAME USED],0))</f>
        <v>#REF!</v>
      </c>
      <c r="AB155" s="48" t="e">
        <f t="shared" si="73"/>
        <v>#REF!</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16</v>
      </c>
      <c r="D156" s="75">
        <f t="shared" si="66"/>
        <v>18</v>
      </c>
      <c r="E156" s="76">
        <f t="shared" si="67"/>
        <v>19</v>
      </c>
      <c r="F156" s="80"/>
      <c r="G156" s="83"/>
      <c r="H156" s="69" t="str">
        <f t="shared" si="89"/>
        <v>Senbur6_20191116_18_00</v>
      </c>
      <c r="I156" s="70">
        <f t="shared" si="91"/>
        <v>1</v>
      </c>
      <c r="J156" s="77" t="str">
        <f t="shared" si="91"/>
        <v>Senecio</v>
      </c>
      <c r="K156" s="77" t="str">
        <f t="shared" si="91"/>
        <v>burtoni</v>
      </c>
      <c r="L156" s="78">
        <f t="shared" si="91"/>
        <v>6</v>
      </c>
      <c r="M156" s="78">
        <f t="shared" si="91"/>
        <v>12</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INDEX([1]!VISITORS[INSECT ORDER], MATCH(X156,[1]!VISITORS[NAME USED],0))</f>
        <v>#REF!</v>
      </c>
      <c r="AB156" s="48" t="e">
        <f t="shared" si="73"/>
        <v>#REF!</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16</v>
      </c>
      <c r="D157" s="75">
        <f t="shared" si="66"/>
        <v>18</v>
      </c>
      <c r="E157" s="76">
        <f t="shared" si="67"/>
        <v>20</v>
      </c>
      <c r="F157" s="80"/>
      <c r="G157" s="83"/>
      <c r="H157" s="69" t="str">
        <f t="shared" si="89"/>
        <v>Senbur6_20191116_18_00</v>
      </c>
      <c r="I157" s="70">
        <f t="shared" si="91"/>
        <v>1</v>
      </c>
      <c r="J157" s="77" t="str">
        <f t="shared" si="91"/>
        <v>Senecio</v>
      </c>
      <c r="K157" s="77" t="str">
        <f t="shared" si="91"/>
        <v>burtoni</v>
      </c>
      <c r="L157" s="78">
        <f t="shared" si="91"/>
        <v>6</v>
      </c>
      <c r="M157" s="78">
        <f t="shared" si="91"/>
        <v>12</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INDEX([1]!VISITORS[INSECT ORDER], MATCH(X157,[1]!VISITORS[NAME USED],0))</f>
        <v>#REF!</v>
      </c>
      <c r="AB157" s="48" t="e">
        <f t="shared" si="73"/>
        <v>#REF!</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16</v>
      </c>
      <c r="D158" s="75">
        <f t="shared" si="66"/>
        <v>18</v>
      </c>
      <c r="E158" s="76">
        <f t="shared" si="67"/>
        <v>21</v>
      </c>
      <c r="F158" s="80"/>
      <c r="G158" s="83"/>
      <c r="H158" s="69" t="str">
        <f t="shared" si="89"/>
        <v>Senbur6_20191116_18_00</v>
      </c>
      <c r="I158" s="70">
        <f t="shared" si="91"/>
        <v>1</v>
      </c>
      <c r="J158" s="77" t="str">
        <f t="shared" si="91"/>
        <v>Senecio</v>
      </c>
      <c r="K158" s="77" t="str">
        <f t="shared" si="91"/>
        <v>burtoni</v>
      </c>
      <c r="L158" s="78">
        <f t="shared" si="91"/>
        <v>6</v>
      </c>
      <c r="M158" s="78">
        <f t="shared" si="91"/>
        <v>12</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INDEX([1]!VISITORS[INSECT ORDER], MATCH(X158,[1]!VISITORS[NAME USED],0))</f>
        <v>#REF!</v>
      </c>
      <c r="AB158" s="48" t="e">
        <f t="shared" si="73"/>
        <v>#REF!</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16</v>
      </c>
      <c r="D159" s="75">
        <f t="shared" si="66"/>
        <v>18</v>
      </c>
      <c r="E159" s="76">
        <f t="shared" si="67"/>
        <v>22</v>
      </c>
      <c r="F159" s="80"/>
      <c r="G159" s="83"/>
      <c r="H159" s="69" t="str">
        <f t="shared" si="89"/>
        <v>Senbur6_20191116_18_00</v>
      </c>
      <c r="I159" s="70">
        <f t="shared" si="91"/>
        <v>1</v>
      </c>
      <c r="J159" s="77" t="str">
        <f t="shared" si="91"/>
        <v>Senecio</v>
      </c>
      <c r="K159" s="77" t="str">
        <f t="shared" si="91"/>
        <v>burtoni</v>
      </c>
      <c r="L159" s="78">
        <f t="shared" si="91"/>
        <v>6</v>
      </c>
      <c r="M159" s="78">
        <f t="shared" si="91"/>
        <v>12</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INDEX([1]!VISITORS[INSECT ORDER], MATCH(X159,[1]!VISITORS[NAME USED],0))</f>
        <v>#REF!</v>
      </c>
      <c r="AB159" s="48" t="e">
        <f t="shared" si="73"/>
        <v>#REF!</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x14ac:dyDescent="0.35">
      <c r="A160" s="73">
        <f t="shared" si="64"/>
        <v>2019</v>
      </c>
      <c r="B160" s="73" t="str">
        <f t="shared" si="65"/>
        <v>Nov</v>
      </c>
      <c r="C160" s="74">
        <f t="shared" si="88"/>
        <v>16</v>
      </c>
      <c r="D160" s="75">
        <f t="shared" si="66"/>
        <v>18</v>
      </c>
      <c r="E160" s="76">
        <f t="shared" si="67"/>
        <v>23</v>
      </c>
      <c r="F160" s="80">
        <v>6</v>
      </c>
      <c r="G160" s="83"/>
      <c r="H160" s="69" t="str">
        <f t="shared" si="89"/>
        <v>Senbur6_20191116_18_00</v>
      </c>
      <c r="I160" s="70">
        <f t="shared" si="91"/>
        <v>1</v>
      </c>
      <c r="J160" s="77" t="str">
        <f t="shared" si="91"/>
        <v>Senecio</v>
      </c>
      <c r="K160" s="77" t="str">
        <f t="shared" si="91"/>
        <v>burtoni</v>
      </c>
      <c r="L160" s="78">
        <f t="shared" si="91"/>
        <v>6</v>
      </c>
      <c r="M160" s="78">
        <f t="shared" si="91"/>
        <v>12</v>
      </c>
      <c r="N160" s="72">
        <f t="shared" si="91"/>
        <v>0</v>
      </c>
      <c r="O160" s="45"/>
      <c r="P160" s="46">
        <f t="shared" si="68"/>
        <v>1</v>
      </c>
      <c r="Q160" s="47" t="str">
        <f t="shared" si="69"/>
        <v>18:23:06</v>
      </c>
      <c r="R160" s="48" t="str">
        <f t="shared" si="70"/>
        <v>23:06</v>
      </c>
      <c r="S160" s="49">
        <f t="shared" si="63"/>
        <v>29</v>
      </c>
      <c r="T160" s="48" t="str">
        <f t="shared" si="71"/>
        <v>18</v>
      </c>
      <c r="U160" s="50">
        <v>23</v>
      </c>
      <c r="V160" s="51">
        <v>35</v>
      </c>
      <c r="W160" s="52" t="str">
        <f t="shared" si="72"/>
        <v>23:35</v>
      </c>
      <c r="X160" s="53" t="s">
        <v>67</v>
      </c>
      <c r="Y160" s="97" t="s">
        <v>98</v>
      </c>
      <c r="Z160" s="97"/>
      <c r="AA160" s="48" t="s">
        <v>68</v>
      </c>
      <c r="AB160" s="48" t="str">
        <f t="shared" si="73"/>
        <v>NA</v>
      </c>
      <c r="AC160" s="54">
        <f t="shared" si="74"/>
        <v>0</v>
      </c>
      <c r="AD160" s="55">
        <v>2</v>
      </c>
      <c r="AE160" s="55"/>
      <c r="AF160" s="55"/>
      <c r="AG160" s="56">
        <v>1</v>
      </c>
      <c r="AH160" s="57">
        <v>4</v>
      </c>
      <c r="AI160" s="56"/>
      <c r="AJ160" s="57" t="str">
        <f t="shared" si="78"/>
        <v/>
      </c>
      <c r="AK160" s="56"/>
      <c r="AL160" s="57" t="str">
        <f t="shared" si="79"/>
        <v/>
      </c>
      <c r="AM160" s="56">
        <v>1</v>
      </c>
      <c r="AN160" s="57">
        <v>25</v>
      </c>
      <c r="AO160" s="56"/>
      <c r="AP160" s="57" t="str">
        <f t="shared" si="81"/>
        <v/>
      </c>
      <c r="AQ160" s="56"/>
      <c r="AR160" s="57" t="str">
        <f t="shared" si="82"/>
        <v/>
      </c>
      <c r="AS160" s="56"/>
      <c r="AT160" s="57" t="str">
        <f t="shared" si="83"/>
        <v/>
      </c>
      <c r="AU160" s="58"/>
      <c r="AV160" s="59"/>
      <c r="AW160" s="59"/>
      <c r="AX160" s="60"/>
      <c r="AY160" s="61">
        <v>1</v>
      </c>
      <c r="AZ160" s="62">
        <f t="shared" si="85"/>
        <v>2</v>
      </c>
      <c r="BA160" s="61">
        <f t="shared" si="86"/>
        <v>0</v>
      </c>
      <c r="BB160" s="62" t="str">
        <f t="shared" si="87"/>
        <v/>
      </c>
    </row>
    <row r="161" spans="1:54" s="3" customFormat="1" hidden="1" x14ac:dyDescent="0.35">
      <c r="A161" s="73">
        <f t="shared" si="64"/>
        <v>2019</v>
      </c>
      <c r="B161" s="73" t="str">
        <f t="shared" si="65"/>
        <v>Nov</v>
      </c>
      <c r="C161" s="74">
        <f t="shared" si="88"/>
        <v>16</v>
      </c>
      <c r="D161" s="75">
        <f t="shared" si="66"/>
        <v>18</v>
      </c>
      <c r="E161" s="76">
        <f t="shared" si="67"/>
        <v>24</v>
      </c>
      <c r="F161" s="80"/>
      <c r="G161" s="83"/>
      <c r="H161" s="69" t="str">
        <f t="shared" si="89"/>
        <v>Senbur6_20191116_18_00</v>
      </c>
      <c r="I161" s="70">
        <f t="shared" si="91"/>
        <v>1</v>
      </c>
      <c r="J161" s="77" t="str">
        <f t="shared" si="91"/>
        <v>Senecio</v>
      </c>
      <c r="K161" s="77" t="str">
        <f t="shared" si="91"/>
        <v>burtoni</v>
      </c>
      <c r="L161" s="78">
        <f t="shared" si="91"/>
        <v>6</v>
      </c>
      <c r="M161" s="78">
        <f t="shared" si="91"/>
        <v>12</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INDEX([1]!VISITORS[INSECT ORDER], MATCH(X161,[1]!VISITORS[NAME USED],0))</f>
        <v>#REF!</v>
      </c>
      <c r="AB161" s="48" t="e">
        <f t="shared" si="73"/>
        <v>#REF!</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16</v>
      </c>
      <c r="D162" s="75">
        <f t="shared" si="66"/>
        <v>18</v>
      </c>
      <c r="E162" s="76">
        <f t="shared" si="67"/>
        <v>25</v>
      </c>
      <c r="F162" s="80"/>
      <c r="G162" s="83"/>
      <c r="H162" s="69" t="str">
        <f t="shared" si="89"/>
        <v>Senbur6_20191116_18_00</v>
      </c>
      <c r="I162" s="70">
        <f t="shared" si="91"/>
        <v>1</v>
      </c>
      <c r="J162" s="77" t="str">
        <f t="shared" si="91"/>
        <v>Senecio</v>
      </c>
      <c r="K162" s="77" t="str">
        <f t="shared" si="91"/>
        <v>burtoni</v>
      </c>
      <c r="L162" s="78">
        <f t="shared" si="91"/>
        <v>6</v>
      </c>
      <c r="M162" s="78">
        <f t="shared" si="91"/>
        <v>12</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INDEX([1]!VISITORS[INSECT ORDER], MATCH(X162,[1]!VISITORS[NAME USED],0))</f>
        <v>#REF!</v>
      </c>
      <c r="AB162" s="48" t="e">
        <f t="shared" si="73"/>
        <v>#REF!</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16</v>
      </c>
      <c r="D163" s="75">
        <f t="shared" si="66"/>
        <v>18</v>
      </c>
      <c r="E163" s="76">
        <f t="shared" si="67"/>
        <v>26</v>
      </c>
      <c r="F163" s="80">
        <v>47</v>
      </c>
      <c r="G163" s="83"/>
      <c r="H163" s="69" t="str">
        <f t="shared" si="89"/>
        <v>Senbur6_20191116_18_00</v>
      </c>
      <c r="I163" s="70">
        <f t="shared" si="91"/>
        <v>1</v>
      </c>
      <c r="J163" s="77" t="str">
        <f t="shared" si="91"/>
        <v>Senecio</v>
      </c>
      <c r="K163" s="77" t="str">
        <f t="shared" si="91"/>
        <v>burtoni</v>
      </c>
      <c r="L163" s="78">
        <f t="shared" si="91"/>
        <v>6</v>
      </c>
      <c r="M163" s="78">
        <f t="shared" si="91"/>
        <v>12</v>
      </c>
      <c r="N163" s="72">
        <f t="shared" si="91"/>
        <v>0</v>
      </c>
      <c r="O163" s="45"/>
      <c r="P163" s="46">
        <f t="shared" si="68"/>
        <v>1</v>
      </c>
      <c r="Q163" s="47" t="str">
        <f t="shared" si="69"/>
        <v>18:26:47</v>
      </c>
      <c r="R163" s="48" t="str">
        <f t="shared" si="70"/>
        <v>26:47</v>
      </c>
      <c r="S163" s="49">
        <f t="shared" si="63"/>
        <v>8</v>
      </c>
      <c r="T163" s="48" t="str">
        <f t="shared" si="71"/>
        <v>18</v>
      </c>
      <c r="U163" s="50">
        <v>26</v>
      </c>
      <c r="V163" s="51">
        <v>55</v>
      </c>
      <c r="W163" s="52" t="str">
        <f t="shared" si="72"/>
        <v>26:55</v>
      </c>
      <c r="X163" s="53" t="s">
        <v>67</v>
      </c>
      <c r="Y163" s="97" t="s">
        <v>94</v>
      </c>
      <c r="Z163" s="97"/>
      <c r="AA163" s="48" t="s">
        <v>68</v>
      </c>
      <c r="AB163" s="48" t="str">
        <f t="shared" si="73"/>
        <v>NA</v>
      </c>
      <c r="AC163" s="54">
        <f t="shared" si="74"/>
        <v>0</v>
      </c>
      <c r="AD163" s="55">
        <f t="shared" si="75"/>
        <v>1</v>
      </c>
      <c r="AE163" s="55"/>
      <c r="AF163" s="55"/>
      <c r="AG163" s="56">
        <v>1</v>
      </c>
      <c r="AH163" s="57">
        <v>1</v>
      </c>
      <c r="AI163" s="56"/>
      <c r="AJ163" s="57" t="str">
        <f t="shared" si="78"/>
        <v/>
      </c>
      <c r="AK163" s="56"/>
      <c r="AL163" s="57" t="str">
        <f t="shared" si="79"/>
        <v/>
      </c>
      <c r="AM163" s="56">
        <v>1</v>
      </c>
      <c r="AN163" s="57">
        <v>7</v>
      </c>
      <c r="AO163" s="56"/>
      <c r="AP163" s="57" t="str">
        <f t="shared" si="81"/>
        <v/>
      </c>
      <c r="AQ163" s="56"/>
      <c r="AR163" s="57" t="str">
        <f t="shared" si="82"/>
        <v/>
      </c>
      <c r="AS163" s="56"/>
      <c r="AT163" s="57" t="str">
        <f t="shared" si="83"/>
        <v/>
      </c>
      <c r="AU163" s="58"/>
      <c r="AV163" s="59"/>
      <c r="AW163" s="59"/>
      <c r="AX163" s="60"/>
      <c r="AY163" s="61">
        <v>1</v>
      </c>
      <c r="AZ163" s="62">
        <f t="shared" si="85"/>
        <v>1</v>
      </c>
      <c r="BA163" s="61">
        <f t="shared" si="86"/>
        <v>0</v>
      </c>
      <c r="BB163" s="62" t="str">
        <f t="shared" si="87"/>
        <v/>
      </c>
    </row>
    <row r="164" spans="1:54" s="3" customFormat="1" hidden="1" x14ac:dyDescent="0.35">
      <c r="A164" s="73">
        <f t="shared" si="64"/>
        <v>2019</v>
      </c>
      <c r="B164" s="73" t="str">
        <f t="shared" si="65"/>
        <v>Nov</v>
      </c>
      <c r="C164" s="74">
        <f t="shared" si="88"/>
        <v>16</v>
      </c>
      <c r="D164" s="75">
        <f t="shared" si="66"/>
        <v>18</v>
      </c>
      <c r="E164" s="76">
        <f t="shared" si="67"/>
        <v>27</v>
      </c>
      <c r="F164" s="80"/>
      <c r="G164" s="83"/>
      <c r="H164" s="69" t="str">
        <f t="shared" si="89"/>
        <v>Senbur6_20191116_18_00</v>
      </c>
      <c r="I164" s="70">
        <f t="shared" si="91"/>
        <v>1</v>
      </c>
      <c r="J164" s="77" t="str">
        <f t="shared" si="91"/>
        <v>Senecio</v>
      </c>
      <c r="K164" s="77" t="str">
        <f t="shared" si="91"/>
        <v>burtoni</v>
      </c>
      <c r="L164" s="78">
        <f t="shared" si="91"/>
        <v>6</v>
      </c>
      <c r="M164" s="78">
        <f t="shared" si="91"/>
        <v>12</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INDEX([1]!VISITORS[INSECT ORDER], MATCH(X164,[1]!VISITORS[NAME USED],0))</f>
        <v>#REF!</v>
      </c>
      <c r="AB164" s="48" t="e">
        <f t="shared" si="73"/>
        <v>#REF!</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16</v>
      </c>
      <c r="D165" s="75">
        <f t="shared" si="66"/>
        <v>18</v>
      </c>
      <c r="E165" s="76">
        <f t="shared" si="67"/>
        <v>28</v>
      </c>
      <c r="F165" s="80"/>
      <c r="G165" s="83"/>
      <c r="H165" s="69" t="str">
        <f t="shared" si="89"/>
        <v>Senbur6_20191116_18_00</v>
      </c>
      <c r="I165" s="70">
        <f t="shared" ref="I165:N180" si="92">I164</f>
        <v>1</v>
      </c>
      <c r="J165" s="77" t="str">
        <f t="shared" si="92"/>
        <v>Senecio</v>
      </c>
      <c r="K165" s="77" t="str">
        <f t="shared" si="92"/>
        <v>burtoni</v>
      </c>
      <c r="L165" s="78">
        <f t="shared" si="92"/>
        <v>6</v>
      </c>
      <c r="M165" s="78">
        <f t="shared" si="92"/>
        <v>12</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INDEX([1]!VISITORS[INSECT ORDER], MATCH(X165,[1]!VISITORS[NAME USED],0))</f>
        <v>#REF!</v>
      </c>
      <c r="AB165" s="48" t="e">
        <f t="shared" si="73"/>
        <v>#REF!</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16</v>
      </c>
      <c r="D166" s="75">
        <f t="shared" si="66"/>
        <v>18</v>
      </c>
      <c r="E166" s="76">
        <f t="shared" si="67"/>
        <v>29</v>
      </c>
      <c r="F166" s="80"/>
      <c r="G166" s="83"/>
      <c r="H166" s="69" t="str">
        <f t="shared" si="89"/>
        <v>Senbur6_20191116_18_00</v>
      </c>
      <c r="I166" s="70">
        <f t="shared" si="92"/>
        <v>1</v>
      </c>
      <c r="J166" s="77" t="str">
        <f t="shared" si="92"/>
        <v>Senecio</v>
      </c>
      <c r="K166" s="77" t="str">
        <f t="shared" si="92"/>
        <v>burtoni</v>
      </c>
      <c r="L166" s="78">
        <f t="shared" si="92"/>
        <v>6</v>
      </c>
      <c r="M166" s="78">
        <f t="shared" si="92"/>
        <v>12</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INDEX([1]!VISITORS[INSECT ORDER], MATCH(X166,[1]!VISITORS[NAME USED],0))</f>
        <v>#REF!</v>
      </c>
      <c r="AB166" s="48" t="e">
        <f t="shared" si="73"/>
        <v>#REF!</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16</v>
      </c>
      <c r="D167" s="75">
        <f t="shared" si="66"/>
        <v>18</v>
      </c>
      <c r="E167" s="76">
        <f t="shared" si="67"/>
        <v>30</v>
      </c>
      <c r="F167" s="80"/>
      <c r="G167" s="83"/>
      <c r="H167" s="69" t="str">
        <f t="shared" si="89"/>
        <v>Senbur6_20191116_18_00</v>
      </c>
      <c r="I167" s="70">
        <f t="shared" si="92"/>
        <v>1</v>
      </c>
      <c r="J167" s="77" t="str">
        <f t="shared" si="92"/>
        <v>Senecio</v>
      </c>
      <c r="K167" s="77" t="str">
        <f t="shared" si="92"/>
        <v>burtoni</v>
      </c>
      <c r="L167" s="78">
        <f t="shared" si="92"/>
        <v>6</v>
      </c>
      <c r="M167" s="78">
        <f t="shared" si="92"/>
        <v>12</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INDEX([1]!VISITORS[INSECT ORDER], MATCH(X167,[1]!VISITORS[NAME USED],0))</f>
        <v>#REF!</v>
      </c>
      <c r="AB167" s="48" t="e">
        <f t="shared" si="73"/>
        <v>#REF!</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16</v>
      </c>
      <c r="D168" s="75">
        <f t="shared" si="66"/>
        <v>18</v>
      </c>
      <c r="E168" s="76">
        <f t="shared" si="67"/>
        <v>31</v>
      </c>
      <c r="F168" s="80"/>
      <c r="G168" s="83"/>
      <c r="H168" s="69" t="str">
        <f t="shared" si="89"/>
        <v>Senbur6_20191116_18_00</v>
      </c>
      <c r="I168" s="70">
        <f t="shared" si="92"/>
        <v>1</v>
      </c>
      <c r="J168" s="77" t="str">
        <f t="shared" si="92"/>
        <v>Senecio</v>
      </c>
      <c r="K168" s="77" t="str">
        <f t="shared" si="92"/>
        <v>burtoni</v>
      </c>
      <c r="L168" s="78">
        <f t="shared" si="92"/>
        <v>6</v>
      </c>
      <c r="M168" s="78">
        <f t="shared" si="92"/>
        <v>12</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INDEX([1]!VISITORS[INSECT ORDER], MATCH(X168,[1]!VISITORS[NAME USED],0))</f>
        <v>#REF!</v>
      </c>
      <c r="AB168" s="48" t="e">
        <f t="shared" si="73"/>
        <v>#REF!</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16</v>
      </c>
      <c r="D169" s="75">
        <f t="shared" si="66"/>
        <v>18</v>
      </c>
      <c r="E169" s="76">
        <f t="shared" si="67"/>
        <v>32</v>
      </c>
      <c r="F169" s="80"/>
      <c r="G169" s="83"/>
      <c r="H169" s="69" t="str">
        <f t="shared" si="89"/>
        <v>Senbur6_20191116_18_00</v>
      </c>
      <c r="I169" s="70">
        <f t="shared" si="92"/>
        <v>1</v>
      </c>
      <c r="J169" s="77" t="str">
        <f t="shared" si="92"/>
        <v>Senecio</v>
      </c>
      <c r="K169" s="77" t="str">
        <f t="shared" si="92"/>
        <v>burtoni</v>
      </c>
      <c r="L169" s="78">
        <f t="shared" si="92"/>
        <v>6</v>
      </c>
      <c r="M169" s="78">
        <f t="shared" si="92"/>
        <v>12</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INDEX([1]!VISITORS[INSECT ORDER], MATCH(X169,[1]!VISITORS[NAME USED],0))</f>
        <v>#REF!</v>
      </c>
      <c r="AB169" s="48" t="e">
        <f t="shared" si="73"/>
        <v>#REF!</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16</v>
      </c>
      <c r="D170" s="75">
        <f t="shared" si="66"/>
        <v>18</v>
      </c>
      <c r="E170" s="76">
        <f t="shared" si="67"/>
        <v>33</v>
      </c>
      <c r="F170" s="80">
        <v>15</v>
      </c>
      <c r="G170" s="83"/>
      <c r="H170" s="69" t="str">
        <f t="shared" si="89"/>
        <v>Senbur6_20191116_18_00</v>
      </c>
      <c r="I170" s="70">
        <f t="shared" si="92"/>
        <v>1</v>
      </c>
      <c r="J170" s="77" t="str">
        <f t="shared" si="92"/>
        <v>Senecio</v>
      </c>
      <c r="K170" s="77" t="str">
        <f t="shared" si="92"/>
        <v>burtoni</v>
      </c>
      <c r="L170" s="78">
        <f t="shared" si="92"/>
        <v>6</v>
      </c>
      <c r="M170" s="78">
        <f t="shared" si="92"/>
        <v>12</v>
      </c>
      <c r="N170" s="72">
        <f t="shared" si="92"/>
        <v>0</v>
      </c>
      <c r="O170" s="45"/>
      <c r="P170" s="46">
        <f t="shared" si="68"/>
        <v>1</v>
      </c>
      <c r="Q170" s="47" t="str">
        <f t="shared" si="69"/>
        <v>18:33:15</v>
      </c>
      <c r="R170" s="48" t="str">
        <f t="shared" si="70"/>
        <v>33:15</v>
      </c>
      <c r="S170" s="49">
        <f t="shared" si="63"/>
        <v>15</v>
      </c>
      <c r="T170" s="48" t="str">
        <f t="shared" si="71"/>
        <v>18</v>
      </c>
      <c r="U170" s="50">
        <v>33</v>
      </c>
      <c r="V170" s="51">
        <v>30</v>
      </c>
      <c r="W170" s="52" t="str">
        <f t="shared" si="72"/>
        <v>33:30</v>
      </c>
      <c r="X170" s="53" t="s">
        <v>67</v>
      </c>
      <c r="Y170" s="97" t="s">
        <v>94</v>
      </c>
      <c r="Z170" s="97"/>
      <c r="AA170" s="48" t="s">
        <v>68</v>
      </c>
      <c r="AB170" s="48" t="str">
        <f t="shared" si="73"/>
        <v>NA</v>
      </c>
      <c r="AC170" s="54">
        <f t="shared" si="74"/>
        <v>0</v>
      </c>
      <c r="AD170" s="55">
        <v>2</v>
      </c>
      <c r="AE170" s="55"/>
      <c r="AF170" s="55"/>
      <c r="AG170" s="56">
        <v>1</v>
      </c>
      <c r="AH170" s="57">
        <v>3</v>
      </c>
      <c r="AI170" s="56">
        <v>1</v>
      </c>
      <c r="AJ170" s="57">
        <v>1</v>
      </c>
      <c r="AK170" s="56"/>
      <c r="AL170" s="57" t="str">
        <f t="shared" si="79"/>
        <v/>
      </c>
      <c r="AM170" s="56">
        <v>1</v>
      </c>
      <c r="AN170" s="57">
        <v>11</v>
      </c>
      <c r="AO170" s="56"/>
      <c r="AP170" s="57" t="str">
        <f t="shared" si="81"/>
        <v/>
      </c>
      <c r="AQ170" s="56"/>
      <c r="AR170" s="57" t="str">
        <f t="shared" si="82"/>
        <v/>
      </c>
      <c r="AS170" s="56"/>
      <c r="AT170" s="57" t="str">
        <f t="shared" si="83"/>
        <v/>
      </c>
      <c r="AU170" s="58"/>
      <c r="AV170" s="59"/>
      <c r="AW170" s="59"/>
      <c r="AX170" s="60"/>
      <c r="AY170" s="61">
        <v>1</v>
      </c>
      <c r="AZ170" s="62">
        <f t="shared" si="85"/>
        <v>2</v>
      </c>
      <c r="BA170" s="61">
        <f t="shared" si="86"/>
        <v>0</v>
      </c>
      <c r="BB170" s="62" t="str">
        <f t="shared" si="87"/>
        <v/>
      </c>
    </row>
    <row r="171" spans="1:54" s="3" customFormat="1" hidden="1" x14ac:dyDescent="0.35">
      <c r="A171" s="73">
        <f t="shared" si="64"/>
        <v>2019</v>
      </c>
      <c r="B171" s="73" t="str">
        <f t="shared" si="65"/>
        <v>Nov</v>
      </c>
      <c r="C171" s="74">
        <f t="shared" si="88"/>
        <v>16</v>
      </c>
      <c r="D171" s="75">
        <f t="shared" si="66"/>
        <v>18</v>
      </c>
      <c r="E171" s="76">
        <v>33</v>
      </c>
      <c r="F171" s="80">
        <v>51</v>
      </c>
      <c r="G171" s="83"/>
      <c r="H171" s="69" t="str">
        <f t="shared" si="89"/>
        <v>Senbur6_20191116_18_00</v>
      </c>
      <c r="I171" s="70">
        <f t="shared" si="92"/>
        <v>1</v>
      </c>
      <c r="J171" s="77" t="str">
        <f t="shared" si="92"/>
        <v>Senecio</v>
      </c>
      <c r="K171" s="77" t="str">
        <f t="shared" si="92"/>
        <v>burtoni</v>
      </c>
      <c r="L171" s="78">
        <f t="shared" si="92"/>
        <v>6</v>
      </c>
      <c r="M171" s="78">
        <f t="shared" si="92"/>
        <v>12</v>
      </c>
      <c r="N171" s="72">
        <f t="shared" si="92"/>
        <v>0</v>
      </c>
      <c r="O171" s="45"/>
      <c r="P171" s="46">
        <f t="shared" si="68"/>
        <v>1</v>
      </c>
      <c r="Q171" s="47" t="str">
        <f t="shared" si="69"/>
        <v>18:33:51</v>
      </c>
      <c r="R171" s="48" t="str">
        <f t="shared" si="70"/>
        <v>33:51</v>
      </c>
      <c r="S171" s="49">
        <f t="shared" si="63"/>
        <v>15</v>
      </c>
      <c r="T171" s="48" t="str">
        <f t="shared" si="71"/>
        <v>18</v>
      </c>
      <c r="U171" s="50">
        <v>34</v>
      </c>
      <c r="V171" s="51">
        <v>6</v>
      </c>
      <c r="W171" s="52" t="str">
        <f t="shared" si="72"/>
        <v>34:06</v>
      </c>
      <c r="X171" s="53" t="s">
        <v>67</v>
      </c>
      <c r="Y171" s="97" t="s">
        <v>95</v>
      </c>
      <c r="Z171" s="97"/>
      <c r="AA171" s="48" t="s">
        <v>68</v>
      </c>
      <c r="AB171" s="48" t="str">
        <f t="shared" si="73"/>
        <v>NA</v>
      </c>
      <c r="AC171" s="54">
        <f t="shared" si="74"/>
        <v>0</v>
      </c>
      <c r="AD171" s="55">
        <v>3</v>
      </c>
      <c r="AE171" s="55"/>
      <c r="AF171" s="55"/>
      <c r="AG171" s="56" t="str">
        <f t="shared" si="76"/>
        <v/>
      </c>
      <c r="AH171" s="57" t="str">
        <f t="shared" si="77"/>
        <v/>
      </c>
      <c r="AI171" s="56">
        <v>1</v>
      </c>
      <c r="AJ171" s="57">
        <v>2</v>
      </c>
      <c r="AK171" s="56"/>
      <c r="AL171" s="57" t="str">
        <f t="shared" si="79"/>
        <v/>
      </c>
      <c r="AM171" s="56">
        <v>1</v>
      </c>
      <c r="AN171" s="57">
        <v>13</v>
      </c>
      <c r="AO171" s="56"/>
      <c r="AP171" s="57" t="str">
        <f t="shared" si="81"/>
        <v/>
      </c>
      <c r="AQ171" s="56"/>
      <c r="AR171" s="57" t="str">
        <f t="shared" si="82"/>
        <v/>
      </c>
      <c r="AS171" s="56"/>
      <c r="AT171" s="57" t="str">
        <f t="shared" si="83"/>
        <v/>
      </c>
      <c r="AU171" s="58"/>
      <c r="AV171" s="59"/>
      <c r="AW171" s="59"/>
      <c r="AX171" s="60"/>
      <c r="AY171" s="61">
        <v>1</v>
      </c>
      <c r="AZ171" s="62">
        <f t="shared" si="85"/>
        <v>3</v>
      </c>
      <c r="BA171" s="61">
        <f t="shared" si="86"/>
        <v>0</v>
      </c>
      <c r="BB171" s="62" t="str">
        <f t="shared" si="87"/>
        <v/>
      </c>
    </row>
    <row r="172" spans="1:54" s="3" customFormat="1" hidden="1" x14ac:dyDescent="0.35">
      <c r="A172" s="73">
        <f t="shared" si="64"/>
        <v>2019</v>
      </c>
      <c r="B172" s="73" t="str">
        <f t="shared" si="65"/>
        <v>Nov</v>
      </c>
      <c r="C172" s="74">
        <f t="shared" si="88"/>
        <v>16</v>
      </c>
      <c r="D172" s="75">
        <f t="shared" si="66"/>
        <v>18</v>
      </c>
      <c r="E172" s="76">
        <f t="shared" si="67"/>
        <v>34</v>
      </c>
      <c r="F172" s="80"/>
      <c r="G172" s="83"/>
      <c r="H172" s="69" t="str">
        <f t="shared" si="89"/>
        <v>Senbur6_20191116_18_00</v>
      </c>
      <c r="I172" s="70">
        <f t="shared" si="92"/>
        <v>1</v>
      </c>
      <c r="J172" s="77" t="str">
        <f t="shared" si="92"/>
        <v>Senecio</v>
      </c>
      <c r="K172" s="77" t="str">
        <f t="shared" si="92"/>
        <v>burtoni</v>
      </c>
      <c r="L172" s="78">
        <f t="shared" si="92"/>
        <v>6</v>
      </c>
      <c r="M172" s="78">
        <f t="shared" si="92"/>
        <v>12</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INDEX([1]!VISITORS[INSECT ORDER], MATCH(X172,[1]!VISITORS[NAME USED],0))</f>
        <v>#REF!</v>
      </c>
      <c r="AB172" s="48" t="e">
        <f t="shared" si="73"/>
        <v>#REF!</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16</v>
      </c>
      <c r="D173" s="75">
        <f t="shared" si="66"/>
        <v>18</v>
      </c>
      <c r="E173" s="76">
        <f t="shared" si="67"/>
        <v>35</v>
      </c>
      <c r="F173" s="80"/>
      <c r="G173" s="83"/>
      <c r="H173" s="69" t="str">
        <f t="shared" si="89"/>
        <v>Senbur6_20191116_18_00</v>
      </c>
      <c r="I173" s="70">
        <f t="shared" si="92"/>
        <v>1</v>
      </c>
      <c r="J173" s="77" t="str">
        <f t="shared" si="92"/>
        <v>Senecio</v>
      </c>
      <c r="K173" s="77" t="str">
        <f t="shared" si="92"/>
        <v>burtoni</v>
      </c>
      <c r="L173" s="78">
        <f t="shared" si="92"/>
        <v>6</v>
      </c>
      <c r="M173" s="78">
        <f t="shared" si="92"/>
        <v>12</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INDEX([1]!VISITORS[INSECT ORDER], MATCH(X173,[1]!VISITORS[NAME USED],0))</f>
        <v>#REF!</v>
      </c>
      <c r="AB173" s="48" t="e">
        <f t="shared" si="73"/>
        <v>#REF!</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16</v>
      </c>
      <c r="D174" s="75">
        <f t="shared" si="66"/>
        <v>18</v>
      </c>
      <c r="E174" s="76">
        <f t="shared" si="67"/>
        <v>36</v>
      </c>
      <c r="F174" s="80"/>
      <c r="G174" s="83"/>
      <c r="H174" s="69" t="str">
        <f t="shared" si="89"/>
        <v>Senbur6_20191116_18_00</v>
      </c>
      <c r="I174" s="70">
        <f t="shared" si="92"/>
        <v>1</v>
      </c>
      <c r="J174" s="77" t="str">
        <f t="shared" si="92"/>
        <v>Senecio</v>
      </c>
      <c r="K174" s="77" t="str">
        <f t="shared" si="92"/>
        <v>burtoni</v>
      </c>
      <c r="L174" s="78">
        <f t="shared" si="92"/>
        <v>6</v>
      </c>
      <c r="M174" s="78">
        <f t="shared" si="92"/>
        <v>12</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INDEX([1]!VISITORS[INSECT ORDER], MATCH(X174,[1]!VISITORS[NAME USED],0))</f>
        <v>#REF!</v>
      </c>
      <c r="AB174" s="48" t="e">
        <f t="shared" si="73"/>
        <v>#REF!</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16</v>
      </c>
      <c r="D175" s="75">
        <f t="shared" si="66"/>
        <v>18</v>
      </c>
      <c r="E175" s="76">
        <f t="shared" si="67"/>
        <v>37</v>
      </c>
      <c r="F175" s="80"/>
      <c r="G175" s="83"/>
      <c r="H175" s="69" t="str">
        <f t="shared" si="89"/>
        <v>Senbur6_20191116_18_00</v>
      </c>
      <c r="I175" s="70">
        <f t="shared" si="92"/>
        <v>1</v>
      </c>
      <c r="J175" s="77" t="str">
        <f t="shared" si="92"/>
        <v>Senecio</v>
      </c>
      <c r="K175" s="77" t="str">
        <f t="shared" si="92"/>
        <v>burtoni</v>
      </c>
      <c r="L175" s="78">
        <f t="shared" si="92"/>
        <v>6</v>
      </c>
      <c r="M175" s="78">
        <f t="shared" si="92"/>
        <v>12</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INDEX([1]!VISITORS[INSECT ORDER], MATCH(X175,[1]!VISITORS[NAME USED],0))</f>
        <v>#REF!</v>
      </c>
      <c r="AB175" s="48" t="e">
        <f t="shared" si="73"/>
        <v>#REF!</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16</v>
      </c>
      <c r="D176" s="75">
        <f t="shared" si="66"/>
        <v>18</v>
      </c>
      <c r="E176" s="76">
        <f t="shared" si="67"/>
        <v>38</v>
      </c>
      <c r="F176" s="80"/>
      <c r="G176" s="83"/>
      <c r="H176" s="69" t="str">
        <f t="shared" si="89"/>
        <v>Senbur6_20191116_18_00</v>
      </c>
      <c r="I176" s="70">
        <f t="shared" si="92"/>
        <v>1</v>
      </c>
      <c r="J176" s="77" t="str">
        <f t="shared" si="92"/>
        <v>Senecio</v>
      </c>
      <c r="K176" s="77" t="str">
        <f t="shared" si="92"/>
        <v>burtoni</v>
      </c>
      <c r="L176" s="78">
        <f t="shared" si="92"/>
        <v>6</v>
      </c>
      <c r="M176" s="78">
        <f t="shared" si="92"/>
        <v>12</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INDEX([1]!VISITORS[INSECT ORDER], MATCH(X176,[1]!VISITORS[NAME USED],0))</f>
        <v>#REF!</v>
      </c>
      <c r="AB176" s="48" t="e">
        <f t="shared" si="73"/>
        <v>#REF!</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16</v>
      </c>
      <c r="D177" s="75">
        <f t="shared" si="66"/>
        <v>18</v>
      </c>
      <c r="E177" s="76">
        <f t="shared" si="67"/>
        <v>39</v>
      </c>
      <c r="F177" s="80">
        <v>45</v>
      </c>
      <c r="G177" s="83"/>
      <c r="H177" s="69" t="str">
        <f t="shared" si="89"/>
        <v>Senbur6_20191116_18_00</v>
      </c>
      <c r="I177" s="70">
        <f t="shared" si="92"/>
        <v>1</v>
      </c>
      <c r="J177" s="77" t="str">
        <f t="shared" si="92"/>
        <v>Senecio</v>
      </c>
      <c r="K177" s="77" t="str">
        <f t="shared" si="92"/>
        <v>burtoni</v>
      </c>
      <c r="L177" s="78">
        <f t="shared" si="92"/>
        <v>6</v>
      </c>
      <c r="M177" s="78">
        <f t="shared" si="92"/>
        <v>12</v>
      </c>
      <c r="N177" s="72">
        <f t="shared" si="92"/>
        <v>0</v>
      </c>
      <c r="O177" s="45"/>
      <c r="P177" s="46">
        <f t="shared" si="68"/>
        <v>1</v>
      </c>
      <c r="Q177" s="47" t="str">
        <f t="shared" si="69"/>
        <v>18:39:45</v>
      </c>
      <c r="R177" s="48" t="str">
        <f t="shared" si="70"/>
        <v>39:45</v>
      </c>
      <c r="S177" s="49">
        <f t="shared" si="63"/>
        <v>25</v>
      </c>
      <c r="T177" s="48" t="str">
        <f t="shared" si="71"/>
        <v>18</v>
      </c>
      <c r="U177" s="50">
        <v>40</v>
      </c>
      <c r="V177" s="51">
        <v>10</v>
      </c>
      <c r="W177" s="52" t="str">
        <f t="shared" si="72"/>
        <v>40:10</v>
      </c>
      <c r="X177" s="53" t="s">
        <v>67</v>
      </c>
      <c r="Y177" s="97" t="s">
        <v>94</v>
      </c>
      <c r="Z177" s="97"/>
      <c r="AA177" s="48" t="s">
        <v>68</v>
      </c>
      <c r="AB177" s="48" t="str">
        <f t="shared" si="73"/>
        <v>NA</v>
      </c>
      <c r="AC177" s="54">
        <f t="shared" si="74"/>
        <v>0</v>
      </c>
      <c r="AD177" s="55">
        <v>3</v>
      </c>
      <c r="AE177" s="55"/>
      <c r="AF177" s="55"/>
      <c r="AG177" s="56" t="str">
        <f t="shared" si="76"/>
        <v/>
      </c>
      <c r="AH177" s="57" t="str">
        <f t="shared" si="77"/>
        <v/>
      </c>
      <c r="AI177" s="56">
        <v>1</v>
      </c>
      <c r="AJ177" s="57">
        <v>2</v>
      </c>
      <c r="AK177" s="56"/>
      <c r="AL177" s="57" t="str">
        <f t="shared" si="79"/>
        <v/>
      </c>
      <c r="AM177" s="56">
        <v>1</v>
      </c>
      <c r="AN177" s="57">
        <v>23</v>
      </c>
      <c r="AO177" s="56"/>
      <c r="AP177" s="57" t="str">
        <f t="shared" si="81"/>
        <v/>
      </c>
      <c r="AQ177" s="56"/>
      <c r="AR177" s="57" t="str">
        <f t="shared" si="82"/>
        <v/>
      </c>
      <c r="AS177" s="56"/>
      <c r="AT177" s="57" t="str">
        <f t="shared" si="83"/>
        <v/>
      </c>
      <c r="AU177" s="58"/>
      <c r="AV177" s="59"/>
      <c r="AW177" s="59"/>
      <c r="AX177" s="60"/>
      <c r="AY177" s="61">
        <v>1</v>
      </c>
      <c r="AZ177" s="62">
        <f t="shared" si="85"/>
        <v>3</v>
      </c>
      <c r="BA177" s="61">
        <f t="shared" si="86"/>
        <v>0</v>
      </c>
      <c r="BB177" s="62" t="str">
        <f t="shared" si="87"/>
        <v/>
      </c>
    </row>
    <row r="178" spans="1:54" s="3" customFormat="1" hidden="1" x14ac:dyDescent="0.35">
      <c r="A178" s="73">
        <f t="shared" si="64"/>
        <v>2019</v>
      </c>
      <c r="B178" s="73" t="str">
        <f t="shared" si="65"/>
        <v>Nov</v>
      </c>
      <c r="C178" s="74">
        <f t="shared" si="88"/>
        <v>16</v>
      </c>
      <c r="D178" s="75">
        <f t="shared" si="66"/>
        <v>18</v>
      </c>
      <c r="E178" s="76">
        <f t="shared" si="67"/>
        <v>40</v>
      </c>
      <c r="F178" s="80"/>
      <c r="G178" s="83"/>
      <c r="H178" s="69" t="str">
        <f t="shared" si="89"/>
        <v>Senbur6_20191116_18_00</v>
      </c>
      <c r="I178" s="70">
        <f t="shared" si="92"/>
        <v>1</v>
      </c>
      <c r="J178" s="77" t="str">
        <f t="shared" si="92"/>
        <v>Senecio</v>
      </c>
      <c r="K178" s="77" t="str">
        <f t="shared" si="92"/>
        <v>burtoni</v>
      </c>
      <c r="L178" s="78">
        <f t="shared" si="92"/>
        <v>6</v>
      </c>
      <c r="M178" s="78">
        <f t="shared" si="92"/>
        <v>12</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INDEX([1]!VISITORS[INSECT ORDER], MATCH(X178,[1]!VISITORS[NAME USED],0))</f>
        <v>#REF!</v>
      </c>
      <c r="AB178" s="48" t="e">
        <f t="shared" si="73"/>
        <v>#REF!</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16</v>
      </c>
      <c r="D179" s="75">
        <f t="shared" si="66"/>
        <v>18</v>
      </c>
      <c r="E179" s="76">
        <f t="shared" si="67"/>
        <v>41</v>
      </c>
      <c r="F179" s="80"/>
      <c r="G179" s="83"/>
      <c r="H179" s="69" t="str">
        <f t="shared" si="89"/>
        <v>Senbur6_20191116_18_00</v>
      </c>
      <c r="I179" s="70">
        <f t="shared" si="92"/>
        <v>1</v>
      </c>
      <c r="J179" s="77" t="str">
        <f t="shared" si="92"/>
        <v>Senecio</v>
      </c>
      <c r="K179" s="77" t="str">
        <f t="shared" si="92"/>
        <v>burtoni</v>
      </c>
      <c r="L179" s="78">
        <f t="shared" si="92"/>
        <v>6</v>
      </c>
      <c r="M179" s="78">
        <f t="shared" si="92"/>
        <v>12</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INDEX([1]!VISITORS[INSECT ORDER], MATCH(X179,[1]!VISITORS[NAME USED],0))</f>
        <v>#REF!</v>
      </c>
      <c r="AB179" s="48" t="e">
        <f t="shared" si="73"/>
        <v>#REF!</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16</v>
      </c>
      <c r="D180" s="75">
        <f t="shared" si="66"/>
        <v>18</v>
      </c>
      <c r="E180" s="76">
        <f t="shared" si="67"/>
        <v>42</v>
      </c>
      <c r="F180" s="80"/>
      <c r="G180" s="83"/>
      <c r="H180" s="69" t="str">
        <f t="shared" si="89"/>
        <v>Senbur6_20191116_18_00</v>
      </c>
      <c r="I180" s="70">
        <f t="shared" si="92"/>
        <v>1</v>
      </c>
      <c r="J180" s="77" t="str">
        <f t="shared" si="92"/>
        <v>Senecio</v>
      </c>
      <c r="K180" s="77" t="str">
        <f t="shared" si="92"/>
        <v>burtoni</v>
      </c>
      <c r="L180" s="78">
        <f t="shared" si="92"/>
        <v>6</v>
      </c>
      <c r="M180" s="78">
        <f t="shared" si="92"/>
        <v>12</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INDEX([1]!VISITORS[INSECT ORDER], MATCH(X180,[1]!VISITORS[NAME USED],0))</f>
        <v>#REF!</v>
      </c>
      <c r="AB180" s="48" t="e">
        <f t="shared" si="73"/>
        <v>#REF!</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16</v>
      </c>
      <c r="D181" s="75">
        <f t="shared" si="66"/>
        <v>18</v>
      </c>
      <c r="E181" s="76">
        <f t="shared" si="67"/>
        <v>43</v>
      </c>
      <c r="F181" s="80"/>
      <c r="G181" s="83"/>
      <c r="H181" s="69" t="str">
        <f t="shared" si="89"/>
        <v>Senbur6_20191116_18_00</v>
      </c>
      <c r="I181" s="70">
        <f t="shared" ref="I181:N196" si="93">I180</f>
        <v>1</v>
      </c>
      <c r="J181" s="77" t="str">
        <f t="shared" si="93"/>
        <v>Senecio</v>
      </c>
      <c r="K181" s="77" t="str">
        <f t="shared" si="93"/>
        <v>burtoni</v>
      </c>
      <c r="L181" s="78">
        <f t="shared" si="93"/>
        <v>6</v>
      </c>
      <c r="M181" s="78">
        <f t="shared" si="93"/>
        <v>12</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INDEX([1]!VISITORS[INSECT ORDER], MATCH(X181,[1]!VISITORS[NAME USED],0))</f>
        <v>#REF!</v>
      </c>
      <c r="AB181" s="48" t="e">
        <f t="shared" si="73"/>
        <v>#REF!</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16</v>
      </c>
      <c r="D182" s="75">
        <f t="shared" si="66"/>
        <v>18</v>
      </c>
      <c r="E182" s="76">
        <f t="shared" si="67"/>
        <v>44</v>
      </c>
      <c r="F182" s="80"/>
      <c r="G182" s="83"/>
      <c r="H182" s="69" t="str">
        <f t="shared" si="89"/>
        <v>Senbur6_20191116_18_00</v>
      </c>
      <c r="I182" s="70">
        <f t="shared" si="93"/>
        <v>1</v>
      </c>
      <c r="J182" s="77" t="str">
        <f t="shared" si="93"/>
        <v>Senecio</v>
      </c>
      <c r="K182" s="77" t="str">
        <f t="shared" si="93"/>
        <v>burtoni</v>
      </c>
      <c r="L182" s="78">
        <f t="shared" si="93"/>
        <v>6</v>
      </c>
      <c r="M182" s="78">
        <f t="shared" si="93"/>
        <v>12</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INDEX([1]!VISITORS[INSECT ORDER], MATCH(X182,[1]!VISITORS[NAME USED],0))</f>
        <v>#REF!</v>
      </c>
      <c r="AB182" s="48" t="e">
        <f t="shared" si="73"/>
        <v>#REF!</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16</v>
      </c>
      <c r="D183" s="75">
        <f t="shared" si="66"/>
        <v>18</v>
      </c>
      <c r="E183" s="76">
        <f t="shared" si="67"/>
        <v>45</v>
      </c>
      <c r="F183" s="80"/>
      <c r="G183" s="83"/>
      <c r="H183" s="69" t="str">
        <f t="shared" si="89"/>
        <v>Senbur6_20191116_18_00</v>
      </c>
      <c r="I183" s="70">
        <f t="shared" si="93"/>
        <v>1</v>
      </c>
      <c r="J183" s="77" t="str">
        <f t="shared" si="93"/>
        <v>Senecio</v>
      </c>
      <c r="K183" s="77" t="str">
        <f t="shared" si="93"/>
        <v>burtoni</v>
      </c>
      <c r="L183" s="78">
        <f t="shared" si="93"/>
        <v>6</v>
      </c>
      <c r="M183" s="78">
        <f t="shared" si="93"/>
        <v>12</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INDEX([1]!VISITORS[INSECT ORDER], MATCH(X183,[1]!VISITORS[NAME USED],0))</f>
        <v>#REF!</v>
      </c>
      <c r="AB183" s="48" t="e">
        <f t="shared" si="73"/>
        <v>#REF!</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16</v>
      </c>
      <c r="D184" s="75">
        <f t="shared" si="66"/>
        <v>18</v>
      </c>
      <c r="E184" s="76">
        <f t="shared" si="67"/>
        <v>46</v>
      </c>
      <c r="F184" s="80"/>
      <c r="G184" s="83"/>
      <c r="H184" s="69" t="str">
        <f t="shared" si="89"/>
        <v>Senbur6_20191116_18_00</v>
      </c>
      <c r="I184" s="70">
        <f t="shared" si="93"/>
        <v>1</v>
      </c>
      <c r="J184" s="77" t="str">
        <f t="shared" si="93"/>
        <v>Senecio</v>
      </c>
      <c r="K184" s="77" t="str">
        <f t="shared" si="93"/>
        <v>burtoni</v>
      </c>
      <c r="L184" s="78">
        <f t="shared" si="93"/>
        <v>6</v>
      </c>
      <c r="M184" s="78">
        <f t="shared" si="93"/>
        <v>12</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INDEX([1]!VISITORS[INSECT ORDER], MATCH(X184,[1]!VISITORS[NAME USED],0))</f>
        <v>#REF!</v>
      </c>
      <c r="AB184" s="48" t="e">
        <f t="shared" si="73"/>
        <v>#REF!</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16</v>
      </c>
      <c r="D185" s="75">
        <f t="shared" si="66"/>
        <v>18</v>
      </c>
      <c r="E185" s="76">
        <f t="shared" si="67"/>
        <v>47</v>
      </c>
      <c r="F185" s="80"/>
      <c r="G185" s="83"/>
      <c r="H185" s="69" t="str">
        <f t="shared" si="89"/>
        <v>Senbur6_20191116_18_00</v>
      </c>
      <c r="I185" s="70">
        <f t="shared" si="93"/>
        <v>1</v>
      </c>
      <c r="J185" s="77" t="str">
        <f t="shared" si="93"/>
        <v>Senecio</v>
      </c>
      <c r="K185" s="77" t="str">
        <f t="shared" si="93"/>
        <v>burtoni</v>
      </c>
      <c r="L185" s="78">
        <f t="shared" si="93"/>
        <v>6</v>
      </c>
      <c r="M185" s="78">
        <f t="shared" si="93"/>
        <v>12</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INDEX([1]!VISITORS[INSECT ORDER], MATCH(X185,[1]!VISITORS[NAME USED],0))</f>
        <v>#REF!</v>
      </c>
      <c r="AB185" s="48" t="e">
        <f t="shared" si="73"/>
        <v>#REF!</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16</v>
      </c>
      <c r="D186" s="75">
        <f t="shared" si="66"/>
        <v>18</v>
      </c>
      <c r="E186" s="76">
        <f t="shared" si="67"/>
        <v>48</v>
      </c>
      <c r="F186" s="80"/>
      <c r="G186" s="83"/>
      <c r="H186" s="69" t="str">
        <f t="shared" si="89"/>
        <v>Senbur6_20191116_18_00</v>
      </c>
      <c r="I186" s="70">
        <f t="shared" si="93"/>
        <v>1</v>
      </c>
      <c r="J186" s="77" t="str">
        <f t="shared" si="93"/>
        <v>Senecio</v>
      </c>
      <c r="K186" s="77" t="str">
        <f t="shared" si="93"/>
        <v>burtoni</v>
      </c>
      <c r="L186" s="78">
        <f t="shared" si="93"/>
        <v>6</v>
      </c>
      <c r="M186" s="78">
        <f t="shared" si="93"/>
        <v>12</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INDEX([1]!VISITORS[INSECT ORDER], MATCH(X186,[1]!VISITORS[NAME USED],0))</f>
        <v>#REF!</v>
      </c>
      <c r="AB186" s="48" t="e">
        <f t="shared" si="73"/>
        <v>#REF!</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16</v>
      </c>
      <c r="D187" s="75">
        <f t="shared" si="66"/>
        <v>18</v>
      </c>
      <c r="E187" s="76">
        <f t="shared" si="67"/>
        <v>49</v>
      </c>
      <c r="F187" s="80"/>
      <c r="G187" s="83"/>
      <c r="H187" s="69" t="str">
        <f t="shared" si="89"/>
        <v>Senbur6_20191116_18_00</v>
      </c>
      <c r="I187" s="70">
        <f t="shared" si="93"/>
        <v>1</v>
      </c>
      <c r="J187" s="77" t="str">
        <f t="shared" si="93"/>
        <v>Senecio</v>
      </c>
      <c r="K187" s="77" t="str">
        <f t="shared" si="93"/>
        <v>burtoni</v>
      </c>
      <c r="L187" s="78">
        <f t="shared" si="93"/>
        <v>6</v>
      </c>
      <c r="M187" s="78">
        <f t="shared" si="93"/>
        <v>12</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INDEX([1]!VISITORS[INSECT ORDER], MATCH(X187,[1]!VISITORS[NAME USED],0))</f>
        <v>#REF!</v>
      </c>
      <c r="AB187" s="48" t="e">
        <f t="shared" si="73"/>
        <v>#REF!</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16</v>
      </c>
      <c r="D188" s="75">
        <f t="shared" si="66"/>
        <v>18</v>
      </c>
      <c r="E188" s="76">
        <f t="shared" si="67"/>
        <v>50</v>
      </c>
      <c r="F188" s="80"/>
      <c r="G188" s="83"/>
      <c r="H188" s="69" t="str">
        <f t="shared" si="89"/>
        <v>Senbur6_20191116_18_00</v>
      </c>
      <c r="I188" s="70">
        <f t="shared" si="93"/>
        <v>1</v>
      </c>
      <c r="J188" s="77" t="str">
        <f t="shared" si="93"/>
        <v>Senecio</v>
      </c>
      <c r="K188" s="77" t="str">
        <f t="shared" si="93"/>
        <v>burtoni</v>
      </c>
      <c r="L188" s="78">
        <f t="shared" si="93"/>
        <v>6</v>
      </c>
      <c r="M188" s="78">
        <f t="shared" si="93"/>
        <v>12</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INDEX([1]!VISITORS[INSECT ORDER], MATCH(X188,[1]!VISITORS[NAME USED],0))</f>
        <v>#REF!</v>
      </c>
      <c r="AB188" s="48" t="e">
        <f t="shared" si="73"/>
        <v>#REF!</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16</v>
      </c>
      <c r="D189" s="75">
        <f t="shared" si="66"/>
        <v>18</v>
      </c>
      <c r="E189" s="76">
        <f t="shared" si="67"/>
        <v>51</v>
      </c>
      <c r="F189" s="80"/>
      <c r="G189" s="83"/>
      <c r="H189" s="69" t="str">
        <f t="shared" si="89"/>
        <v>Senbur6_20191116_18_00</v>
      </c>
      <c r="I189" s="70">
        <f t="shared" si="93"/>
        <v>1</v>
      </c>
      <c r="J189" s="77" t="str">
        <f t="shared" si="93"/>
        <v>Senecio</v>
      </c>
      <c r="K189" s="77" t="str">
        <f t="shared" si="93"/>
        <v>burtoni</v>
      </c>
      <c r="L189" s="78">
        <f t="shared" si="93"/>
        <v>6</v>
      </c>
      <c r="M189" s="78">
        <f t="shared" si="93"/>
        <v>12</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INDEX([1]!VISITORS[INSECT ORDER], MATCH(X189,[1]!VISITORS[NAME USED],0))</f>
        <v>#REF!</v>
      </c>
      <c r="AB189" s="48" t="e">
        <f t="shared" si="73"/>
        <v>#REF!</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16</v>
      </c>
      <c r="D190" s="75">
        <f t="shared" si="66"/>
        <v>18</v>
      </c>
      <c r="E190" s="76">
        <f t="shared" si="67"/>
        <v>52</v>
      </c>
      <c r="F190" s="80">
        <v>24</v>
      </c>
      <c r="G190" s="83"/>
      <c r="H190" s="69" t="str">
        <f t="shared" si="89"/>
        <v>Senbur6_20191116_18_00</v>
      </c>
      <c r="I190" s="70">
        <f t="shared" si="93"/>
        <v>1</v>
      </c>
      <c r="J190" s="77" t="str">
        <f t="shared" si="93"/>
        <v>Senecio</v>
      </c>
      <c r="K190" s="77" t="str">
        <f t="shared" si="93"/>
        <v>burtoni</v>
      </c>
      <c r="L190" s="78">
        <f t="shared" si="93"/>
        <v>6</v>
      </c>
      <c r="M190" s="78">
        <f t="shared" si="93"/>
        <v>12</v>
      </c>
      <c r="N190" s="72">
        <f t="shared" si="93"/>
        <v>0</v>
      </c>
      <c r="O190" s="45"/>
      <c r="P190" s="46">
        <f t="shared" si="68"/>
        <v>1</v>
      </c>
      <c r="Q190" s="47" t="str">
        <f t="shared" si="69"/>
        <v>18:52:24</v>
      </c>
      <c r="R190" s="48" t="str">
        <f t="shared" si="70"/>
        <v>52:24</v>
      </c>
      <c r="S190" s="49">
        <f t="shared" si="63"/>
        <v>4</v>
      </c>
      <c r="T190" s="48" t="str">
        <f t="shared" si="71"/>
        <v>18</v>
      </c>
      <c r="U190" s="50">
        <v>52</v>
      </c>
      <c r="V190" s="51">
        <v>28</v>
      </c>
      <c r="W190" s="52" t="str">
        <f t="shared" si="72"/>
        <v>52:28</v>
      </c>
      <c r="X190" s="53" t="s">
        <v>67</v>
      </c>
      <c r="Y190" s="97" t="s">
        <v>94</v>
      </c>
      <c r="Z190" s="97"/>
      <c r="AA190" s="48" t="s">
        <v>68</v>
      </c>
      <c r="AB190" s="48" t="str">
        <f t="shared" si="73"/>
        <v>NA</v>
      </c>
      <c r="AC190" s="54">
        <f t="shared" si="74"/>
        <v>0</v>
      </c>
      <c r="AD190" s="55">
        <f t="shared" si="75"/>
        <v>1</v>
      </c>
      <c r="AE190" s="55"/>
      <c r="AF190" s="55"/>
      <c r="AG190" s="56">
        <v>1</v>
      </c>
      <c r="AH190" s="57">
        <v>1</v>
      </c>
      <c r="AI190" s="56"/>
      <c r="AJ190" s="57" t="str">
        <f t="shared" si="78"/>
        <v/>
      </c>
      <c r="AK190" s="56"/>
      <c r="AL190" s="57" t="str">
        <f t="shared" si="79"/>
        <v/>
      </c>
      <c r="AM190" s="56">
        <v>1</v>
      </c>
      <c r="AN190" s="57">
        <v>3</v>
      </c>
      <c r="AO190" s="56"/>
      <c r="AP190" s="57" t="str">
        <f t="shared" si="81"/>
        <v/>
      </c>
      <c r="AQ190" s="56"/>
      <c r="AR190" s="57" t="str">
        <f t="shared" si="82"/>
        <v/>
      </c>
      <c r="AS190" s="56"/>
      <c r="AT190" s="57" t="str">
        <f t="shared" si="83"/>
        <v/>
      </c>
      <c r="AU190" s="58"/>
      <c r="AV190" s="59"/>
      <c r="AW190" s="59"/>
      <c r="AX190" s="60"/>
      <c r="AY190" s="61">
        <v>1</v>
      </c>
      <c r="AZ190" s="62">
        <v>1</v>
      </c>
      <c r="BA190" s="61">
        <f t="shared" si="86"/>
        <v>0</v>
      </c>
      <c r="BB190" s="62" t="str">
        <f t="shared" si="87"/>
        <v/>
      </c>
    </row>
    <row r="191" spans="1:54" s="3" customFormat="1" hidden="1" x14ac:dyDescent="0.35">
      <c r="A191" s="73">
        <f t="shared" si="64"/>
        <v>2019</v>
      </c>
      <c r="B191" s="73" t="str">
        <f t="shared" si="65"/>
        <v>Nov</v>
      </c>
      <c r="C191" s="74">
        <f t="shared" si="88"/>
        <v>16</v>
      </c>
      <c r="D191" s="75">
        <f t="shared" si="66"/>
        <v>18</v>
      </c>
      <c r="E191" s="76">
        <f t="shared" si="67"/>
        <v>53</v>
      </c>
      <c r="F191" s="80"/>
      <c r="G191" s="83"/>
      <c r="H191" s="69" t="str">
        <f t="shared" si="89"/>
        <v>Senbur6_20191116_18_00</v>
      </c>
      <c r="I191" s="70">
        <f t="shared" si="93"/>
        <v>1</v>
      </c>
      <c r="J191" s="77" t="str">
        <f t="shared" si="93"/>
        <v>Senecio</v>
      </c>
      <c r="K191" s="77" t="str">
        <f t="shared" si="93"/>
        <v>burtoni</v>
      </c>
      <c r="L191" s="78">
        <f t="shared" si="93"/>
        <v>6</v>
      </c>
      <c r="M191" s="78">
        <f t="shared" si="93"/>
        <v>12</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INDEX([1]!VISITORS[INSECT ORDER], MATCH(X191,[1]!VISITORS[NAME USED],0))</f>
        <v>#REF!</v>
      </c>
      <c r="AB191" s="48" t="e">
        <f t="shared" si="73"/>
        <v>#REF!</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16</v>
      </c>
      <c r="D192" s="75">
        <f t="shared" si="66"/>
        <v>18</v>
      </c>
      <c r="E192" s="76">
        <f t="shared" si="67"/>
        <v>54</v>
      </c>
      <c r="F192" s="80"/>
      <c r="G192" s="83"/>
      <c r="H192" s="69" t="str">
        <f t="shared" si="89"/>
        <v>Senbur6_20191116_18_00</v>
      </c>
      <c r="I192" s="70">
        <f t="shared" si="93"/>
        <v>1</v>
      </c>
      <c r="J192" s="77" t="str">
        <f t="shared" si="93"/>
        <v>Senecio</v>
      </c>
      <c r="K192" s="77" t="str">
        <f t="shared" si="93"/>
        <v>burtoni</v>
      </c>
      <c r="L192" s="78">
        <f t="shared" si="93"/>
        <v>6</v>
      </c>
      <c r="M192" s="78">
        <f t="shared" si="93"/>
        <v>12</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INDEX([1]!VISITORS[INSECT ORDER], MATCH(X192,[1]!VISITORS[NAME USED],0))</f>
        <v>#REF!</v>
      </c>
      <c r="AB192" s="48" t="e">
        <f t="shared" si="73"/>
        <v>#REF!</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16</v>
      </c>
      <c r="D193" s="75">
        <f t="shared" si="66"/>
        <v>18</v>
      </c>
      <c r="E193" s="76">
        <f t="shared" si="67"/>
        <v>55</v>
      </c>
      <c r="F193" s="80"/>
      <c r="G193" s="83"/>
      <c r="H193" s="69" t="str">
        <f t="shared" si="89"/>
        <v>Senbur6_20191116_18_00</v>
      </c>
      <c r="I193" s="70">
        <f t="shared" si="93"/>
        <v>1</v>
      </c>
      <c r="J193" s="77" t="str">
        <f t="shared" si="93"/>
        <v>Senecio</v>
      </c>
      <c r="K193" s="77" t="str">
        <f t="shared" si="93"/>
        <v>burtoni</v>
      </c>
      <c r="L193" s="78">
        <f t="shared" si="93"/>
        <v>6</v>
      </c>
      <c r="M193" s="78">
        <f t="shared" si="93"/>
        <v>12</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INDEX([1]!VISITORS[INSECT ORDER], MATCH(X193,[1]!VISITORS[NAME USED],0))</f>
        <v>#REF!</v>
      </c>
      <c r="AB193" s="48" t="e">
        <f t="shared" si="73"/>
        <v>#REF!</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16</v>
      </c>
      <c r="D194" s="75">
        <f t="shared" si="66"/>
        <v>18</v>
      </c>
      <c r="E194" s="76">
        <f t="shared" si="67"/>
        <v>56</v>
      </c>
      <c r="F194" s="80"/>
      <c r="G194" s="83"/>
      <c r="H194" s="69" t="str">
        <f t="shared" si="89"/>
        <v>Senbur6_20191116_18_00</v>
      </c>
      <c r="I194" s="70">
        <f t="shared" si="93"/>
        <v>1</v>
      </c>
      <c r="J194" s="77" t="str">
        <f t="shared" si="93"/>
        <v>Senecio</v>
      </c>
      <c r="K194" s="77" t="str">
        <f t="shared" si="93"/>
        <v>burtoni</v>
      </c>
      <c r="L194" s="78">
        <f t="shared" si="93"/>
        <v>6</v>
      </c>
      <c r="M194" s="78">
        <f t="shared" si="93"/>
        <v>12</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INDEX([1]!VISITORS[INSECT ORDER], MATCH(X194,[1]!VISITORS[NAME USED],0))</f>
        <v>#REF!</v>
      </c>
      <c r="AB194" s="48" t="e">
        <f t="shared" si="73"/>
        <v>#REF!</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16</v>
      </c>
      <c r="D195" s="75">
        <f t="shared" si="66"/>
        <v>18</v>
      </c>
      <c r="E195" s="76">
        <f t="shared" si="67"/>
        <v>57</v>
      </c>
      <c r="F195" s="80"/>
      <c r="G195" s="83"/>
      <c r="H195" s="69" t="str">
        <f t="shared" si="89"/>
        <v>Senbur6_20191116_18_00</v>
      </c>
      <c r="I195" s="70">
        <f t="shared" si="93"/>
        <v>1</v>
      </c>
      <c r="J195" s="77" t="str">
        <f t="shared" si="93"/>
        <v>Senecio</v>
      </c>
      <c r="K195" s="77" t="str">
        <f t="shared" si="93"/>
        <v>burtoni</v>
      </c>
      <c r="L195" s="78">
        <f t="shared" si="93"/>
        <v>6</v>
      </c>
      <c r="M195" s="78">
        <f t="shared" si="93"/>
        <v>12</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INDEX([1]!VISITORS[INSECT ORDER], MATCH(X195,[1]!VISITORS[NAME USED],0))</f>
        <v>#REF!</v>
      </c>
      <c r="AB195" s="48" t="e">
        <f t="shared" si="73"/>
        <v>#REF!</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16</v>
      </c>
      <c r="D196" s="75">
        <f t="shared" ref="D196:D259" si="97">IF(IF(E195=59,D195+1,D195)=24,0,IF(E195=59,D195+1,D195))</f>
        <v>18</v>
      </c>
      <c r="E196" s="76">
        <f t="shared" ref="E196:E259" si="98">IF(E195&lt;59,E195+1,0)</f>
        <v>58</v>
      </c>
      <c r="F196" s="80"/>
      <c r="G196" s="83"/>
      <c r="H196" s="69" t="str">
        <f t="shared" si="89"/>
        <v>Senbur6_20191116_18_00</v>
      </c>
      <c r="I196" s="70">
        <f t="shared" si="93"/>
        <v>1</v>
      </c>
      <c r="J196" s="77" t="str">
        <f t="shared" si="93"/>
        <v>Senecio</v>
      </c>
      <c r="K196" s="77" t="str">
        <f t="shared" si="93"/>
        <v>burtoni</v>
      </c>
      <c r="L196" s="78">
        <f t="shared" si="93"/>
        <v>6</v>
      </c>
      <c r="M196" s="78">
        <f t="shared" si="93"/>
        <v>12</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INDEX([1]!VISITORS[INSECT ORDER], MATCH(X196,[1]!VISITORS[NAME USED],0))</f>
        <v>#REF!</v>
      </c>
      <c r="AB196" s="48" t="e">
        <f t="shared" ref="AB196:AB259" si="104">IF(AA196&lt;&gt;0,"NA","")</f>
        <v>#REF!</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16</v>
      </c>
      <c r="D197" s="75">
        <f t="shared" si="97"/>
        <v>18</v>
      </c>
      <c r="E197" s="76">
        <f t="shared" si="98"/>
        <v>59</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Senbur6_20191116_18_00</v>
      </c>
      <c r="I197" s="70">
        <f t="shared" ref="I197:N212" si="121">I196</f>
        <v>1</v>
      </c>
      <c r="J197" s="77" t="str">
        <f t="shared" si="121"/>
        <v>Senecio</v>
      </c>
      <c r="K197" s="77" t="str">
        <f t="shared" si="121"/>
        <v>burtoni</v>
      </c>
      <c r="L197" s="78">
        <f t="shared" si="121"/>
        <v>6</v>
      </c>
      <c r="M197" s="78">
        <f t="shared" si="121"/>
        <v>12</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INDEX([1]!VISITORS[INSECT ORDER], MATCH(X197,[1]!VISITORS[NAME USED],0))</f>
        <v>#REF!</v>
      </c>
      <c r="AB197" s="48" t="e">
        <f t="shared" si="104"/>
        <v>#REF!</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16</v>
      </c>
      <c r="D198" s="75">
        <f t="shared" si="97"/>
        <v>19</v>
      </c>
      <c r="E198" s="76">
        <f t="shared" si="98"/>
        <v>0</v>
      </c>
      <c r="F198" s="80"/>
      <c r="G198" s="83"/>
      <c r="H198" s="69" t="str">
        <f t="shared" si="120"/>
        <v>Senbur6_20191116_19_00</v>
      </c>
      <c r="I198" s="70">
        <f t="shared" si="121"/>
        <v>1</v>
      </c>
      <c r="J198" s="77" t="str">
        <f t="shared" si="121"/>
        <v>Senecio</v>
      </c>
      <c r="K198" s="77" t="str">
        <f t="shared" si="121"/>
        <v>burtoni</v>
      </c>
      <c r="L198" s="78">
        <f t="shared" si="121"/>
        <v>6</v>
      </c>
      <c r="M198" s="78">
        <f t="shared" si="121"/>
        <v>12</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INDEX([1]!VISITORS[INSECT ORDER], MATCH(X198,[1]!VISITORS[NAME USED],0))</f>
        <v>#REF!</v>
      </c>
      <c r="AB198" s="48" t="e">
        <f t="shared" si="104"/>
        <v>#REF!</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16</v>
      </c>
      <c r="D199" s="75">
        <f t="shared" si="97"/>
        <v>19</v>
      </c>
      <c r="E199" s="76">
        <f t="shared" si="98"/>
        <v>1</v>
      </c>
      <c r="F199" s="80"/>
      <c r="G199" s="83"/>
      <c r="H199" s="69" t="str">
        <f t="shared" si="120"/>
        <v>Senbur6_20191116_19_00</v>
      </c>
      <c r="I199" s="70">
        <f t="shared" si="121"/>
        <v>1</v>
      </c>
      <c r="J199" s="77" t="str">
        <f t="shared" si="121"/>
        <v>Senecio</v>
      </c>
      <c r="K199" s="77" t="str">
        <f t="shared" si="121"/>
        <v>burtoni</v>
      </c>
      <c r="L199" s="78">
        <f t="shared" si="121"/>
        <v>6</v>
      </c>
      <c r="M199" s="78">
        <f t="shared" si="121"/>
        <v>12</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INDEX([1]!VISITORS[INSECT ORDER], MATCH(X199,[1]!VISITORS[NAME USED],0))</f>
        <v>#REF!</v>
      </c>
      <c r="AB199" s="48" t="e">
        <f t="shared" si="104"/>
        <v>#REF!</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16</v>
      </c>
      <c r="D200" s="75">
        <f t="shared" si="97"/>
        <v>19</v>
      </c>
      <c r="E200" s="76">
        <f t="shared" si="98"/>
        <v>2</v>
      </c>
      <c r="F200" s="80"/>
      <c r="G200" s="83"/>
      <c r="H200" s="69" t="str">
        <f t="shared" si="120"/>
        <v>Senbur6_20191116_19_00</v>
      </c>
      <c r="I200" s="70">
        <f t="shared" si="121"/>
        <v>1</v>
      </c>
      <c r="J200" s="77" t="str">
        <f t="shared" si="121"/>
        <v>Senecio</v>
      </c>
      <c r="K200" s="77" t="str">
        <f t="shared" si="121"/>
        <v>burtoni</v>
      </c>
      <c r="L200" s="78">
        <f t="shared" si="121"/>
        <v>6</v>
      </c>
      <c r="M200" s="78">
        <f t="shared" si="121"/>
        <v>12</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INDEX([1]!VISITORS[INSECT ORDER], MATCH(X200,[1]!VISITORS[NAME USED],0))</f>
        <v>#REF!</v>
      </c>
      <c r="AB200" s="48" t="e">
        <f t="shared" si="104"/>
        <v>#REF!</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16</v>
      </c>
      <c r="D201" s="75">
        <f t="shared" si="97"/>
        <v>19</v>
      </c>
      <c r="E201" s="76">
        <f t="shared" si="98"/>
        <v>3</v>
      </c>
      <c r="F201" s="80"/>
      <c r="G201" s="83"/>
      <c r="H201" s="69" t="str">
        <f t="shared" si="120"/>
        <v>Senbur6_20191116_19_00</v>
      </c>
      <c r="I201" s="70">
        <f t="shared" si="121"/>
        <v>1</v>
      </c>
      <c r="J201" s="77" t="str">
        <f t="shared" si="121"/>
        <v>Senecio</v>
      </c>
      <c r="K201" s="77" t="str">
        <f t="shared" si="121"/>
        <v>burtoni</v>
      </c>
      <c r="L201" s="78">
        <f t="shared" si="121"/>
        <v>6</v>
      </c>
      <c r="M201" s="78">
        <f t="shared" si="121"/>
        <v>12</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INDEX([1]!VISITORS[INSECT ORDER], MATCH(X201,[1]!VISITORS[NAME USED],0))</f>
        <v>#REF!</v>
      </c>
      <c r="AB201" s="48" t="e">
        <f t="shared" si="104"/>
        <v>#REF!</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16</v>
      </c>
      <c r="D202" s="75">
        <f t="shared" si="97"/>
        <v>19</v>
      </c>
      <c r="E202" s="76">
        <f t="shared" si="98"/>
        <v>4</v>
      </c>
      <c r="F202" s="80"/>
      <c r="G202" s="83"/>
      <c r="H202" s="69" t="str">
        <f t="shared" si="120"/>
        <v>Senbur6_20191116_19_00</v>
      </c>
      <c r="I202" s="70">
        <f t="shared" si="121"/>
        <v>1</v>
      </c>
      <c r="J202" s="77" t="str">
        <f t="shared" si="121"/>
        <v>Senecio</v>
      </c>
      <c r="K202" s="77" t="str">
        <f t="shared" si="121"/>
        <v>burtoni</v>
      </c>
      <c r="L202" s="78">
        <f t="shared" si="121"/>
        <v>6</v>
      </c>
      <c r="M202" s="78">
        <f t="shared" si="121"/>
        <v>12</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INDEX([1]!VISITORS[INSECT ORDER], MATCH(X202,[1]!VISITORS[NAME USED],0))</f>
        <v>#REF!</v>
      </c>
      <c r="AB202" s="48" t="e">
        <f t="shared" si="104"/>
        <v>#REF!</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16</v>
      </c>
      <c r="D203" s="75">
        <f t="shared" si="97"/>
        <v>19</v>
      </c>
      <c r="E203" s="76">
        <f t="shared" si="98"/>
        <v>5</v>
      </c>
      <c r="F203" s="80"/>
      <c r="G203" s="83"/>
      <c r="H203" s="69" t="str">
        <f t="shared" si="120"/>
        <v>Senbur6_20191116_19_00</v>
      </c>
      <c r="I203" s="70">
        <f t="shared" si="121"/>
        <v>1</v>
      </c>
      <c r="J203" s="77" t="str">
        <f t="shared" si="121"/>
        <v>Senecio</v>
      </c>
      <c r="K203" s="77" t="str">
        <f t="shared" si="121"/>
        <v>burtoni</v>
      </c>
      <c r="L203" s="78">
        <f t="shared" si="121"/>
        <v>6</v>
      </c>
      <c r="M203" s="78">
        <f t="shared" si="121"/>
        <v>12</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INDEX([1]!VISITORS[INSECT ORDER], MATCH(X203,[1]!VISITORS[NAME USED],0))</f>
        <v>#REF!</v>
      </c>
      <c r="AB203" s="48" t="e">
        <f t="shared" si="104"/>
        <v>#REF!</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16</v>
      </c>
      <c r="D204" s="75">
        <f t="shared" si="97"/>
        <v>19</v>
      </c>
      <c r="E204" s="76">
        <f t="shared" si="98"/>
        <v>6</v>
      </c>
      <c r="F204" s="80"/>
      <c r="G204" s="83"/>
      <c r="H204" s="69" t="str">
        <f t="shared" si="120"/>
        <v>Senbur6_20191116_19_00</v>
      </c>
      <c r="I204" s="70">
        <f t="shared" si="121"/>
        <v>1</v>
      </c>
      <c r="J204" s="77" t="str">
        <f t="shared" si="121"/>
        <v>Senecio</v>
      </c>
      <c r="K204" s="77" t="str">
        <f t="shared" si="121"/>
        <v>burtoni</v>
      </c>
      <c r="L204" s="78">
        <f t="shared" si="121"/>
        <v>6</v>
      </c>
      <c r="M204" s="78">
        <f t="shared" si="121"/>
        <v>12</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INDEX([1]!VISITORS[INSECT ORDER], MATCH(X204,[1]!VISITORS[NAME USED],0))</f>
        <v>#REF!</v>
      </c>
      <c r="AB204" s="48" t="e">
        <f t="shared" si="104"/>
        <v>#REF!</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16</v>
      </c>
      <c r="D205" s="75">
        <f t="shared" si="97"/>
        <v>19</v>
      </c>
      <c r="E205" s="76">
        <f t="shared" si="98"/>
        <v>7</v>
      </c>
      <c r="F205" s="80"/>
      <c r="G205" s="83"/>
      <c r="H205" s="69" t="str">
        <f t="shared" si="120"/>
        <v>Senbur6_20191116_19_00</v>
      </c>
      <c r="I205" s="70">
        <f t="shared" si="121"/>
        <v>1</v>
      </c>
      <c r="J205" s="77" t="str">
        <f t="shared" si="121"/>
        <v>Senecio</v>
      </c>
      <c r="K205" s="77" t="str">
        <f t="shared" si="121"/>
        <v>burtoni</v>
      </c>
      <c r="L205" s="78">
        <f t="shared" si="121"/>
        <v>6</v>
      </c>
      <c r="M205" s="78">
        <f t="shared" si="121"/>
        <v>12</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INDEX([1]!VISITORS[INSECT ORDER], MATCH(X205,[1]!VISITORS[NAME USED],0))</f>
        <v>#REF!</v>
      </c>
      <c r="AB205" s="48" t="e">
        <f t="shared" si="104"/>
        <v>#REF!</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16</v>
      </c>
      <c r="D206" s="75">
        <f t="shared" si="97"/>
        <v>19</v>
      </c>
      <c r="E206" s="76">
        <f t="shared" si="98"/>
        <v>8</v>
      </c>
      <c r="F206" s="80">
        <v>40</v>
      </c>
      <c r="G206" s="83"/>
      <c r="H206" s="69" t="str">
        <f t="shared" si="120"/>
        <v>Senbur6_20191116_19_00</v>
      </c>
      <c r="I206" s="70">
        <f t="shared" si="121"/>
        <v>1</v>
      </c>
      <c r="J206" s="77" t="str">
        <f t="shared" si="121"/>
        <v>Senecio</v>
      </c>
      <c r="K206" s="77" t="str">
        <f t="shared" si="121"/>
        <v>burtoni</v>
      </c>
      <c r="L206" s="78">
        <f t="shared" si="121"/>
        <v>6</v>
      </c>
      <c r="M206" s="78">
        <f t="shared" si="121"/>
        <v>12</v>
      </c>
      <c r="N206" s="72">
        <f t="shared" si="121"/>
        <v>0</v>
      </c>
      <c r="O206" s="45"/>
      <c r="P206" s="46">
        <f t="shared" si="99"/>
        <v>1</v>
      </c>
      <c r="Q206" s="47" t="str">
        <f t="shared" si="100"/>
        <v>19:08:40</v>
      </c>
      <c r="R206" s="48" t="str">
        <f t="shared" si="101"/>
        <v>08:40</v>
      </c>
      <c r="S206" s="49">
        <f t="shared" si="94"/>
        <v>14</v>
      </c>
      <c r="T206" s="48" t="str">
        <f t="shared" si="102"/>
        <v>19</v>
      </c>
      <c r="U206" s="50">
        <v>8</v>
      </c>
      <c r="V206" s="51">
        <v>54</v>
      </c>
      <c r="W206" s="52" t="str">
        <f t="shared" si="103"/>
        <v>08:54</v>
      </c>
      <c r="X206" s="53" t="s">
        <v>67</v>
      </c>
      <c r="Y206" s="97" t="s">
        <v>94</v>
      </c>
      <c r="Z206" s="97"/>
      <c r="AA206" s="48" t="s">
        <v>68</v>
      </c>
      <c r="AB206" s="48" t="str">
        <f t="shared" si="104"/>
        <v>NA</v>
      </c>
      <c r="AC206" s="54">
        <f t="shared" si="105"/>
        <v>0</v>
      </c>
      <c r="AD206" s="55">
        <v>2</v>
      </c>
      <c r="AE206" s="55"/>
      <c r="AF206" s="55"/>
      <c r="AG206" s="56">
        <v>1</v>
      </c>
      <c r="AH206" s="57">
        <v>2</v>
      </c>
      <c r="AI206" s="56">
        <v>1</v>
      </c>
      <c r="AJ206" s="57">
        <v>1</v>
      </c>
      <c r="AK206" s="56"/>
      <c r="AL206" s="57" t="str">
        <f t="shared" si="110"/>
        <v/>
      </c>
      <c r="AM206" s="56">
        <v>1</v>
      </c>
      <c r="AN206" s="57">
        <v>11</v>
      </c>
      <c r="AO206" s="56"/>
      <c r="AP206" s="57" t="str">
        <f t="shared" si="112"/>
        <v/>
      </c>
      <c r="AQ206" s="56"/>
      <c r="AR206" s="57" t="str">
        <f t="shared" si="113"/>
        <v/>
      </c>
      <c r="AS206" s="56"/>
      <c r="AT206" s="57" t="str">
        <f t="shared" si="114"/>
        <v/>
      </c>
      <c r="AU206" s="58"/>
      <c r="AV206" s="59"/>
      <c r="AW206" s="59"/>
      <c r="AX206" s="60"/>
      <c r="AY206" s="61">
        <v>1</v>
      </c>
      <c r="AZ206" s="62">
        <f t="shared" si="116"/>
        <v>2</v>
      </c>
      <c r="BA206" s="61">
        <f t="shared" si="117"/>
        <v>0</v>
      </c>
      <c r="BB206" s="62" t="str">
        <f t="shared" si="118"/>
        <v/>
      </c>
    </row>
    <row r="207" spans="1:54" s="3" customFormat="1" hidden="1" x14ac:dyDescent="0.35">
      <c r="A207" s="73">
        <f t="shared" si="95"/>
        <v>2019</v>
      </c>
      <c r="B207" s="73" t="str">
        <f t="shared" si="96"/>
        <v>Nov</v>
      </c>
      <c r="C207" s="74">
        <f t="shared" si="119"/>
        <v>16</v>
      </c>
      <c r="D207" s="75">
        <f t="shared" si="97"/>
        <v>19</v>
      </c>
      <c r="E207" s="76">
        <f t="shared" si="98"/>
        <v>9</v>
      </c>
      <c r="F207" s="80"/>
      <c r="G207" s="83"/>
      <c r="H207" s="69" t="str">
        <f t="shared" si="120"/>
        <v>Senbur6_20191116_19_00</v>
      </c>
      <c r="I207" s="70">
        <f t="shared" si="121"/>
        <v>1</v>
      </c>
      <c r="J207" s="77" t="str">
        <f t="shared" si="121"/>
        <v>Senecio</v>
      </c>
      <c r="K207" s="77" t="str">
        <f t="shared" si="121"/>
        <v>burtoni</v>
      </c>
      <c r="L207" s="78">
        <f t="shared" si="121"/>
        <v>6</v>
      </c>
      <c r="M207" s="78">
        <f t="shared" si="121"/>
        <v>12</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INDEX([1]!VISITORS[INSECT ORDER], MATCH(X207,[1]!VISITORS[NAME USED],0))</f>
        <v>#REF!</v>
      </c>
      <c r="AB207" s="48" t="e">
        <f t="shared" si="104"/>
        <v>#REF!</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16</v>
      </c>
      <c r="D208" s="75">
        <f t="shared" si="97"/>
        <v>19</v>
      </c>
      <c r="E208" s="76">
        <f t="shared" si="98"/>
        <v>10</v>
      </c>
      <c r="F208" s="80"/>
      <c r="G208" s="83"/>
      <c r="H208" s="69" t="str">
        <f t="shared" si="120"/>
        <v>Senbur6_20191116_19_00</v>
      </c>
      <c r="I208" s="70">
        <f t="shared" si="121"/>
        <v>1</v>
      </c>
      <c r="J208" s="77" t="str">
        <f t="shared" si="121"/>
        <v>Senecio</v>
      </c>
      <c r="K208" s="77" t="str">
        <f t="shared" si="121"/>
        <v>burtoni</v>
      </c>
      <c r="L208" s="78">
        <f t="shared" si="121"/>
        <v>6</v>
      </c>
      <c r="M208" s="78">
        <f t="shared" si="121"/>
        <v>12</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INDEX([1]!VISITORS[INSECT ORDER], MATCH(X208,[1]!VISITORS[NAME USED],0))</f>
        <v>#REF!</v>
      </c>
      <c r="AB208" s="48" t="e">
        <f t="shared" si="104"/>
        <v>#REF!</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16</v>
      </c>
      <c r="D209" s="75">
        <f t="shared" si="97"/>
        <v>19</v>
      </c>
      <c r="E209" s="76">
        <f t="shared" si="98"/>
        <v>11</v>
      </c>
      <c r="F209" s="80"/>
      <c r="G209" s="83"/>
      <c r="H209" s="69" t="str">
        <f t="shared" si="120"/>
        <v>Senbur6_20191116_19_00</v>
      </c>
      <c r="I209" s="70">
        <f t="shared" si="121"/>
        <v>1</v>
      </c>
      <c r="J209" s="77" t="str">
        <f t="shared" si="121"/>
        <v>Senecio</v>
      </c>
      <c r="K209" s="77" t="str">
        <f t="shared" si="121"/>
        <v>burtoni</v>
      </c>
      <c r="L209" s="78">
        <f t="shared" si="121"/>
        <v>6</v>
      </c>
      <c r="M209" s="78">
        <f t="shared" si="121"/>
        <v>12</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INDEX([1]!VISITORS[INSECT ORDER], MATCH(X209,[1]!VISITORS[NAME USED],0))</f>
        <v>#REF!</v>
      </c>
      <c r="AB209" s="48" t="e">
        <f t="shared" si="104"/>
        <v>#REF!</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16</v>
      </c>
      <c r="D210" s="75">
        <f t="shared" si="97"/>
        <v>19</v>
      </c>
      <c r="E210" s="76">
        <f t="shared" si="98"/>
        <v>12</v>
      </c>
      <c r="F210" s="80"/>
      <c r="G210" s="83"/>
      <c r="H210" s="69" t="str">
        <f t="shared" si="120"/>
        <v>Senbur6_20191116_19_00</v>
      </c>
      <c r="I210" s="70">
        <f t="shared" si="121"/>
        <v>1</v>
      </c>
      <c r="J210" s="77" t="str">
        <f t="shared" si="121"/>
        <v>Senecio</v>
      </c>
      <c r="K210" s="77" t="str">
        <f t="shared" si="121"/>
        <v>burtoni</v>
      </c>
      <c r="L210" s="78">
        <f t="shared" si="121"/>
        <v>6</v>
      </c>
      <c r="M210" s="78">
        <f t="shared" si="121"/>
        <v>12</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INDEX([1]!VISITORS[INSECT ORDER], MATCH(X210,[1]!VISITORS[NAME USED],0))</f>
        <v>#REF!</v>
      </c>
      <c r="AB210" s="48" t="e">
        <f t="shared" si="104"/>
        <v>#REF!</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16</v>
      </c>
      <c r="D211" s="75">
        <f t="shared" si="97"/>
        <v>19</v>
      </c>
      <c r="E211" s="76">
        <f t="shared" si="98"/>
        <v>13</v>
      </c>
      <c r="F211" s="80"/>
      <c r="G211" s="83"/>
      <c r="H211" s="69" t="str">
        <f t="shared" si="120"/>
        <v>Senbur6_20191116_19_00</v>
      </c>
      <c r="I211" s="70">
        <f t="shared" si="121"/>
        <v>1</v>
      </c>
      <c r="J211" s="77" t="str">
        <f t="shared" si="121"/>
        <v>Senecio</v>
      </c>
      <c r="K211" s="77" t="str">
        <f t="shared" si="121"/>
        <v>burtoni</v>
      </c>
      <c r="L211" s="78">
        <f t="shared" si="121"/>
        <v>6</v>
      </c>
      <c r="M211" s="78">
        <f t="shared" si="121"/>
        <v>12</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INDEX([1]!VISITORS[INSECT ORDER], MATCH(X211,[1]!VISITORS[NAME USED],0))</f>
        <v>#REF!</v>
      </c>
      <c r="AB211" s="48" t="e">
        <f t="shared" si="104"/>
        <v>#REF!</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16</v>
      </c>
      <c r="D212" s="75">
        <f t="shared" si="97"/>
        <v>19</v>
      </c>
      <c r="E212" s="76">
        <f t="shared" si="98"/>
        <v>14</v>
      </c>
      <c r="F212" s="80"/>
      <c r="G212" s="83"/>
      <c r="H212" s="69" t="str">
        <f t="shared" si="120"/>
        <v>Senbur6_20191116_19_00</v>
      </c>
      <c r="I212" s="70">
        <f t="shared" si="121"/>
        <v>1</v>
      </c>
      <c r="J212" s="77" t="str">
        <f t="shared" si="121"/>
        <v>Senecio</v>
      </c>
      <c r="K212" s="77" t="str">
        <f t="shared" si="121"/>
        <v>burtoni</v>
      </c>
      <c r="L212" s="78">
        <f t="shared" si="121"/>
        <v>6</v>
      </c>
      <c r="M212" s="78">
        <f t="shared" si="121"/>
        <v>12</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INDEX([1]!VISITORS[INSECT ORDER], MATCH(X212,[1]!VISITORS[NAME USED],0))</f>
        <v>#REF!</v>
      </c>
      <c r="AB212" s="48" t="e">
        <f t="shared" si="104"/>
        <v>#REF!</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16</v>
      </c>
      <c r="D213" s="75">
        <f t="shared" si="97"/>
        <v>19</v>
      </c>
      <c r="E213" s="76">
        <f t="shared" si="98"/>
        <v>15</v>
      </c>
      <c r="F213" s="80"/>
      <c r="G213" s="83"/>
      <c r="H213" s="69" t="str">
        <f t="shared" si="120"/>
        <v>Senbur6_20191116_19_00</v>
      </c>
      <c r="I213" s="70">
        <f t="shared" ref="I213:N228" si="122">I212</f>
        <v>1</v>
      </c>
      <c r="J213" s="77" t="str">
        <f t="shared" si="122"/>
        <v>Senecio</v>
      </c>
      <c r="K213" s="77" t="str">
        <f t="shared" si="122"/>
        <v>burtoni</v>
      </c>
      <c r="L213" s="78">
        <f t="shared" si="122"/>
        <v>6</v>
      </c>
      <c r="M213" s="78">
        <f t="shared" si="122"/>
        <v>12</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INDEX([1]!VISITORS[INSECT ORDER], MATCH(X213,[1]!VISITORS[NAME USED],0))</f>
        <v>#REF!</v>
      </c>
      <c r="AB213" s="48" t="e">
        <f t="shared" si="104"/>
        <v>#REF!</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16</v>
      </c>
      <c r="D214" s="75">
        <f t="shared" si="97"/>
        <v>19</v>
      </c>
      <c r="E214" s="76">
        <f t="shared" si="98"/>
        <v>16</v>
      </c>
      <c r="F214" s="80"/>
      <c r="G214" s="83"/>
      <c r="H214" s="69" t="str">
        <f t="shared" si="120"/>
        <v>Senbur6_20191116_19_00</v>
      </c>
      <c r="I214" s="70">
        <f t="shared" si="122"/>
        <v>1</v>
      </c>
      <c r="J214" s="77" t="str">
        <f t="shared" si="122"/>
        <v>Senecio</v>
      </c>
      <c r="K214" s="77" t="str">
        <f t="shared" si="122"/>
        <v>burtoni</v>
      </c>
      <c r="L214" s="78">
        <f t="shared" si="122"/>
        <v>6</v>
      </c>
      <c r="M214" s="78">
        <f t="shared" si="122"/>
        <v>12</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INDEX([1]!VISITORS[INSECT ORDER], MATCH(X214,[1]!VISITORS[NAME USED],0))</f>
        <v>#REF!</v>
      </c>
      <c r="AB214" s="48" t="e">
        <f t="shared" si="104"/>
        <v>#REF!</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16</v>
      </c>
      <c r="D215" s="75">
        <f t="shared" si="97"/>
        <v>19</v>
      </c>
      <c r="E215" s="76">
        <f t="shared" si="98"/>
        <v>17</v>
      </c>
      <c r="F215" s="80"/>
      <c r="G215" s="83"/>
      <c r="H215" s="69" t="str">
        <f t="shared" si="120"/>
        <v>Senbur6_20191116_19_00</v>
      </c>
      <c r="I215" s="70">
        <f t="shared" si="122"/>
        <v>1</v>
      </c>
      <c r="J215" s="77" t="str">
        <f t="shared" si="122"/>
        <v>Senecio</v>
      </c>
      <c r="K215" s="77" t="str">
        <f t="shared" si="122"/>
        <v>burtoni</v>
      </c>
      <c r="L215" s="78">
        <f t="shared" si="122"/>
        <v>6</v>
      </c>
      <c r="M215" s="78">
        <f t="shared" si="122"/>
        <v>12</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INDEX([1]!VISITORS[INSECT ORDER], MATCH(X215,[1]!VISITORS[NAME USED],0))</f>
        <v>#REF!</v>
      </c>
      <c r="AB215" s="48" t="e">
        <f t="shared" si="104"/>
        <v>#REF!</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16</v>
      </c>
      <c r="D216" s="75">
        <f t="shared" si="97"/>
        <v>19</v>
      </c>
      <c r="E216" s="76">
        <f t="shared" si="98"/>
        <v>18</v>
      </c>
      <c r="F216" s="80"/>
      <c r="G216" s="83"/>
      <c r="H216" s="69" t="str">
        <f t="shared" si="120"/>
        <v>Senbur6_20191116_19_00</v>
      </c>
      <c r="I216" s="70">
        <f t="shared" si="122"/>
        <v>1</v>
      </c>
      <c r="J216" s="77" t="str">
        <f t="shared" si="122"/>
        <v>Senecio</v>
      </c>
      <c r="K216" s="77" t="str">
        <f t="shared" si="122"/>
        <v>burtoni</v>
      </c>
      <c r="L216" s="78">
        <f t="shared" si="122"/>
        <v>6</v>
      </c>
      <c r="M216" s="78">
        <f t="shared" si="122"/>
        <v>12</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INDEX([1]!VISITORS[INSECT ORDER], MATCH(X216,[1]!VISITORS[NAME USED],0))</f>
        <v>#REF!</v>
      </c>
      <c r="AB216" s="48" t="e">
        <f t="shared" si="104"/>
        <v>#REF!</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16</v>
      </c>
      <c r="D217" s="75">
        <f t="shared" si="97"/>
        <v>19</v>
      </c>
      <c r="E217" s="76">
        <f t="shared" si="98"/>
        <v>19</v>
      </c>
      <c r="F217" s="80"/>
      <c r="G217" s="83"/>
      <c r="H217" s="69" t="str">
        <f t="shared" si="120"/>
        <v>Senbur6_20191116_19_00</v>
      </c>
      <c r="I217" s="70">
        <f t="shared" si="122"/>
        <v>1</v>
      </c>
      <c r="J217" s="77" t="str">
        <f t="shared" si="122"/>
        <v>Senecio</v>
      </c>
      <c r="K217" s="77" t="str">
        <f t="shared" si="122"/>
        <v>burtoni</v>
      </c>
      <c r="L217" s="78">
        <f t="shared" si="122"/>
        <v>6</v>
      </c>
      <c r="M217" s="78">
        <f t="shared" si="122"/>
        <v>12</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INDEX([1]!VISITORS[INSECT ORDER], MATCH(X217,[1]!VISITORS[NAME USED],0))</f>
        <v>#REF!</v>
      </c>
      <c r="AB217" s="48" t="e">
        <f t="shared" si="104"/>
        <v>#REF!</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16</v>
      </c>
      <c r="D218" s="75">
        <f t="shared" si="97"/>
        <v>19</v>
      </c>
      <c r="E218" s="76">
        <f t="shared" si="98"/>
        <v>20</v>
      </c>
      <c r="F218" s="80"/>
      <c r="G218" s="83"/>
      <c r="H218" s="69" t="str">
        <f t="shared" si="120"/>
        <v>Senbur6_20191116_19_00</v>
      </c>
      <c r="I218" s="70">
        <f t="shared" si="122"/>
        <v>1</v>
      </c>
      <c r="J218" s="77" t="str">
        <f t="shared" si="122"/>
        <v>Senecio</v>
      </c>
      <c r="K218" s="77" t="str">
        <f t="shared" si="122"/>
        <v>burtoni</v>
      </c>
      <c r="L218" s="78">
        <f t="shared" si="122"/>
        <v>6</v>
      </c>
      <c r="M218" s="78">
        <f t="shared" si="122"/>
        <v>12</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INDEX([1]!VISITORS[INSECT ORDER], MATCH(X218,[1]!VISITORS[NAME USED],0))</f>
        <v>#REF!</v>
      </c>
      <c r="AB218" s="48" t="e">
        <f t="shared" si="104"/>
        <v>#REF!</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16</v>
      </c>
      <c r="D219" s="75">
        <f t="shared" si="97"/>
        <v>19</v>
      </c>
      <c r="E219" s="76">
        <f t="shared" si="98"/>
        <v>21</v>
      </c>
      <c r="F219" s="80"/>
      <c r="G219" s="83"/>
      <c r="H219" s="69" t="str">
        <f t="shared" si="120"/>
        <v>Senbur6_20191116_19_00</v>
      </c>
      <c r="I219" s="70">
        <f t="shared" si="122"/>
        <v>1</v>
      </c>
      <c r="J219" s="77" t="str">
        <f t="shared" si="122"/>
        <v>Senecio</v>
      </c>
      <c r="K219" s="77" t="str">
        <f t="shared" si="122"/>
        <v>burtoni</v>
      </c>
      <c r="L219" s="78">
        <f t="shared" si="122"/>
        <v>6</v>
      </c>
      <c r="M219" s="78">
        <f t="shared" si="122"/>
        <v>12</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INDEX([1]!VISITORS[INSECT ORDER], MATCH(X219,[1]!VISITORS[NAME USED],0))</f>
        <v>#REF!</v>
      </c>
      <c r="AB219" s="48" t="e">
        <f t="shared" si="104"/>
        <v>#REF!</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16</v>
      </c>
      <c r="D220" s="75">
        <f t="shared" si="97"/>
        <v>19</v>
      </c>
      <c r="E220" s="76">
        <f t="shared" si="98"/>
        <v>22</v>
      </c>
      <c r="F220" s="80"/>
      <c r="G220" s="83"/>
      <c r="H220" s="69" t="str">
        <f t="shared" si="120"/>
        <v>Senbur6_20191116_19_00</v>
      </c>
      <c r="I220" s="70">
        <f t="shared" si="122"/>
        <v>1</v>
      </c>
      <c r="J220" s="77" t="str">
        <f t="shared" si="122"/>
        <v>Senecio</v>
      </c>
      <c r="K220" s="77" t="str">
        <f t="shared" si="122"/>
        <v>burtoni</v>
      </c>
      <c r="L220" s="78">
        <f t="shared" si="122"/>
        <v>6</v>
      </c>
      <c r="M220" s="78">
        <f t="shared" si="122"/>
        <v>12</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INDEX([1]!VISITORS[INSECT ORDER], MATCH(X220,[1]!VISITORS[NAME USED],0))</f>
        <v>#REF!</v>
      </c>
      <c r="AB220" s="48" t="e">
        <f t="shared" si="104"/>
        <v>#REF!</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16</v>
      </c>
      <c r="D221" s="75">
        <f t="shared" si="97"/>
        <v>19</v>
      </c>
      <c r="E221" s="76">
        <f t="shared" si="98"/>
        <v>23</v>
      </c>
      <c r="F221" s="80"/>
      <c r="G221" s="83"/>
      <c r="H221" s="69" t="str">
        <f t="shared" si="120"/>
        <v>Senbur6_20191116_19_00</v>
      </c>
      <c r="I221" s="70">
        <f t="shared" si="122"/>
        <v>1</v>
      </c>
      <c r="J221" s="77" t="str">
        <f t="shared" si="122"/>
        <v>Senecio</v>
      </c>
      <c r="K221" s="77" t="str">
        <f t="shared" si="122"/>
        <v>burtoni</v>
      </c>
      <c r="L221" s="78">
        <f t="shared" si="122"/>
        <v>6</v>
      </c>
      <c r="M221" s="78">
        <f t="shared" si="122"/>
        <v>12</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INDEX([1]!VISITORS[INSECT ORDER], MATCH(X221,[1]!VISITORS[NAME USED],0))</f>
        <v>#REF!</v>
      </c>
      <c r="AB221" s="48" t="e">
        <f t="shared" si="104"/>
        <v>#REF!</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16</v>
      </c>
      <c r="D222" s="75">
        <f t="shared" si="97"/>
        <v>19</v>
      </c>
      <c r="E222" s="76">
        <f t="shared" si="98"/>
        <v>24</v>
      </c>
      <c r="F222" s="80"/>
      <c r="G222" s="83"/>
      <c r="H222" s="69" t="str">
        <f t="shared" si="120"/>
        <v>Senbur6_20191116_19_00</v>
      </c>
      <c r="I222" s="70">
        <f t="shared" si="122"/>
        <v>1</v>
      </c>
      <c r="J222" s="77" t="str">
        <f t="shared" si="122"/>
        <v>Senecio</v>
      </c>
      <c r="K222" s="77" t="str">
        <f t="shared" si="122"/>
        <v>burtoni</v>
      </c>
      <c r="L222" s="78">
        <f t="shared" si="122"/>
        <v>6</v>
      </c>
      <c r="M222" s="78">
        <f t="shared" si="122"/>
        <v>12</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INDEX([1]!VISITORS[INSECT ORDER], MATCH(X222,[1]!VISITORS[NAME USED],0))</f>
        <v>#REF!</v>
      </c>
      <c r="AB222" s="48" t="e">
        <f t="shared" si="104"/>
        <v>#REF!</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16</v>
      </c>
      <c r="D223" s="75">
        <f t="shared" si="97"/>
        <v>19</v>
      </c>
      <c r="E223" s="76">
        <f t="shared" si="98"/>
        <v>25</v>
      </c>
      <c r="F223" s="80"/>
      <c r="G223" s="83"/>
      <c r="H223" s="69" t="str">
        <f t="shared" si="120"/>
        <v>Senbur6_20191116_19_00</v>
      </c>
      <c r="I223" s="70">
        <f t="shared" si="122"/>
        <v>1</v>
      </c>
      <c r="J223" s="77" t="str">
        <f t="shared" si="122"/>
        <v>Senecio</v>
      </c>
      <c r="K223" s="77" t="str">
        <f t="shared" si="122"/>
        <v>burtoni</v>
      </c>
      <c r="L223" s="78">
        <f t="shared" si="122"/>
        <v>6</v>
      </c>
      <c r="M223" s="78">
        <f t="shared" si="122"/>
        <v>12</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INDEX([1]!VISITORS[INSECT ORDER], MATCH(X223,[1]!VISITORS[NAME USED],0))</f>
        <v>#REF!</v>
      </c>
      <c r="AB223" s="48" t="e">
        <f t="shared" si="104"/>
        <v>#REF!</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16</v>
      </c>
      <c r="D224" s="75">
        <f t="shared" si="97"/>
        <v>19</v>
      </c>
      <c r="E224" s="76">
        <f t="shared" si="98"/>
        <v>26</v>
      </c>
      <c r="F224" s="80"/>
      <c r="G224" s="83"/>
      <c r="H224" s="69" t="str">
        <f t="shared" si="120"/>
        <v>Senbur6_20191116_19_00</v>
      </c>
      <c r="I224" s="70">
        <f t="shared" si="122"/>
        <v>1</v>
      </c>
      <c r="J224" s="77" t="str">
        <f t="shared" si="122"/>
        <v>Senecio</v>
      </c>
      <c r="K224" s="77" t="str">
        <f t="shared" si="122"/>
        <v>burtoni</v>
      </c>
      <c r="L224" s="78">
        <f t="shared" si="122"/>
        <v>6</v>
      </c>
      <c r="M224" s="78">
        <f t="shared" si="122"/>
        <v>12</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INDEX([1]!VISITORS[INSECT ORDER], MATCH(X224,[1]!VISITORS[NAME USED],0))</f>
        <v>#REF!</v>
      </c>
      <c r="AB224" s="48" t="e">
        <f t="shared" si="104"/>
        <v>#REF!</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16</v>
      </c>
      <c r="D225" s="75">
        <f t="shared" si="97"/>
        <v>19</v>
      </c>
      <c r="E225" s="76">
        <f t="shared" si="98"/>
        <v>27</v>
      </c>
      <c r="F225" s="80"/>
      <c r="G225" s="83"/>
      <c r="H225" s="69" t="str">
        <f t="shared" si="120"/>
        <v>Senbur6_20191116_19_00</v>
      </c>
      <c r="I225" s="70">
        <f t="shared" si="122"/>
        <v>1</v>
      </c>
      <c r="J225" s="77" t="str">
        <f t="shared" si="122"/>
        <v>Senecio</v>
      </c>
      <c r="K225" s="77" t="str">
        <f t="shared" si="122"/>
        <v>burtoni</v>
      </c>
      <c r="L225" s="78">
        <f t="shared" si="122"/>
        <v>6</v>
      </c>
      <c r="M225" s="78">
        <f t="shared" si="122"/>
        <v>12</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INDEX([1]!VISITORS[INSECT ORDER], MATCH(X225,[1]!VISITORS[NAME USED],0))</f>
        <v>#REF!</v>
      </c>
      <c r="AB225" s="48" t="e">
        <f t="shared" si="104"/>
        <v>#REF!</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16</v>
      </c>
      <c r="D226" s="75">
        <f t="shared" si="97"/>
        <v>19</v>
      </c>
      <c r="E226" s="76">
        <f t="shared" si="98"/>
        <v>28</v>
      </c>
      <c r="F226" s="80"/>
      <c r="G226" s="83"/>
      <c r="H226" s="69" t="str">
        <f t="shared" si="120"/>
        <v>Senbur6_20191116_19_00</v>
      </c>
      <c r="I226" s="70">
        <f t="shared" si="122"/>
        <v>1</v>
      </c>
      <c r="J226" s="77" t="str">
        <f t="shared" si="122"/>
        <v>Senecio</v>
      </c>
      <c r="K226" s="77" t="str">
        <f t="shared" si="122"/>
        <v>burtoni</v>
      </c>
      <c r="L226" s="78">
        <f t="shared" si="122"/>
        <v>6</v>
      </c>
      <c r="M226" s="78">
        <f t="shared" si="122"/>
        <v>12</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INDEX([1]!VISITORS[INSECT ORDER], MATCH(X226,[1]!VISITORS[NAME USED],0))</f>
        <v>#REF!</v>
      </c>
      <c r="AB226" s="48" t="e">
        <f t="shared" si="104"/>
        <v>#REF!</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16</v>
      </c>
      <c r="D227" s="75">
        <f t="shared" si="97"/>
        <v>19</v>
      </c>
      <c r="E227" s="76">
        <f t="shared" si="98"/>
        <v>29</v>
      </c>
      <c r="F227" s="80"/>
      <c r="G227" s="83"/>
      <c r="H227" s="69" t="str">
        <f t="shared" si="120"/>
        <v>Senbur6_20191116_19_00</v>
      </c>
      <c r="I227" s="70">
        <f t="shared" si="122"/>
        <v>1</v>
      </c>
      <c r="J227" s="77" t="str">
        <f t="shared" si="122"/>
        <v>Senecio</v>
      </c>
      <c r="K227" s="77" t="str">
        <f t="shared" si="122"/>
        <v>burtoni</v>
      </c>
      <c r="L227" s="78">
        <f t="shared" si="122"/>
        <v>6</v>
      </c>
      <c r="M227" s="78">
        <f t="shared" si="122"/>
        <v>12</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INDEX([1]!VISITORS[INSECT ORDER], MATCH(X227,[1]!VISITORS[NAME USED],0))</f>
        <v>#REF!</v>
      </c>
      <c r="AB227" s="48" t="e">
        <f t="shared" si="104"/>
        <v>#REF!</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16</v>
      </c>
      <c r="D228" s="75">
        <f t="shared" si="97"/>
        <v>19</v>
      </c>
      <c r="E228" s="76">
        <f t="shared" si="98"/>
        <v>30</v>
      </c>
      <c r="F228" s="80"/>
      <c r="G228" s="83"/>
      <c r="H228" s="69" t="str">
        <f t="shared" si="120"/>
        <v>Senbur6_20191116_19_00</v>
      </c>
      <c r="I228" s="70">
        <f t="shared" si="122"/>
        <v>1</v>
      </c>
      <c r="J228" s="77" t="str">
        <f t="shared" si="122"/>
        <v>Senecio</v>
      </c>
      <c r="K228" s="77" t="str">
        <f t="shared" si="122"/>
        <v>burtoni</v>
      </c>
      <c r="L228" s="78">
        <f t="shared" si="122"/>
        <v>6</v>
      </c>
      <c r="M228" s="78">
        <f t="shared" si="122"/>
        <v>12</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INDEX([1]!VISITORS[INSECT ORDER], MATCH(X228,[1]!VISITORS[NAME USED],0))</f>
        <v>#REF!</v>
      </c>
      <c r="AB228" s="48" t="e">
        <f t="shared" si="104"/>
        <v>#REF!</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16</v>
      </c>
      <c r="D229" s="75">
        <f t="shared" si="97"/>
        <v>19</v>
      </c>
      <c r="E229" s="76">
        <f t="shared" si="98"/>
        <v>31</v>
      </c>
      <c r="F229" s="80"/>
      <c r="G229" s="83"/>
      <c r="H229" s="69" t="str">
        <f t="shared" si="120"/>
        <v>Senbur6_20191116_19_00</v>
      </c>
      <c r="I229" s="70">
        <f t="shared" ref="I229:N244" si="123">I228</f>
        <v>1</v>
      </c>
      <c r="J229" s="77" t="str">
        <f t="shared" si="123"/>
        <v>Senecio</v>
      </c>
      <c r="K229" s="77" t="str">
        <f t="shared" si="123"/>
        <v>burtoni</v>
      </c>
      <c r="L229" s="78">
        <f t="shared" si="123"/>
        <v>6</v>
      </c>
      <c r="M229" s="78">
        <f t="shared" si="123"/>
        <v>12</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INDEX([1]!VISITORS[INSECT ORDER], MATCH(X229,[1]!VISITORS[NAME USED],0))</f>
        <v>#REF!</v>
      </c>
      <c r="AB229" s="48" t="e">
        <f t="shared" si="104"/>
        <v>#REF!</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16</v>
      </c>
      <c r="D230" s="75">
        <f t="shared" si="97"/>
        <v>19</v>
      </c>
      <c r="E230" s="76">
        <f t="shared" si="98"/>
        <v>32</v>
      </c>
      <c r="F230" s="80"/>
      <c r="G230" s="83"/>
      <c r="H230" s="69" t="str">
        <f t="shared" si="120"/>
        <v>Senbur6_20191116_19_00</v>
      </c>
      <c r="I230" s="70">
        <f t="shared" si="123"/>
        <v>1</v>
      </c>
      <c r="J230" s="77" t="str">
        <f t="shared" si="123"/>
        <v>Senecio</v>
      </c>
      <c r="K230" s="77" t="str">
        <f t="shared" si="123"/>
        <v>burtoni</v>
      </c>
      <c r="L230" s="78">
        <f t="shared" si="123"/>
        <v>6</v>
      </c>
      <c r="M230" s="78">
        <f t="shared" si="123"/>
        <v>12</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INDEX([1]!VISITORS[INSECT ORDER], MATCH(X230,[1]!VISITORS[NAME USED],0))</f>
        <v>#REF!</v>
      </c>
      <c r="AB230" s="48" t="e">
        <f t="shared" si="104"/>
        <v>#REF!</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16</v>
      </c>
      <c r="D231" s="75">
        <f t="shared" si="97"/>
        <v>19</v>
      </c>
      <c r="E231" s="76">
        <f t="shared" si="98"/>
        <v>33</v>
      </c>
      <c r="F231" s="80"/>
      <c r="G231" s="83"/>
      <c r="H231" s="69" t="str">
        <f t="shared" si="120"/>
        <v>Senbur6_20191116_19_00</v>
      </c>
      <c r="I231" s="70">
        <f t="shared" si="123"/>
        <v>1</v>
      </c>
      <c r="J231" s="77" t="str">
        <f t="shared" si="123"/>
        <v>Senecio</v>
      </c>
      <c r="K231" s="77" t="str">
        <f t="shared" si="123"/>
        <v>burtoni</v>
      </c>
      <c r="L231" s="78">
        <f t="shared" si="123"/>
        <v>6</v>
      </c>
      <c r="M231" s="78">
        <f t="shared" si="123"/>
        <v>12</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INDEX([1]!VISITORS[INSECT ORDER], MATCH(X231,[1]!VISITORS[NAME USED],0))</f>
        <v>#REF!</v>
      </c>
      <c r="AB231" s="48" t="e">
        <f t="shared" si="104"/>
        <v>#REF!</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16</v>
      </c>
      <c r="D232" s="75">
        <f t="shared" si="97"/>
        <v>19</v>
      </c>
      <c r="E232" s="76">
        <f t="shared" si="98"/>
        <v>34</v>
      </c>
      <c r="F232" s="80"/>
      <c r="G232" s="83"/>
      <c r="H232" s="69" t="str">
        <f t="shared" si="120"/>
        <v>Senbur6_20191116_19_00</v>
      </c>
      <c r="I232" s="70">
        <f t="shared" si="123"/>
        <v>1</v>
      </c>
      <c r="J232" s="77" t="str">
        <f t="shared" si="123"/>
        <v>Senecio</v>
      </c>
      <c r="K232" s="77" t="str">
        <f t="shared" si="123"/>
        <v>burtoni</v>
      </c>
      <c r="L232" s="78">
        <f t="shared" si="123"/>
        <v>6</v>
      </c>
      <c r="M232" s="78">
        <f t="shared" si="123"/>
        <v>12</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INDEX([1]!VISITORS[INSECT ORDER], MATCH(X232,[1]!VISITORS[NAME USED],0))</f>
        <v>#REF!</v>
      </c>
      <c r="AB232" s="48" t="e">
        <f t="shared" si="104"/>
        <v>#REF!</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16</v>
      </c>
      <c r="D233" s="75">
        <f t="shared" si="97"/>
        <v>19</v>
      </c>
      <c r="E233" s="76">
        <f t="shared" si="98"/>
        <v>35</v>
      </c>
      <c r="F233" s="80"/>
      <c r="G233" s="83"/>
      <c r="H233" s="69" t="str">
        <f t="shared" si="120"/>
        <v>Senbur6_20191116_19_00</v>
      </c>
      <c r="I233" s="70">
        <f t="shared" si="123"/>
        <v>1</v>
      </c>
      <c r="J233" s="77" t="str">
        <f t="shared" si="123"/>
        <v>Senecio</v>
      </c>
      <c r="K233" s="77" t="str">
        <f t="shared" si="123"/>
        <v>burtoni</v>
      </c>
      <c r="L233" s="78">
        <f t="shared" si="123"/>
        <v>6</v>
      </c>
      <c r="M233" s="78">
        <f t="shared" si="123"/>
        <v>12</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INDEX([1]!VISITORS[INSECT ORDER], MATCH(X233,[1]!VISITORS[NAME USED],0))</f>
        <v>#REF!</v>
      </c>
      <c r="AB233" s="48" t="e">
        <f t="shared" si="104"/>
        <v>#REF!</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16</v>
      </c>
      <c r="D234" s="75">
        <f t="shared" si="97"/>
        <v>19</v>
      </c>
      <c r="E234" s="76">
        <f t="shared" si="98"/>
        <v>36</v>
      </c>
      <c r="F234" s="80"/>
      <c r="G234" s="83"/>
      <c r="H234" s="69" t="str">
        <f t="shared" si="120"/>
        <v>Senbur6_20191116_19_00</v>
      </c>
      <c r="I234" s="70">
        <f t="shared" si="123"/>
        <v>1</v>
      </c>
      <c r="J234" s="77" t="str">
        <f t="shared" si="123"/>
        <v>Senecio</v>
      </c>
      <c r="K234" s="77" t="str">
        <f t="shared" si="123"/>
        <v>burtoni</v>
      </c>
      <c r="L234" s="78">
        <f t="shared" si="123"/>
        <v>6</v>
      </c>
      <c r="M234" s="78">
        <f t="shared" si="123"/>
        <v>12</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INDEX([1]!VISITORS[INSECT ORDER], MATCH(X234,[1]!VISITORS[NAME USED],0))</f>
        <v>#REF!</v>
      </c>
      <c r="AB234" s="48" t="e">
        <f t="shared" si="104"/>
        <v>#REF!</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16</v>
      </c>
      <c r="D235" s="75">
        <f t="shared" si="97"/>
        <v>19</v>
      </c>
      <c r="E235" s="76">
        <f t="shared" si="98"/>
        <v>37</v>
      </c>
      <c r="F235" s="80"/>
      <c r="G235" s="83"/>
      <c r="H235" s="69" t="str">
        <f t="shared" si="120"/>
        <v>Senbur6_20191116_19_00</v>
      </c>
      <c r="I235" s="70">
        <f t="shared" si="123"/>
        <v>1</v>
      </c>
      <c r="J235" s="77" t="str">
        <f t="shared" si="123"/>
        <v>Senecio</v>
      </c>
      <c r="K235" s="77" t="str">
        <f t="shared" si="123"/>
        <v>burtoni</v>
      </c>
      <c r="L235" s="78">
        <f t="shared" si="123"/>
        <v>6</v>
      </c>
      <c r="M235" s="78">
        <f t="shared" si="123"/>
        <v>12</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INDEX([1]!VISITORS[INSECT ORDER], MATCH(X235,[1]!VISITORS[NAME USED],0))</f>
        <v>#REF!</v>
      </c>
      <c r="AB235" s="48" t="e">
        <f t="shared" si="104"/>
        <v>#REF!</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16</v>
      </c>
      <c r="D236" s="75">
        <f t="shared" si="97"/>
        <v>19</v>
      </c>
      <c r="E236" s="76">
        <f t="shared" si="98"/>
        <v>38</v>
      </c>
      <c r="F236" s="80"/>
      <c r="G236" s="83"/>
      <c r="H236" s="69" t="str">
        <f t="shared" si="120"/>
        <v>Senbur6_20191116_19_00</v>
      </c>
      <c r="I236" s="70">
        <f t="shared" si="123"/>
        <v>1</v>
      </c>
      <c r="J236" s="77" t="str">
        <f t="shared" si="123"/>
        <v>Senecio</v>
      </c>
      <c r="K236" s="77" t="str">
        <f t="shared" si="123"/>
        <v>burtoni</v>
      </c>
      <c r="L236" s="78">
        <f t="shared" si="123"/>
        <v>6</v>
      </c>
      <c r="M236" s="78">
        <f t="shared" si="123"/>
        <v>12</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INDEX([1]!VISITORS[INSECT ORDER], MATCH(X236,[1]!VISITORS[NAME USED],0))</f>
        <v>#REF!</v>
      </c>
      <c r="AB236" s="48" t="e">
        <f t="shared" si="104"/>
        <v>#REF!</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16</v>
      </c>
      <c r="D237" s="75">
        <f t="shared" si="97"/>
        <v>19</v>
      </c>
      <c r="E237" s="76">
        <f t="shared" si="98"/>
        <v>39</v>
      </c>
      <c r="F237" s="80"/>
      <c r="G237" s="83"/>
      <c r="H237" s="69" t="str">
        <f t="shared" si="120"/>
        <v>Senbur6_20191116_19_00</v>
      </c>
      <c r="I237" s="70">
        <f t="shared" si="123"/>
        <v>1</v>
      </c>
      <c r="J237" s="77" t="str">
        <f t="shared" si="123"/>
        <v>Senecio</v>
      </c>
      <c r="K237" s="77" t="str">
        <f t="shared" si="123"/>
        <v>burtoni</v>
      </c>
      <c r="L237" s="78">
        <f t="shared" si="123"/>
        <v>6</v>
      </c>
      <c r="M237" s="78">
        <f t="shared" si="123"/>
        <v>12</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INDEX([1]!VISITORS[INSECT ORDER], MATCH(X237,[1]!VISITORS[NAME USED],0))</f>
        <v>#REF!</v>
      </c>
      <c r="AB237" s="48" t="e">
        <f t="shared" si="104"/>
        <v>#REF!</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16</v>
      </c>
      <c r="D238" s="75">
        <f t="shared" si="97"/>
        <v>19</v>
      </c>
      <c r="E238" s="76">
        <f t="shared" si="98"/>
        <v>40</v>
      </c>
      <c r="F238" s="80"/>
      <c r="G238" s="83"/>
      <c r="H238" s="69" t="str">
        <f t="shared" si="120"/>
        <v>Senbur6_20191116_19_00</v>
      </c>
      <c r="I238" s="70">
        <f t="shared" si="123"/>
        <v>1</v>
      </c>
      <c r="J238" s="77" t="str">
        <f t="shared" si="123"/>
        <v>Senecio</v>
      </c>
      <c r="K238" s="77" t="str">
        <f t="shared" si="123"/>
        <v>burtoni</v>
      </c>
      <c r="L238" s="78">
        <f t="shared" si="123"/>
        <v>6</v>
      </c>
      <c r="M238" s="78">
        <f t="shared" si="123"/>
        <v>12</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INDEX([1]!VISITORS[INSECT ORDER], MATCH(X238,[1]!VISITORS[NAME USED],0))</f>
        <v>#REF!</v>
      </c>
      <c r="AB238" s="48" t="e">
        <f t="shared" si="104"/>
        <v>#REF!</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16</v>
      </c>
      <c r="D239" s="75">
        <f t="shared" si="97"/>
        <v>19</v>
      </c>
      <c r="E239" s="76">
        <f t="shared" si="98"/>
        <v>41</v>
      </c>
      <c r="F239" s="80"/>
      <c r="G239" s="83"/>
      <c r="H239" s="69" t="str">
        <f t="shared" si="120"/>
        <v>Senbur6_20191116_19_00</v>
      </c>
      <c r="I239" s="70">
        <f t="shared" si="123"/>
        <v>1</v>
      </c>
      <c r="J239" s="77" t="str">
        <f t="shared" si="123"/>
        <v>Senecio</v>
      </c>
      <c r="K239" s="77" t="str">
        <f t="shared" si="123"/>
        <v>burtoni</v>
      </c>
      <c r="L239" s="78">
        <f t="shared" si="123"/>
        <v>6</v>
      </c>
      <c r="M239" s="78">
        <f t="shared" si="123"/>
        <v>12</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INDEX([1]!VISITORS[INSECT ORDER], MATCH(X239,[1]!VISITORS[NAME USED],0))</f>
        <v>#REF!</v>
      </c>
      <c r="AB239" s="48" t="e">
        <f t="shared" si="104"/>
        <v>#REF!</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16</v>
      </c>
      <c r="D240" s="75">
        <f t="shared" si="97"/>
        <v>19</v>
      </c>
      <c r="E240" s="76">
        <f t="shared" si="98"/>
        <v>42</v>
      </c>
      <c r="F240" s="80"/>
      <c r="G240" s="83"/>
      <c r="H240" s="69" t="str">
        <f t="shared" si="120"/>
        <v>Senbur6_20191116_19_00</v>
      </c>
      <c r="I240" s="70">
        <f t="shared" si="123"/>
        <v>1</v>
      </c>
      <c r="J240" s="77" t="str">
        <f t="shared" si="123"/>
        <v>Senecio</v>
      </c>
      <c r="K240" s="77" t="str">
        <f t="shared" si="123"/>
        <v>burtoni</v>
      </c>
      <c r="L240" s="78">
        <f t="shared" si="123"/>
        <v>6</v>
      </c>
      <c r="M240" s="78">
        <f t="shared" si="123"/>
        <v>12</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INDEX([1]!VISITORS[INSECT ORDER], MATCH(X240,[1]!VISITORS[NAME USED],0))</f>
        <v>#REF!</v>
      </c>
      <c r="AB240" s="48" t="e">
        <f t="shared" si="104"/>
        <v>#REF!</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16</v>
      </c>
      <c r="D241" s="75">
        <f t="shared" si="97"/>
        <v>19</v>
      </c>
      <c r="E241" s="76">
        <f t="shared" si="98"/>
        <v>43</v>
      </c>
      <c r="F241" s="80"/>
      <c r="G241" s="83"/>
      <c r="H241" s="69" t="str">
        <f t="shared" si="120"/>
        <v>Senbur6_20191116_19_00</v>
      </c>
      <c r="I241" s="70">
        <f t="shared" si="123"/>
        <v>1</v>
      </c>
      <c r="J241" s="77" t="str">
        <f t="shared" si="123"/>
        <v>Senecio</v>
      </c>
      <c r="K241" s="77" t="str">
        <f t="shared" si="123"/>
        <v>burtoni</v>
      </c>
      <c r="L241" s="78">
        <f t="shared" si="123"/>
        <v>6</v>
      </c>
      <c r="M241" s="78">
        <f t="shared" si="123"/>
        <v>12</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INDEX([1]!VISITORS[INSECT ORDER], MATCH(X241,[1]!VISITORS[NAME USED],0))</f>
        <v>#REF!</v>
      </c>
      <c r="AB241" s="48" t="e">
        <f t="shared" si="104"/>
        <v>#REF!</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16</v>
      </c>
      <c r="D242" s="75">
        <f t="shared" si="97"/>
        <v>19</v>
      </c>
      <c r="E242" s="76">
        <f t="shared" si="98"/>
        <v>44</v>
      </c>
      <c r="F242" s="80"/>
      <c r="G242" s="83"/>
      <c r="H242" s="69" t="str">
        <f t="shared" si="120"/>
        <v>Senbur6_20191116_19_00</v>
      </c>
      <c r="I242" s="70">
        <f t="shared" si="123"/>
        <v>1</v>
      </c>
      <c r="J242" s="77" t="str">
        <f t="shared" si="123"/>
        <v>Senecio</v>
      </c>
      <c r="K242" s="77" t="str">
        <f t="shared" si="123"/>
        <v>burtoni</v>
      </c>
      <c r="L242" s="78">
        <f t="shared" si="123"/>
        <v>6</v>
      </c>
      <c r="M242" s="78">
        <f t="shared" si="123"/>
        <v>12</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INDEX([1]!VISITORS[INSECT ORDER], MATCH(X242,[1]!VISITORS[NAME USED],0))</f>
        <v>#REF!</v>
      </c>
      <c r="AB242" s="48" t="e">
        <f t="shared" si="104"/>
        <v>#REF!</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16</v>
      </c>
      <c r="D243" s="75">
        <f t="shared" si="97"/>
        <v>19</v>
      </c>
      <c r="E243" s="76">
        <f t="shared" si="98"/>
        <v>45</v>
      </c>
      <c r="F243" s="80"/>
      <c r="G243" s="83"/>
      <c r="H243" s="69" t="str">
        <f t="shared" si="120"/>
        <v>Senbur6_20191116_19_00</v>
      </c>
      <c r="I243" s="70">
        <f t="shared" si="123"/>
        <v>1</v>
      </c>
      <c r="J243" s="77" t="str">
        <f t="shared" si="123"/>
        <v>Senecio</v>
      </c>
      <c r="K243" s="77" t="str">
        <f t="shared" si="123"/>
        <v>burtoni</v>
      </c>
      <c r="L243" s="78">
        <f t="shared" si="123"/>
        <v>6</v>
      </c>
      <c r="M243" s="78">
        <f t="shared" si="123"/>
        <v>12</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INDEX([1]!VISITORS[INSECT ORDER], MATCH(X243,[1]!VISITORS[NAME USED],0))</f>
        <v>#REF!</v>
      </c>
      <c r="AB243" s="48" t="e">
        <f t="shared" si="104"/>
        <v>#REF!</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16</v>
      </c>
      <c r="D244" s="75">
        <f t="shared" si="97"/>
        <v>19</v>
      </c>
      <c r="E244" s="76">
        <f t="shared" si="98"/>
        <v>46</v>
      </c>
      <c r="F244" s="80"/>
      <c r="G244" s="83"/>
      <c r="H244" s="69" t="str">
        <f t="shared" si="120"/>
        <v>Senbur6_20191116_19_00</v>
      </c>
      <c r="I244" s="70">
        <f t="shared" si="123"/>
        <v>1</v>
      </c>
      <c r="J244" s="77" t="str">
        <f t="shared" si="123"/>
        <v>Senecio</v>
      </c>
      <c r="K244" s="77" t="str">
        <f t="shared" si="123"/>
        <v>burtoni</v>
      </c>
      <c r="L244" s="78">
        <f t="shared" si="123"/>
        <v>6</v>
      </c>
      <c r="M244" s="78">
        <f t="shared" si="123"/>
        <v>12</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INDEX([1]!VISITORS[INSECT ORDER], MATCH(X244,[1]!VISITORS[NAME USED],0))</f>
        <v>#REF!</v>
      </c>
      <c r="AB244" s="48" t="e">
        <f t="shared" si="104"/>
        <v>#REF!</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16</v>
      </c>
      <c r="D245" s="75">
        <f t="shared" si="97"/>
        <v>19</v>
      </c>
      <c r="E245" s="76">
        <f t="shared" si="98"/>
        <v>47</v>
      </c>
      <c r="F245" s="80"/>
      <c r="G245" s="83"/>
      <c r="H245" s="69" t="str">
        <f t="shared" si="120"/>
        <v>Senbur6_20191116_19_00</v>
      </c>
      <c r="I245" s="70">
        <f t="shared" ref="I245:N260" si="124">I244</f>
        <v>1</v>
      </c>
      <c r="J245" s="77" t="str">
        <f t="shared" si="124"/>
        <v>Senecio</v>
      </c>
      <c r="K245" s="77" t="str">
        <f t="shared" si="124"/>
        <v>burtoni</v>
      </c>
      <c r="L245" s="78">
        <f t="shared" si="124"/>
        <v>6</v>
      </c>
      <c r="M245" s="78">
        <f t="shared" si="124"/>
        <v>12</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INDEX([1]!VISITORS[INSECT ORDER], MATCH(X245,[1]!VISITORS[NAME USED],0))</f>
        <v>#REF!</v>
      </c>
      <c r="AB245" s="48" t="e">
        <f t="shared" si="104"/>
        <v>#REF!</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16</v>
      </c>
      <c r="D246" s="75">
        <f t="shared" si="97"/>
        <v>19</v>
      </c>
      <c r="E246" s="76">
        <f t="shared" si="98"/>
        <v>48</v>
      </c>
      <c r="F246" s="80"/>
      <c r="G246" s="83"/>
      <c r="H246" s="69" t="str">
        <f t="shared" si="120"/>
        <v>Senbur6_20191116_19_00</v>
      </c>
      <c r="I246" s="70">
        <f t="shared" si="124"/>
        <v>1</v>
      </c>
      <c r="J246" s="77" t="str">
        <f t="shared" si="124"/>
        <v>Senecio</v>
      </c>
      <c r="K246" s="77" t="str">
        <f t="shared" si="124"/>
        <v>burtoni</v>
      </c>
      <c r="L246" s="78">
        <f t="shared" si="124"/>
        <v>6</v>
      </c>
      <c r="M246" s="78">
        <f t="shared" si="124"/>
        <v>12</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INDEX([1]!VISITORS[INSECT ORDER], MATCH(X246,[1]!VISITORS[NAME USED],0))</f>
        <v>#REF!</v>
      </c>
      <c r="AB246" s="48" t="e">
        <f t="shared" si="104"/>
        <v>#REF!</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16</v>
      </c>
      <c r="D247" s="75">
        <f t="shared" si="97"/>
        <v>19</v>
      </c>
      <c r="E247" s="76">
        <f t="shared" si="98"/>
        <v>49</v>
      </c>
      <c r="F247" s="80"/>
      <c r="G247" s="83"/>
      <c r="H247" s="69" t="str">
        <f t="shared" si="120"/>
        <v>Senbur6_20191116_19_00</v>
      </c>
      <c r="I247" s="70">
        <f t="shared" si="124"/>
        <v>1</v>
      </c>
      <c r="J247" s="77" t="str">
        <f t="shared" si="124"/>
        <v>Senecio</v>
      </c>
      <c r="K247" s="77" t="str">
        <f t="shared" si="124"/>
        <v>burtoni</v>
      </c>
      <c r="L247" s="78">
        <f t="shared" si="124"/>
        <v>6</v>
      </c>
      <c r="M247" s="78">
        <f t="shared" si="124"/>
        <v>12</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INDEX([1]!VISITORS[INSECT ORDER], MATCH(X247,[1]!VISITORS[NAME USED],0))</f>
        <v>#REF!</v>
      </c>
      <c r="AB247" s="48" t="e">
        <f t="shared" si="104"/>
        <v>#REF!</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16</v>
      </c>
      <c r="D248" s="75">
        <f t="shared" si="97"/>
        <v>19</v>
      </c>
      <c r="E248" s="76">
        <f t="shared" si="98"/>
        <v>50</v>
      </c>
      <c r="F248" s="80"/>
      <c r="G248" s="83"/>
      <c r="H248" s="69" t="str">
        <f t="shared" si="120"/>
        <v>Senbur6_20191116_19_00</v>
      </c>
      <c r="I248" s="70">
        <f t="shared" si="124"/>
        <v>1</v>
      </c>
      <c r="J248" s="77" t="str">
        <f t="shared" si="124"/>
        <v>Senecio</v>
      </c>
      <c r="K248" s="77" t="str">
        <f t="shared" si="124"/>
        <v>burtoni</v>
      </c>
      <c r="L248" s="78">
        <f t="shared" si="124"/>
        <v>6</v>
      </c>
      <c r="M248" s="78">
        <f t="shared" si="124"/>
        <v>12</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INDEX([1]!VISITORS[INSECT ORDER], MATCH(X248,[1]!VISITORS[NAME USED],0))</f>
        <v>#REF!</v>
      </c>
      <c r="AB248" s="48" t="e">
        <f t="shared" si="104"/>
        <v>#REF!</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16</v>
      </c>
      <c r="D249" s="75">
        <f t="shared" si="97"/>
        <v>19</v>
      </c>
      <c r="E249" s="76">
        <f t="shared" si="98"/>
        <v>51</v>
      </c>
      <c r="F249" s="80"/>
      <c r="G249" s="83"/>
      <c r="H249" s="69" t="str">
        <f t="shared" si="120"/>
        <v>Senbur6_20191116_19_00</v>
      </c>
      <c r="I249" s="70">
        <f t="shared" si="124"/>
        <v>1</v>
      </c>
      <c r="J249" s="77" t="str">
        <f t="shared" si="124"/>
        <v>Senecio</v>
      </c>
      <c r="K249" s="77" t="str">
        <f t="shared" si="124"/>
        <v>burtoni</v>
      </c>
      <c r="L249" s="78">
        <f t="shared" si="124"/>
        <v>6</v>
      </c>
      <c r="M249" s="78">
        <f t="shared" si="124"/>
        <v>12</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INDEX([1]!VISITORS[INSECT ORDER], MATCH(X249,[1]!VISITORS[NAME USED],0))</f>
        <v>#REF!</v>
      </c>
      <c r="AB249" s="48" t="e">
        <f t="shared" si="104"/>
        <v>#REF!</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16</v>
      </c>
      <c r="D250" s="75">
        <f t="shared" si="97"/>
        <v>19</v>
      </c>
      <c r="E250" s="76">
        <f t="shared" si="98"/>
        <v>52</v>
      </c>
      <c r="F250" s="80"/>
      <c r="G250" s="83"/>
      <c r="H250" s="69" t="str">
        <f t="shared" si="120"/>
        <v>Senbur6_20191116_19_00</v>
      </c>
      <c r="I250" s="70">
        <f t="shared" si="124"/>
        <v>1</v>
      </c>
      <c r="J250" s="77" t="str">
        <f t="shared" si="124"/>
        <v>Senecio</v>
      </c>
      <c r="K250" s="77" t="str">
        <f t="shared" si="124"/>
        <v>burtoni</v>
      </c>
      <c r="L250" s="78">
        <f t="shared" si="124"/>
        <v>6</v>
      </c>
      <c r="M250" s="78">
        <f t="shared" si="124"/>
        <v>12</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INDEX([1]!VISITORS[INSECT ORDER], MATCH(X250,[1]!VISITORS[NAME USED],0))</f>
        <v>#REF!</v>
      </c>
      <c r="AB250" s="48" t="e">
        <f t="shared" si="104"/>
        <v>#REF!</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16</v>
      </c>
      <c r="D251" s="75">
        <f t="shared" si="97"/>
        <v>19</v>
      </c>
      <c r="E251" s="76">
        <f t="shared" si="98"/>
        <v>53</v>
      </c>
      <c r="F251" s="80"/>
      <c r="G251" s="83"/>
      <c r="H251" s="69" t="str">
        <f t="shared" si="120"/>
        <v>Senbur6_20191116_19_00</v>
      </c>
      <c r="I251" s="70">
        <f t="shared" si="124"/>
        <v>1</v>
      </c>
      <c r="J251" s="77" t="str">
        <f t="shared" si="124"/>
        <v>Senecio</v>
      </c>
      <c r="K251" s="77" t="str">
        <f t="shared" si="124"/>
        <v>burtoni</v>
      </c>
      <c r="L251" s="78">
        <f t="shared" si="124"/>
        <v>6</v>
      </c>
      <c r="M251" s="78">
        <f t="shared" si="124"/>
        <v>12</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INDEX([1]!VISITORS[INSECT ORDER], MATCH(X251,[1]!VISITORS[NAME USED],0))</f>
        <v>#REF!</v>
      </c>
      <c r="AB251" s="48" t="e">
        <f t="shared" si="104"/>
        <v>#REF!</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16</v>
      </c>
      <c r="D252" s="75">
        <f t="shared" si="97"/>
        <v>19</v>
      </c>
      <c r="E252" s="76">
        <f t="shared" si="98"/>
        <v>54</v>
      </c>
      <c r="F252" s="80"/>
      <c r="G252" s="83"/>
      <c r="H252" s="69" t="str">
        <f t="shared" si="120"/>
        <v>Senbur6_20191116_19_00</v>
      </c>
      <c r="I252" s="70">
        <f t="shared" si="124"/>
        <v>1</v>
      </c>
      <c r="J252" s="77" t="str">
        <f t="shared" si="124"/>
        <v>Senecio</v>
      </c>
      <c r="K252" s="77" t="str">
        <f t="shared" si="124"/>
        <v>burtoni</v>
      </c>
      <c r="L252" s="78">
        <f t="shared" si="124"/>
        <v>6</v>
      </c>
      <c r="M252" s="78">
        <f t="shared" si="124"/>
        <v>12</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INDEX([1]!VISITORS[INSECT ORDER], MATCH(X252,[1]!VISITORS[NAME USED],0))</f>
        <v>#REF!</v>
      </c>
      <c r="AB252" s="48" t="e">
        <f t="shared" si="104"/>
        <v>#REF!</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16</v>
      </c>
      <c r="D253" s="75">
        <f t="shared" si="97"/>
        <v>19</v>
      </c>
      <c r="E253" s="76">
        <f t="shared" si="98"/>
        <v>55</v>
      </c>
      <c r="F253" s="80"/>
      <c r="G253" s="83"/>
      <c r="H253" s="69" t="str">
        <f t="shared" si="120"/>
        <v>Senbur6_20191116_19_00</v>
      </c>
      <c r="I253" s="70">
        <f t="shared" si="124"/>
        <v>1</v>
      </c>
      <c r="J253" s="77" t="str">
        <f t="shared" si="124"/>
        <v>Senecio</v>
      </c>
      <c r="K253" s="77" t="str">
        <f t="shared" si="124"/>
        <v>burtoni</v>
      </c>
      <c r="L253" s="78">
        <f t="shared" si="124"/>
        <v>6</v>
      </c>
      <c r="M253" s="78">
        <f t="shared" si="124"/>
        <v>12</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INDEX([1]!VISITORS[INSECT ORDER], MATCH(X253,[1]!VISITORS[NAME USED],0))</f>
        <v>#REF!</v>
      </c>
      <c r="AB253" s="48" t="e">
        <f t="shared" si="104"/>
        <v>#REF!</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16</v>
      </c>
      <c r="D254" s="75">
        <f t="shared" si="97"/>
        <v>19</v>
      </c>
      <c r="E254" s="76">
        <f t="shared" si="98"/>
        <v>56</v>
      </c>
      <c r="F254" s="80"/>
      <c r="G254" s="83"/>
      <c r="H254" s="69" t="str">
        <f t="shared" si="120"/>
        <v>Senbur6_20191116_19_00</v>
      </c>
      <c r="I254" s="70">
        <f t="shared" si="124"/>
        <v>1</v>
      </c>
      <c r="J254" s="77" t="str">
        <f t="shared" si="124"/>
        <v>Senecio</v>
      </c>
      <c r="K254" s="77" t="str">
        <f t="shared" si="124"/>
        <v>burtoni</v>
      </c>
      <c r="L254" s="78">
        <f t="shared" si="124"/>
        <v>6</v>
      </c>
      <c r="M254" s="78">
        <f t="shared" si="124"/>
        <v>12</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INDEX([1]!VISITORS[INSECT ORDER], MATCH(X254,[1]!VISITORS[NAME USED],0))</f>
        <v>#REF!</v>
      </c>
      <c r="AB254" s="48" t="e">
        <f t="shared" si="104"/>
        <v>#REF!</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16</v>
      </c>
      <c r="D255" s="75">
        <f t="shared" si="97"/>
        <v>19</v>
      </c>
      <c r="E255" s="76">
        <f t="shared" si="98"/>
        <v>57</v>
      </c>
      <c r="F255" s="80"/>
      <c r="G255" s="83"/>
      <c r="H255" s="69" t="str">
        <f t="shared" si="120"/>
        <v>Senbur6_20191116_19_00</v>
      </c>
      <c r="I255" s="70">
        <f t="shared" si="124"/>
        <v>1</v>
      </c>
      <c r="J255" s="77" t="str">
        <f t="shared" si="124"/>
        <v>Senecio</v>
      </c>
      <c r="K255" s="77" t="str">
        <f t="shared" si="124"/>
        <v>burtoni</v>
      </c>
      <c r="L255" s="78">
        <f t="shared" si="124"/>
        <v>6</v>
      </c>
      <c r="M255" s="78">
        <f t="shared" si="124"/>
        <v>12</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INDEX([1]!VISITORS[INSECT ORDER], MATCH(X255,[1]!VISITORS[NAME USED],0))</f>
        <v>#REF!</v>
      </c>
      <c r="AB255" s="48" t="e">
        <f t="shared" si="104"/>
        <v>#REF!</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16</v>
      </c>
      <c r="D256" s="75">
        <f t="shared" si="97"/>
        <v>19</v>
      </c>
      <c r="E256" s="76">
        <f t="shared" si="98"/>
        <v>58</v>
      </c>
      <c r="F256" s="80"/>
      <c r="G256" s="83"/>
      <c r="H256" s="69" t="str">
        <f t="shared" si="120"/>
        <v>Senbur6_20191116_19_00</v>
      </c>
      <c r="I256" s="70">
        <f t="shared" si="124"/>
        <v>1</v>
      </c>
      <c r="J256" s="77" t="str">
        <f t="shared" si="124"/>
        <v>Senecio</v>
      </c>
      <c r="K256" s="77" t="str">
        <f t="shared" si="124"/>
        <v>burtoni</v>
      </c>
      <c r="L256" s="78">
        <f t="shared" si="124"/>
        <v>6</v>
      </c>
      <c r="M256" s="78">
        <f t="shared" si="124"/>
        <v>12</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INDEX([1]!VISITORS[INSECT ORDER], MATCH(X256,[1]!VISITORS[NAME USED],0))</f>
        <v>#REF!</v>
      </c>
      <c r="AB256" s="48" t="e">
        <f t="shared" si="104"/>
        <v>#REF!</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16</v>
      </c>
      <c r="D257" s="75">
        <f t="shared" si="97"/>
        <v>19</v>
      </c>
      <c r="E257" s="76">
        <f t="shared" si="98"/>
        <v>59</v>
      </c>
      <c r="F257" s="80"/>
      <c r="G257" s="83"/>
      <c r="H257" s="69" t="str">
        <f t="shared" si="120"/>
        <v>Senbur6_20191116_19_00</v>
      </c>
      <c r="I257" s="70">
        <f t="shared" si="124"/>
        <v>1</v>
      </c>
      <c r="J257" s="77" t="str">
        <f t="shared" si="124"/>
        <v>Senecio</v>
      </c>
      <c r="K257" s="77" t="str">
        <f t="shared" si="124"/>
        <v>burtoni</v>
      </c>
      <c r="L257" s="78">
        <f t="shared" si="124"/>
        <v>6</v>
      </c>
      <c r="M257" s="78">
        <f t="shared" si="124"/>
        <v>12</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INDEX([1]!VISITORS[INSECT ORDER], MATCH(X257,[1]!VISITORS[NAME USED],0))</f>
        <v>#REF!</v>
      </c>
      <c r="AB257" s="48" t="e">
        <f t="shared" si="104"/>
        <v>#REF!</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16</v>
      </c>
      <c r="D258" s="75">
        <f t="shared" si="97"/>
        <v>20</v>
      </c>
      <c r="E258" s="76">
        <f t="shared" si="98"/>
        <v>0</v>
      </c>
      <c r="F258" s="80"/>
      <c r="G258" s="83"/>
      <c r="H258" s="69" t="str">
        <f t="shared" si="120"/>
        <v>Senbur6_20191116_20_00</v>
      </c>
      <c r="I258" s="70">
        <f t="shared" si="124"/>
        <v>1</v>
      </c>
      <c r="J258" s="77" t="str">
        <f t="shared" si="124"/>
        <v>Senecio</v>
      </c>
      <c r="K258" s="77" t="str">
        <f t="shared" si="124"/>
        <v>burtoni</v>
      </c>
      <c r="L258" s="78">
        <f t="shared" si="124"/>
        <v>6</v>
      </c>
      <c r="M258" s="78">
        <f t="shared" si="124"/>
        <v>12</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INDEX([1]!VISITORS[INSECT ORDER], MATCH(X258,[1]!VISITORS[NAME USED],0))</f>
        <v>#REF!</v>
      </c>
      <c r="AB258" s="48" t="e">
        <f t="shared" si="104"/>
        <v>#REF!</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16</v>
      </c>
      <c r="D259" s="75">
        <f t="shared" si="97"/>
        <v>20</v>
      </c>
      <c r="E259" s="76">
        <f t="shared" si="98"/>
        <v>1</v>
      </c>
      <c r="F259" s="80"/>
      <c r="G259" s="83"/>
      <c r="H259" s="69" t="str">
        <f t="shared" si="120"/>
        <v>Senbur6_20191116_20_00</v>
      </c>
      <c r="I259" s="70">
        <f t="shared" si="124"/>
        <v>1</v>
      </c>
      <c r="J259" s="77" t="str">
        <f t="shared" si="124"/>
        <v>Senecio</v>
      </c>
      <c r="K259" s="77" t="str">
        <f t="shared" si="124"/>
        <v>burtoni</v>
      </c>
      <c r="L259" s="78">
        <f t="shared" si="124"/>
        <v>6</v>
      </c>
      <c r="M259" s="78">
        <f t="shared" si="124"/>
        <v>12</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INDEX([1]!VISITORS[INSECT ORDER], MATCH(X259,[1]!VISITORS[NAME USED],0))</f>
        <v>#REF!</v>
      </c>
      <c r="AB259" s="48" t="e">
        <f t="shared" si="104"/>
        <v>#REF!</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16</v>
      </c>
      <c r="D260" s="75">
        <f t="shared" ref="D260:D323" si="128">IF(IF(E259=59,D259+1,D259)=24,0,IF(E259=59,D259+1,D259))</f>
        <v>20</v>
      </c>
      <c r="E260" s="76">
        <f t="shared" ref="E260:E323" si="129">IF(E259&lt;59,E259+1,0)</f>
        <v>2</v>
      </c>
      <c r="F260" s="80"/>
      <c r="G260" s="83"/>
      <c r="H260" s="69" t="str">
        <f t="shared" si="120"/>
        <v>Senbur6_20191116_20_00</v>
      </c>
      <c r="I260" s="70">
        <f t="shared" si="124"/>
        <v>1</v>
      </c>
      <c r="J260" s="77" t="str">
        <f t="shared" si="124"/>
        <v>Senecio</v>
      </c>
      <c r="K260" s="77" t="str">
        <f t="shared" si="124"/>
        <v>burtoni</v>
      </c>
      <c r="L260" s="78">
        <f t="shared" si="124"/>
        <v>6</v>
      </c>
      <c r="M260" s="78">
        <f t="shared" si="124"/>
        <v>12</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INDEX([1]!VISITORS[INSECT ORDER], MATCH(X260,[1]!VISITORS[NAME USED],0))</f>
        <v>#REF!</v>
      </c>
      <c r="AB260" s="48" t="e">
        <f t="shared" ref="AB260:AB323" si="135">IF(AA260&lt;&gt;0,"NA","")</f>
        <v>#REF!</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16</v>
      </c>
      <c r="D261" s="75">
        <f t="shared" si="128"/>
        <v>20</v>
      </c>
      <c r="E261" s="76">
        <f t="shared" si="129"/>
        <v>3</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Senbur6_20191116_20_00</v>
      </c>
      <c r="I261" s="70">
        <f t="shared" ref="I261:N276" si="152">I260</f>
        <v>1</v>
      </c>
      <c r="J261" s="77" t="str">
        <f t="shared" si="152"/>
        <v>Senecio</v>
      </c>
      <c r="K261" s="77" t="str">
        <f t="shared" si="152"/>
        <v>burtoni</v>
      </c>
      <c r="L261" s="78">
        <f t="shared" si="152"/>
        <v>6</v>
      </c>
      <c r="M261" s="78">
        <f t="shared" si="152"/>
        <v>12</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INDEX([1]!VISITORS[INSECT ORDER], MATCH(X261,[1]!VISITORS[NAME USED],0))</f>
        <v>#REF!</v>
      </c>
      <c r="AB261" s="48" t="e">
        <f t="shared" si="135"/>
        <v>#REF!</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16</v>
      </c>
      <c r="D262" s="75">
        <f t="shared" si="128"/>
        <v>20</v>
      </c>
      <c r="E262" s="76">
        <f t="shared" si="129"/>
        <v>4</v>
      </c>
      <c r="F262" s="80"/>
      <c r="G262" s="83"/>
      <c r="H262" s="69" t="str">
        <f t="shared" si="151"/>
        <v>Senbur6_20191116_20_00</v>
      </c>
      <c r="I262" s="70">
        <f t="shared" si="152"/>
        <v>1</v>
      </c>
      <c r="J262" s="77" t="str">
        <f t="shared" si="152"/>
        <v>Senecio</v>
      </c>
      <c r="K262" s="77" t="str">
        <f t="shared" si="152"/>
        <v>burtoni</v>
      </c>
      <c r="L262" s="78">
        <f t="shared" si="152"/>
        <v>6</v>
      </c>
      <c r="M262" s="78">
        <f t="shared" si="152"/>
        <v>12</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INDEX([1]!VISITORS[INSECT ORDER], MATCH(X262,[1]!VISITORS[NAME USED],0))</f>
        <v>#REF!</v>
      </c>
      <c r="AB262" s="48" t="e">
        <f t="shared" si="135"/>
        <v>#REF!</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16</v>
      </c>
      <c r="D263" s="75">
        <f t="shared" si="128"/>
        <v>20</v>
      </c>
      <c r="E263" s="76">
        <f t="shared" si="129"/>
        <v>5</v>
      </c>
      <c r="F263" s="80"/>
      <c r="G263" s="83"/>
      <c r="H263" s="69" t="str">
        <f t="shared" si="151"/>
        <v>Senbur6_20191116_20_00</v>
      </c>
      <c r="I263" s="70">
        <f t="shared" si="152"/>
        <v>1</v>
      </c>
      <c r="J263" s="77" t="str">
        <f t="shared" si="152"/>
        <v>Senecio</v>
      </c>
      <c r="K263" s="77" t="str">
        <f t="shared" si="152"/>
        <v>burtoni</v>
      </c>
      <c r="L263" s="78">
        <f t="shared" si="152"/>
        <v>6</v>
      </c>
      <c r="M263" s="78">
        <f t="shared" si="152"/>
        <v>12</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INDEX([1]!VISITORS[INSECT ORDER], MATCH(X263,[1]!VISITORS[NAME USED],0))</f>
        <v>#REF!</v>
      </c>
      <c r="AB263" s="48" t="e">
        <f t="shared" si="135"/>
        <v>#REF!</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16</v>
      </c>
      <c r="D264" s="75">
        <f t="shared" si="128"/>
        <v>20</v>
      </c>
      <c r="E264" s="76">
        <f t="shared" si="129"/>
        <v>6</v>
      </c>
      <c r="F264" s="80"/>
      <c r="G264" s="83"/>
      <c r="H264" s="69" t="str">
        <f t="shared" si="151"/>
        <v>Senbur6_20191116_20_00</v>
      </c>
      <c r="I264" s="70">
        <f t="shared" si="152"/>
        <v>1</v>
      </c>
      <c r="J264" s="77" t="str">
        <f t="shared" si="152"/>
        <v>Senecio</v>
      </c>
      <c r="K264" s="77" t="str">
        <f t="shared" si="152"/>
        <v>burtoni</v>
      </c>
      <c r="L264" s="78">
        <f t="shared" si="152"/>
        <v>6</v>
      </c>
      <c r="M264" s="78">
        <f t="shared" si="152"/>
        <v>12</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INDEX([1]!VISITORS[INSECT ORDER], MATCH(X264,[1]!VISITORS[NAME USED],0))</f>
        <v>#REF!</v>
      </c>
      <c r="AB264" s="48" t="e">
        <f t="shared" si="135"/>
        <v>#REF!</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16</v>
      </c>
      <c r="D265" s="75">
        <f t="shared" si="128"/>
        <v>20</v>
      </c>
      <c r="E265" s="76">
        <f t="shared" si="129"/>
        <v>7</v>
      </c>
      <c r="F265" s="80"/>
      <c r="G265" s="83"/>
      <c r="H265" s="69" t="str">
        <f t="shared" si="151"/>
        <v>Senbur6_20191116_20_00</v>
      </c>
      <c r="I265" s="70">
        <f t="shared" si="152"/>
        <v>1</v>
      </c>
      <c r="J265" s="77" t="str">
        <f t="shared" si="152"/>
        <v>Senecio</v>
      </c>
      <c r="K265" s="77" t="str">
        <f t="shared" si="152"/>
        <v>burtoni</v>
      </c>
      <c r="L265" s="78">
        <f t="shared" si="152"/>
        <v>6</v>
      </c>
      <c r="M265" s="78">
        <f t="shared" si="152"/>
        <v>12</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INDEX([1]!VISITORS[INSECT ORDER], MATCH(X265,[1]!VISITORS[NAME USED],0))</f>
        <v>#REF!</v>
      </c>
      <c r="AB265" s="48" t="e">
        <f t="shared" si="135"/>
        <v>#REF!</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16</v>
      </c>
      <c r="D266" s="75">
        <f t="shared" si="128"/>
        <v>20</v>
      </c>
      <c r="E266" s="76">
        <f t="shared" si="129"/>
        <v>8</v>
      </c>
      <c r="F266" s="80"/>
      <c r="G266" s="83"/>
      <c r="H266" s="69" t="str">
        <f t="shared" si="151"/>
        <v>Senbur6_20191116_20_00</v>
      </c>
      <c r="I266" s="70">
        <f t="shared" si="152"/>
        <v>1</v>
      </c>
      <c r="J266" s="77" t="str">
        <f t="shared" si="152"/>
        <v>Senecio</v>
      </c>
      <c r="K266" s="77" t="str">
        <f t="shared" si="152"/>
        <v>burtoni</v>
      </c>
      <c r="L266" s="78">
        <f t="shared" si="152"/>
        <v>6</v>
      </c>
      <c r="M266" s="78">
        <f t="shared" si="152"/>
        <v>12</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INDEX([1]!VISITORS[INSECT ORDER], MATCH(X266,[1]!VISITORS[NAME USED],0))</f>
        <v>#REF!</v>
      </c>
      <c r="AB266" s="48" t="e">
        <f t="shared" si="135"/>
        <v>#REF!</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16</v>
      </c>
      <c r="D267" s="75">
        <f t="shared" si="128"/>
        <v>20</v>
      </c>
      <c r="E267" s="76">
        <f t="shared" si="129"/>
        <v>9</v>
      </c>
      <c r="F267" s="80"/>
      <c r="G267" s="83"/>
      <c r="H267" s="69" t="str">
        <f t="shared" si="151"/>
        <v>Senbur6_20191116_20_00</v>
      </c>
      <c r="I267" s="70">
        <f t="shared" si="152"/>
        <v>1</v>
      </c>
      <c r="J267" s="77" t="str">
        <f t="shared" si="152"/>
        <v>Senecio</v>
      </c>
      <c r="K267" s="77" t="str">
        <f t="shared" si="152"/>
        <v>burtoni</v>
      </c>
      <c r="L267" s="78">
        <f t="shared" si="152"/>
        <v>6</v>
      </c>
      <c r="M267" s="78">
        <f t="shared" si="152"/>
        <v>12</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INDEX([1]!VISITORS[INSECT ORDER], MATCH(X267,[1]!VISITORS[NAME USED],0))</f>
        <v>#REF!</v>
      </c>
      <c r="AB267" s="48" t="e">
        <f t="shared" si="135"/>
        <v>#REF!</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16</v>
      </c>
      <c r="D268" s="75">
        <f t="shared" si="128"/>
        <v>20</v>
      </c>
      <c r="E268" s="76">
        <f t="shared" si="129"/>
        <v>10</v>
      </c>
      <c r="F268" s="80"/>
      <c r="G268" s="83"/>
      <c r="H268" s="69" t="str">
        <f t="shared" si="151"/>
        <v>Senbur6_20191116_20_00</v>
      </c>
      <c r="I268" s="70">
        <f t="shared" si="152"/>
        <v>1</v>
      </c>
      <c r="J268" s="77" t="str">
        <f t="shared" si="152"/>
        <v>Senecio</v>
      </c>
      <c r="K268" s="77" t="str">
        <f t="shared" si="152"/>
        <v>burtoni</v>
      </c>
      <c r="L268" s="78">
        <f t="shared" si="152"/>
        <v>6</v>
      </c>
      <c r="M268" s="78">
        <f t="shared" si="152"/>
        <v>12</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INDEX([1]!VISITORS[INSECT ORDER], MATCH(X268,[1]!VISITORS[NAME USED],0))</f>
        <v>#REF!</v>
      </c>
      <c r="AB268" s="48" t="e">
        <f t="shared" si="135"/>
        <v>#REF!</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16</v>
      </c>
      <c r="D269" s="75">
        <f t="shared" si="128"/>
        <v>20</v>
      </c>
      <c r="E269" s="76">
        <f t="shared" si="129"/>
        <v>11</v>
      </c>
      <c r="F269" s="80"/>
      <c r="G269" s="83"/>
      <c r="H269" s="69" t="str">
        <f t="shared" si="151"/>
        <v>Senbur6_20191116_20_00</v>
      </c>
      <c r="I269" s="70">
        <f t="shared" si="152"/>
        <v>1</v>
      </c>
      <c r="J269" s="77" t="str">
        <f t="shared" si="152"/>
        <v>Senecio</v>
      </c>
      <c r="K269" s="77" t="str">
        <f t="shared" si="152"/>
        <v>burtoni</v>
      </c>
      <c r="L269" s="78">
        <f t="shared" si="152"/>
        <v>6</v>
      </c>
      <c r="M269" s="78">
        <f t="shared" si="152"/>
        <v>12</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INDEX([1]!VISITORS[INSECT ORDER], MATCH(X269,[1]!VISITORS[NAME USED],0))</f>
        <v>#REF!</v>
      </c>
      <c r="AB269" s="48" t="e">
        <f t="shared" si="135"/>
        <v>#REF!</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16</v>
      </c>
      <c r="D270" s="75">
        <f t="shared" si="128"/>
        <v>20</v>
      </c>
      <c r="E270" s="76">
        <f t="shared" si="129"/>
        <v>12</v>
      </c>
      <c r="F270" s="80"/>
      <c r="G270" s="83"/>
      <c r="H270" s="69" t="str">
        <f t="shared" si="151"/>
        <v>Senbur6_20191116_20_00</v>
      </c>
      <c r="I270" s="70">
        <f t="shared" si="152"/>
        <v>1</v>
      </c>
      <c r="J270" s="77" t="str">
        <f t="shared" si="152"/>
        <v>Senecio</v>
      </c>
      <c r="K270" s="77" t="str">
        <f t="shared" si="152"/>
        <v>burtoni</v>
      </c>
      <c r="L270" s="78">
        <f t="shared" si="152"/>
        <v>6</v>
      </c>
      <c r="M270" s="78">
        <f t="shared" si="152"/>
        <v>12</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INDEX([1]!VISITORS[INSECT ORDER], MATCH(X270,[1]!VISITORS[NAME USED],0))</f>
        <v>#REF!</v>
      </c>
      <c r="AB270" s="48" t="e">
        <f t="shared" si="135"/>
        <v>#REF!</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16</v>
      </c>
      <c r="D271" s="75">
        <f t="shared" si="128"/>
        <v>20</v>
      </c>
      <c r="E271" s="76">
        <f t="shared" si="129"/>
        <v>13</v>
      </c>
      <c r="F271" s="80"/>
      <c r="G271" s="83"/>
      <c r="H271" s="69" t="str">
        <f t="shared" si="151"/>
        <v>Senbur6_20191116_20_00</v>
      </c>
      <c r="I271" s="70">
        <f t="shared" si="152"/>
        <v>1</v>
      </c>
      <c r="J271" s="77" t="str">
        <f t="shared" si="152"/>
        <v>Senecio</v>
      </c>
      <c r="K271" s="77" t="str">
        <f t="shared" si="152"/>
        <v>burtoni</v>
      </c>
      <c r="L271" s="78">
        <f t="shared" si="152"/>
        <v>6</v>
      </c>
      <c r="M271" s="78">
        <f t="shared" si="152"/>
        <v>12</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INDEX([1]!VISITORS[INSECT ORDER], MATCH(X271,[1]!VISITORS[NAME USED],0))</f>
        <v>#REF!</v>
      </c>
      <c r="AB271" s="48" t="e">
        <f t="shared" si="135"/>
        <v>#REF!</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16</v>
      </c>
      <c r="D272" s="75">
        <f t="shared" si="128"/>
        <v>20</v>
      </c>
      <c r="E272" s="76">
        <f t="shared" si="129"/>
        <v>14</v>
      </c>
      <c r="F272" s="80"/>
      <c r="G272" s="83"/>
      <c r="H272" s="69" t="str">
        <f t="shared" si="151"/>
        <v>Senbur6_20191116_20_00</v>
      </c>
      <c r="I272" s="70">
        <f t="shared" si="152"/>
        <v>1</v>
      </c>
      <c r="J272" s="77" t="str">
        <f t="shared" si="152"/>
        <v>Senecio</v>
      </c>
      <c r="K272" s="77" t="str">
        <f t="shared" si="152"/>
        <v>burtoni</v>
      </c>
      <c r="L272" s="78">
        <f t="shared" si="152"/>
        <v>6</v>
      </c>
      <c r="M272" s="78">
        <f t="shared" si="152"/>
        <v>12</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INDEX([1]!VISITORS[INSECT ORDER], MATCH(X272,[1]!VISITORS[NAME USED],0))</f>
        <v>#REF!</v>
      </c>
      <c r="AB272" s="48" t="e">
        <f t="shared" si="135"/>
        <v>#REF!</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16</v>
      </c>
      <c r="D273" s="75">
        <f t="shared" si="128"/>
        <v>20</v>
      </c>
      <c r="E273" s="76">
        <f t="shared" si="129"/>
        <v>15</v>
      </c>
      <c r="F273" s="80"/>
      <c r="G273" s="83"/>
      <c r="H273" s="69" t="str">
        <f t="shared" si="151"/>
        <v>Senbur6_20191116_20_00</v>
      </c>
      <c r="I273" s="70">
        <f t="shared" si="152"/>
        <v>1</v>
      </c>
      <c r="J273" s="77" t="str">
        <f t="shared" si="152"/>
        <v>Senecio</v>
      </c>
      <c r="K273" s="77" t="str">
        <f t="shared" si="152"/>
        <v>burtoni</v>
      </c>
      <c r="L273" s="78">
        <f t="shared" si="152"/>
        <v>6</v>
      </c>
      <c r="M273" s="78">
        <f t="shared" si="152"/>
        <v>12</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INDEX([1]!VISITORS[INSECT ORDER], MATCH(X273,[1]!VISITORS[NAME USED],0))</f>
        <v>#REF!</v>
      </c>
      <c r="AB273" s="48" t="e">
        <f t="shared" si="135"/>
        <v>#REF!</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16</v>
      </c>
      <c r="D274" s="75">
        <f t="shared" si="128"/>
        <v>20</v>
      </c>
      <c r="E274" s="76">
        <f t="shared" si="129"/>
        <v>16</v>
      </c>
      <c r="F274" s="80"/>
      <c r="G274" s="83"/>
      <c r="H274" s="69" t="str">
        <f t="shared" si="151"/>
        <v>Senbur6_20191116_20_00</v>
      </c>
      <c r="I274" s="70">
        <f t="shared" si="152"/>
        <v>1</v>
      </c>
      <c r="J274" s="77" t="str">
        <f t="shared" si="152"/>
        <v>Senecio</v>
      </c>
      <c r="K274" s="77" t="str">
        <f t="shared" si="152"/>
        <v>burtoni</v>
      </c>
      <c r="L274" s="78">
        <f t="shared" si="152"/>
        <v>6</v>
      </c>
      <c r="M274" s="78">
        <f t="shared" si="152"/>
        <v>12</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INDEX([1]!VISITORS[INSECT ORDER], MATCH(X274,[1]!VISITORS[NAME USED],0))</f>
        <v>#REF!</v>
      </c>
      <c r="AB274" s="48" t="e">
        <f t="shared" si="135"/>
        <v>#REF!</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16</v>
      </c>
      <c r="D275" s="75">
        <f t="shared" si="128"/>
        <v>20</v>
      </c>
      <c r="E275" s="76">
        <f t="shared" si="129"/>
        <v>17</v>
      </c>
      <c r="F275" s="80"/>
      <c r="G275" s="83"/>
      <c r="H275" s="69" t="str">
        <f t="shared" si="151"/>
        <v>Senbur6_20191116_20_00</v>
      </c>
      <c r="I275" s="70">
        <f t="shared" si="152"/>
        <v>1</v>
      </c>
      <c r="J275" s="77" t="str">
        <f t="shared" si="152"/>
        <v>Senecio</v>
      </c>
      <c r="K275" s="77" t="str">
        <f t="shared" si="152"/>
        <v>burtoni</v>
      </c>
      <c r="L275" s="78">
        <f t="shared" si="152"/>
        <v>6</v>
      </c>
      <c r="M275" s="78">
        <f t="shared" si="152"/>
        <v>12</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INDEX([1]!VISITORS[INSECT ORDER], MATCH(X275,[1]!VISITORS[NAME USED],0))</f>
        <v>#REF!</v>
      </c>
      <c r="AB275" s="48" t="e">
        <f t="shared" si="135"/>
        <v>#REF!</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16</v>
      </c>
      <c r="D276" s="75">
        <f t="shared" si="128"/>
        <v>20</v>
      </c>
      <c r="E276" s="76">
        <f t="shared" si="129"/>
        <v>18</v>
      </c>
      <c r="F276" s="80"/>
      <c r="G276" s="83"/>
      <c r="H276" s="69" t="str">
        <f t="shared" si="151"/>
        <v>Senbur6_20191116_20_00</v>
      </c>
      <c r="I276" s="70">
        <f t="shared" si="152"/>
        <v>1</v>
      </c>
      <c r="J276" s="77" t="str">
        <f t="shared" si="152"/>
        <v>Senecio</v>
      </c>
      <c r="K276" s="77" t="str">
        <f t="shared" si="152"/>
        <v>burtoni</v>
      </c>
      <c r="L276" s="78">
        <f t="shared" si="152"/>
        <v>6</v>
      </c>
      <c r="M276" s="78">
        <f t="shared" si="152"/>
        <v>12</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INDEX([1]!VISITORS[INSECT ORDER], MATCH(X276,[1]!VISITORS[NAME USED],0))</f>
        <v>#REF!</v>
      </c>
      <c r="AB276" s="48" t="e">
        <f t="shared" si="135"/>
        <v>#REF!</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16</v>
      </c>
      <c r="D277" s="75">
        <f t="shared" si="128"/>
        <v>20</v>
      </c>
      <c r="E277" s="76">
        <f t="shared" si="129"/>
        <v>19</v>
      </c>
      <c r="F277" s="80"/>
      <c r="G277" s="83"/>
      <c r="H277" s="69" t="str">
        <f t="shared" si="151"/>
        <v>Senbur6_20191116_20_00</v>
      </c>
      <c r="I277" s="70">
        <f t="shared" ref="I277:N292" si="153">I276</f>
        <v>1</v>
      </c>
      <c r="J277" s="77" t="str">
        <f t="shared" si="153"/>
        <v>Senecio</v>
      </c>
      <c r="K277" s="77" t="str">
        <f t="shared" si="153"/>
        <v>burtoni</v>
      </c>
      <c r="L277" s="78">
        <f t="shared" si="153"/>
        <v>6</v>
      </c>
      <c r="M277" s="78">
        <f t="shared" si="153"/>
        <v>12</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INDEX([1]!VISITORS[INSECT ORDER], MATCH(X277,[1]!VISITORS[NAME USED],0))</f>
        <v>#REF!</v>
      </c>
      <c r="AB277" s="48" t="e">
        <f t="shared" si="135"/>
        <v>#REF!</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16</v>
      </c>
      <c r="D278" s="75">
        <f t="shared" si="128"/>
        <v>20</v>
      </c>
      <c r="E278" s="76">
        <f t="shared" si="129"/>
        <v>20</v>
      </c>
      <c r="F278" s="80"/>
      <c r="G278" s="83"/>
      <c r="H278" s="69" t="str">
        <f t="shared" si="151"/>
        <v>Senbur6_20191116_20_00</v>
      </c>
      <c r="I278" s="70">
        <f t="shared" si="153"/>
        <v>1</v>
      </c>
      <c r="J278" s="77" t="str">
        <f t="shared" si="153"/>
        <v>Senecio</v>
      </c>
      <c r="K278" s="77" t="str">
        <f t="shared" si="153"/>
        <v>burtoni</v>
      </c>
      <c r="L278" s="78">
        <f t="shared" si="153"/>
        <v>6</v>
      </c>
      <c r="M278" s="78">
        <f t="shared" si="153"/>
        <v>12</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INDEX([1]!VISITORS[INSECT ORDER], MATCH(X278,[1]!VISITORS[NAME USED],0))</f>
        <v>#REF!</v>
      </c>
      <c r="AB278" s="48" t="e">
        <f t="shared" si="135"/>
        <v>#REF!</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16</v>
      </c>
      <c r="D279" s="75">
        <f t="shared" si="128"/>
        <v>20</v>
      </c>
      <c r="E279" s="76">
        <f t="shared" si="129"/>
        <v>21</v>
      </c>
      <c r="F279" s="80"/>
      <c r="G279" s="83"/>
      <c r="H279" s="69" t="str">
        <f t="shared" si="151"/>
        <v>Senbur6_20191116_20_00</v>
      </c>
      <c r="I279" s="70">
        <f t="shared" si="153"/>
        <v>1</v>
      </c>
      <c r="J279" s="77" t="str">
        <f t="shared" si="153"/>
        <v>Senecio</v>
      </c>
      <c r="K279" s="77" t="str">
        <f t="shared" si="153"/>
        <v>burtoni</v>
      </c>
      <c r="L279" s="78">
        <f t="shared" si="153"/>
        <v>6</v>
      </c>
      <c r="M279" s="78">
        <f t="shared" si="153"/>
        <v>12</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INDEX([1]!VISITORS[INSECT ORDER], MATCH(X279,[1]!VISITORS[NAME USED],0))</f>
        <v>#REF!</v>
      </c>
      <c r="AB279" s="48" t="e">
        <f t="shared" si="135"/>
        <v>#REF!</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16</v>
      </c>
      <c r="D280" s="75">
        <f t="shared" si="128"/>
        <v>20</v>
      </c>
      <c r="E280" s="76">
        <f t="shared" si="129"/>
        <v>22</v>
      </c>
      <c r="F280" s="80">
        <v>10</v>
      </c>
      <c r="G280" s="83"/>
      <c r="H280" s="69" t="str">
        <f t="shared" si="151"/>
        <v>Senbur6_20191116_20_00</v>
      </c>
      <c r="I280" s="70">
        <f t="shared" si="153"/>
        <v>1</v>
      </c>
      <c r="J280" s="77" t="str">
        <f t="shared" si="153"/>
        <v>Senecio</v>
      </c>
      <c r="K280" s="77" t="str">
        <f t="shared" si="153"/>
        <v>burtoni</v>
      </c>
      <c r="L280" s="78">
        <f t="shared" si="153"/>
        <v>6</v>
      </c>
      <c r="M280" s="78">
        <f t="shared" si="153"/>
        <v>12</v>
      </c>
      <c r="N280" s="72">
        <f t="shared" si="153"/>
        <v>0</v>
      </c>
      <c r="O280" s="45"/>
      <c r="P280" s="46">
        <f t="shared" si="130"/>
        <v>1</v>
      </c>
      <c r="Q280" s="47" t="str">
        <f t="shared" si="131"/>
        <v>20:22:10</v>
      </c>
      <c r="R280" s="48" t="str">
        <f t="shared" si="132"/>
        <v>22:10</v>
      </c>
      <c r="S280" s="49">
        <f t="shared" si="125"/>
        <v>7</v>
      </c>
      <c r="T280" s="48" t="str">
        <f t="shared" si="133"/>
        <v>20</v>
      </c>
      <c r="U280" s="50">
        <v>22</v>
      </c>
      <c r="V280" s="51">
        <v>17</v>
      </c>
      <c r="W280" s="52" t="str">
        <f t="shared" si="134"/>
        <v>22:17</v>
      </c>
      <c r="X280" s="53" t="s">
        <v>67</v>
      </c>
      <c r="Y280" s="97" t="s">
        <v>94</v>
      </c>
      <c r="Z280" s="97"/>
      <c r="AA280" s="48" t="s">
        <v>68</v>
      </c>
      <c r="AB280" s="48" t="str">
        <f t="shared" si="135"/>
        <v>NA</v>
      </c>
      <c r="AC280" s="54">
        <f t="shared" si="136"/>
        <v>0</v>
      </c>
      <c r="AD280" s="55">
        <v>2</v>
      </c>
      <c r="AE280" s="55"/>
      <c r="AF280" s="55"/>
      <c r="AG280" s="56">
        <v>1</v>
      </c>
      <c r="AH280" s="57">
        <v>2</v>
      </c>
      <c r="AI280" s="56">
        <v>1</v>
      </c>
      <c r="AJ280" s="57">
        <v>1</v>
      </c>
      <c r="AK280" s="56"/>
      <c r="AL280" s="57" t="str">
        <f t="shared" si="141"/>
        <v/>
      </c>
      <c r="AM280" s="56">
        <v>1</v>
      </c>
      <c r="AN280" s="57">
        <v>4</v>
      </c>
      <c r="AO280" s="56"/>
      <c r="AP280" s="57" t="str">
        <f t="shared" si="143"/>
        <v/>
      </c>
      <c r="AQ280" s="56"/>
      <c r="AR280" s="57" t="str">
        <f t="shared" si="144"/>
        <v/>
      </c>
      <c r="AS280" s="56"/>
      <c r="AT280" s="57" t="str">
        <f t="shared" si="145"/>
        <v/>
      </c>
      <c r="AU280" s="58"/>
      <c r="AV280" s="59"/>
      <c r="AW280" s="59"/>
      <c r="AX280" s="60"/>
      <c r="AY280" s="61">
        <v>1</v>
      </c>
      <c r="AZ280" s="62">
        <v>1</v>
      </c>
      <c r="BA280" s="61">
        <f t="shared" si="148"/>
        <v>0</v>
      </c>
      <c r="BB280" s="62" t="str">
        <f t="shared" si="149"/>
        <v/>
      </c>
    </row>
    <row r="281" spans="1:54" s="3" customFormat="1" hidden="1" x14ac:dyDescent="0.35">
      <c r="A281" s="73">
        <f t="shared" si="126"/>
        <v>2019</v>
      </c>
      <c r="B281" s="73" t="str">
        <f t="shared" si="127"/>
        <v>Nov</v>
      </c>
      <c r="C281" s="74">
        <f t="shared" si="150"/>
        <v>16</v>
      </c>
      <c r="D281" s="75">
        <f t="shared" si="128"/>
        <v>20</v>
      </c>
      <c r="E281" s="76">
        <f t="shared" si="129"/>
        <v>23</v>
      </c>
      <c r="F281" s="80"/>
      <c r="G281" s="83"/>
      <c r="H281" s="69" t="str">
        <f t="shared" si="151"/>
        <v>Senbur6_20191116_20_00</v>
      </c>
      <c r="I281" s="70">
        <f t="shared" si="153"/>
        <v>1</v>
      </c>
      <c r="J281" s="77" t="str">
        <f t="shared" si="153"/>
        <v>Senecio</v>
      </c>
      <c r="K281" s="77" t="str">
        <f t="shared" si="153"/>
        <v>burtoni</v>
      </c>
      <c r="L281" s="78">
        <f t="shared" si="153"/>
        <v>6</v>
      </c>
      <c r="M281" s="78">
        <f t="shared" si="153"/>
        <v>12</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INDEX([1]!VISITORS[INSECT ORDER], MATCH(X281,[1]!VISITORS[NAME USED],0))</f>
        <v>#REF!</v>
      </c>
      <c r="AB281" s="48" t="e">
        <f t="shared" si="135"/>
        <v>#REF!</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16</v>
      </c>
      <c r="D282" s="75">
        <f t="shared" si="128"/>
        <v>20</v>
      </c>
      <c r="E282" s="76">
        <f t="shared" si="129"/>
        <v>24</v>
      </c>
      <c r="F282" s="80"/>
      <c r="G282" s="83"/>
      <c r="H282" s="69" t="str">
        <f t="shared" si="151"/>
        <v>Senbur6_20191116_20_00</v>
      </c>
      <c r="I282" s="70">
        <f t="shared" si="153"/>
        <v>1</v>
      </c>
      <c r="J282" s="77" t="str">
        <f t="shared" si="153"/>
        <v>Senecio</v>
      </c>
      <c r="K282" s="77" t="str">
        <f t="shared" si="153"/>
        <v>burtoni</v>
      </c>
      <c r="L282" s="78">
        <f t="shared" si="153"/>
        <v>6</v>
      </c>
      <c r="M282" s="78">
        <f t="shared" si="153"/>
        <v>12</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INDEX([1]!VISITORS[INSECT ORDER], MATCH(X282,[1]!VISITORS[NAME USED],0))</f>
        <v>#REF!</v>
      </c>
      <c r="AB282" s="48" t="e">
        <f t="shared" si="135"/>
        <v>#REF!</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16</v>
      </c>
      <c r="D283" s="75">
        <f t="shared" si="128"/>
        <v>20</v>
      </c>
      <c r="E283" s="76">
        <f t="shared" si="129"/>
        <v>25</v>
      </c>
      <c r="F283" s="80"/>
      <c r="G283" s="83"/>
      <c r="H283" s="69" t="str">
        <f t="shared" si="151"/>
        <v>Senbur6_20191116_20_00</v>
      </c>
      <c r="I283" s="70">
        <f t="shared" si="153"/>
        <v>1</v>
      </c>
      <c r="J283" s="77" t="str">
        <f t="shared" si="153"/>
        <v>Senecio</v>
      </c>
      <c r="K283" s="77" t="str">
        <f t="shared" si="153"/>
        <v>burtoni</v>
      </c>
      <c r="L283" s="78">
        <f t="shared" si="153"/>
        <v>6</v>
      </c>
      <c r="M283" s="78">
        <f t="shared" si="153"/>
        <v>12</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INDEX([1]!VISITORS[INSECT ORDER], MATCH(X283,[1]!VISITORS[NAME USED],0))</f>
        <v>#REF!</v>
      </c>
      <c r="AB283" s="48" t="e">
        <f t="shared" si="135"/>
        <v>#REF!</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16</v>
      </c>
      <c r="D284" s="75">
        <f t="shared" si="128"/>
        <v>20</v>
      </c>
      <c r="E284" s="76">
        <f t="shared" si="129"/>
        <v>26</v>
      </c>
      <c r="F284" s="80"/>
      <c r="G284" s="83"/>
      <c r="H284" s="69" t="str">
        <f t="shared" si="151"/>
        <v>Senbur6_20191116_20_00</v>
      </c>
      <c r="I284" s="70">
        <f t="shared" si="153"/>
        <v>1</v>
      </c>
      <c r="J284" s="77" t="str">
        <f t="shared" si="153"/>
        <v>Senecio</v>
      </c>
      <c r="K284" s="77" t="str">
        <f t="shared" si="153"/>
        <v>burtoni</v>
      </c>
      <c r="L284" s="78">
        <f t="shared" si="153"/>
        <v>6</v>
      </c>
      <c r="M284" s="78">
        <f t="shared" si="153"/>
        <v>12</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INDEX([1]!VISITORS[INSECT ORDER], MATCH(X284,[1]!VISITORS[NAME USED],0))</f>
        <v>#REF!</v>
      </c>
      <c r="AB284" s="48" t="e">
        <f t="shared" si="135"/>
        <v>#REF!</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16</v>
      </c>
      <c r="D285" s="75">
        <f t="shared" si="128"/>
        <v>20</v>
      </c>
      <c r="E285" s="76">
        <f t="shared" si="129"/>
        <v>27</v>
      </c>
      <c r="F285" s="80"/>
      <c r="G285" s="83"/>
      <c r="H285" s="69" t="str">
        <f t="shared" si="151"/>
        <v>Senbur6_20191116_20_00</v>
      </c>
      <c r="I285" s="70">
        <f t="shared" si="153"/>
        <v>1</v>
      </c>
      <c r="J285" s="77" t="str">
        <f t="shared" si="153"/>
        <v>Senecio</v>
      </c>
      <c r="K285" s="77" t="str">
        <f t="shared" si="153"/>
        <v>burtoni</v>
      </c>
      <c r="L285" s="78">
        <f t="shared" si="153"/>
        <v>6</v>
      </c>
      <c r="M285" s="78">
        <f t="shared" si="153"/>
        <v>12</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INDEX([1]!VISITORS[INSECT ORDER], MATCH(X285,[1]!VISITORS[NAME USED],0))</f>
        <v>#REF!</v>
      </c>
      <c r="AB285" s="48" t="e">
        <f t="shared" si="135"/>
        <v>#REF!</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16</v>
      </c>
      <c r="D286" s="75">
        <f t="shared" si="128"/>
        <v>20</v>
      </c>
      <c r="E286" s="76">
        <f t="shared" si="129"/>
        <v>28</v>
      </c>
      <c r="F286" s="80"/>
      <c r="G286" s="83"/>
      <c r="H286" s="69" t="str">
        <f t="shared" si="151"/>
        <v>Senbur6_20191116_20_00</v>
      </c>
      <c r="I286" s="70">
        <f t="shared" si="153"/>
        <v>1</v>
      </c>
      <c r="J286" s="77" t="str">
        <f t="shared" si="153"/>
        <v>Senecio</v>
      </c>
      <c r="K286" s="77" t="str">
        <f t="shared" si="153"/>
        <v>burtoni</v>
      </c>
      <c r="L286" s="78">
        <f t="shared" si="153"/>
        <v>6</v>
      </c>
      <c r="M286" s="78">
        <f t="shared" si="153"/>
        <v>12</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INDEX([1]!VISITORS[INSECT ORDER], MATCH(X286,[1]!VISITORS[NAME USED],0))</f>
        <v>#REF!</v>
      </c>
      <c r="AB286" s="48" t="e">
        <f t="shared" si="135"/>
        <v>#REF!</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16</v>
      </c>
      <c r="D287" s="75">
        <f t="shared" si="128"/>
        <v>20</v>
      </c>
      <c r="E287" s="76">
        <f t="shared" si="129"/>
        <v>29</v>
      </c>
      <c r="F287" s="80"/>
      <c r="G287" s="83"/>
      <c r="H287" s="69" t="str">
        <f t="shared" si="151"/>
        <v>Senbur6_20191116_20_00</v>
      </c>
      <c r="I287" s="70">
        <f t="shared" si="153"/>
        <v>1</v>
      </c>
      <c r="J287" s="77" t="str">
        <f t="shared" si="153"/>
        <v>Senecio</v>
      </c>
      <c r="K287" s="77" t="str">
        <f t="shared" si="153"/>
        <v>burtoni</v>
      </c>
      <c r="L287" s="78">
        <f t="shared" si="153"/>
        <v>6</v>
      </c>
      <c r="M287" s="78">
        <f t="shared" si="153"/>
        <v>12</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INDEX([1]!VISITORS[INSECT ORDER], MATCH(X287,[1]!VISITORS[NAME USED],0))</f>
        <v>#REF!</v>
      </c>
      <c r="AB287" s="48" t="e">
        <f t="shared" si="135"/>
        <v>#REF!</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16</v>
      </c>
      <c r="D288" s="75">
        <f t="shared" si="128"/>
        <v>20</v>
      </c>
      <c r="E288" s="76">
        <f t="shared" si="129"/>
        <v>30</v>
      </c>
      <c r="F288" s="80"/>
      <c r="G288" s="83"/>
      <c r="H288" s="69" t="str">
        <f t="shared" si="151"/>
        <v>Senbur6_20191116_20_00</v>
      </c>
      <c r="I288" s="70">
        <f t="shared" si="153"/>
        <v>1</v>
      </c>
      <c r="J288" s="77" t="str">
        <f t="shared" si="153"/>
        <v>Senecio</v>
      </c>
      <c r="K288" s="77" t="str">
        <f t="shared" si="153"/>
        <v>burtoni</v>
      </c>
      <c r="L288" s="78">
        <f t="shared" si="153"/>
        <v>6</v>
      </c>
      <c r="M288" s="78">
        <f t="shared" si="153"/>
        <v>12</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INDEX([1]!VISITORS[INSECT ORDER], MATCH(X288,[1]!VISITORS[NAME USED],0))</f>
        <v>#REF!</v>
      </c>
      <c r="AB288" s="48" t="e">
        <f t="shared" si="135"/>
        <v>#REF!</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16</v>
      </c>
      <c r="D289" s="75">
        <f t="shared" si="128"/>
        <v>20</v>
      </c>
      <c r="E289" s="76">
        <f t="shared" si="129"/>
        <v>31</v>
      </c>
      <c r="F289" s="80"/>
      <c r="G289" s="83"/>
      <c r="H289" s="69" t="str">
        <f t="shared" si="151"/>
        <v>Senbur6_20191116_20_00</v>
      </c>
      <c r="I289" s="70">
        <f t="shared" si="153"/>
        <v>1</v>
      </c>
      <c r="J289" s="77" t="str">
        <f t="shared" si="153"/>
        <v>Senecio</v>
      </c>
      <c r="K289" s="77" t="str">
        <f t="shared" si="153"/>
        <v>burtoni</v>
      </c>
      <c r="L289" s="78">
        <f t="shared" si="153"/>
        <v>6</v>
      </c>
      <c r="M289" s="78">
        <f t="shared" si="153"/>
        <v>12</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INDEX([1]!VISITORS[INSECT ORDER], MATCH(X289,[1]!VISITORS[NAME USED],0))</f>
        <v>#REF!</v>
      </c>
      <c r="AB289" s="48" t="e">
        <f t="shared" si="135"/>
        <v>#REF!</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16</v>
      </c>
      <c r="D290" s="75">
        <f t="shared" si="128"/>
        <v>20</v>
      </c>
      <c r="E290" s="76">
        <f t="shared" si="129"/>
        <v>32</v>
      </c>
      <c r="F290" s="80"/>
      <c r="G290" s="83"/>
      <c r="H290" s="69" t="str">
        <f t="shared" si="151"/>
        <v>Senbur6_20191116_20_00</v>
      </c>
      <c r="I290" s="70">
        <f t="shared" si="153"/>
        <v>1</v>
      </c>
      <c r="J290" s="77" t="str">
        <f t="shared" si="153"/>
        <v>Senecio</v>
      </c>
      <c r="K290" s="77" t="str">
        <f t="shared" si="153"/>
        <v>burtoni</v>
      </c>
      <c r="L290" s="78">
        <f t="shared" si="153"/>
        <v>6</v>
      </c>
      <c r="M290" s="78">
        <f t="shared" si="153"/>
        <v>12</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INDEX([1]!VISITORS[INSECT ORDER], MATCH(X290,[1]!VISITORS[NAME USED],0))</f>
        <v>#REF!</v>
      </c>
      <c r="AB290" s="48" t="e">
        <f t="shared" si="135"/>
        <v>#REF!</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16</v>
      </c>
      <c r="D291" s="75">
        <f t="shared" si="128"/>
        <v>20</v>
      </c>
      <c r="E291" s="76">
        <f t="shared" si="129"/>
        <v>33</v>
      </c>
      <c r="F291" s="80"/>
      <c r="G291" s="83"/>
      <c r="H291" s="69" t="str">
        <f t="shared" si="151"/>
        <v>Senbur6_20191116_20_00</v>
      </c>
      <c r="I291" s="70">
        <f t="shared" si="153"/>
        <v>1</v>
      </c>
      <c r="J291" s="77" t="str">
        <f t="shared" si="153"/>
        <v>Senecio</v>
      </c>
      <c r="K291" s="77" t="str">
        <f t="shared" si="153"/>
        <v>burtoni</v>
      </c>
      <c r="L291" s="78">
        <f t="shared" si="153"/>
        <v>6</v>
      </c>
      <c r="M291" s="78">
        <f t="shared" si="153"/>
        <v>12</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INDEX([1]!VISITORS[INSECT ORDER], MATCH(X291,[1]!VISITORS[NAME USED],0))</f>
        <v>#REF!</v>
      </c>
      <c r="AB291" s="48" t="e">
        <f t="shared" si="135"/>
        <v>#REF!</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16</v>
      </c>
      <c r="D292" s="75">
        <f t="shared" si="128"/>
        <v>20</v>
      </c>
      <c r="E292" s="76">
        <f t="shared" si="129"/>
        <v>34</v>
      </c>
      <c r="F292" s="80"/>
      <c r="G292" s="83"/>
      <c r="H292" s="69" t="str">
        <f t="shared" si="151"/>
        <v>Senbur6_20191116_20_00</v>
      </c>
      <c r="I292" s="70">
        <f t="shared" si="153"/>
        <v>1</v>
      </c>
      <c r="J292" s="77" t="str">
        <f t="shared" si="153"/>
        <v>Senecio</v>
      </c>
      <c r="K292" s="77" t="str">
        <f t="shared" si="153"/>
        <v>burtoni</v>
      </c>
      <c r="L292" s="78">
        <f t="shared" si="153"/>
        <v>6</v>
      </c>
      <c r="M292" s="78">
        <f t="shared" si="153"/>
        <v>12</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INDEX([1]!VISITORS[INSECT ORDER], MATCH(X292,[1]!VISITORS[NAME USED],0))</f>
        <v>#REF!</v>
      </c>
      <c r="AB292" s="48" t="e">
        <f t="shared" si="135"/>
        <v>#REF!</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16</v>
      </c>
      <c r="D293" s="75">
        <f t="shared" si="128"/>
        <v>20</v>
      </c>
      <c r="E293" s="76">
        <f t="shared" si="129"/>
        <v>35</v>
      </c>
      <c r="F293" s="80"/>
      <c r="G293" s="83"/>
      <c r="H293" s="69" t="str">
        <f t="shared" si="151"/>
        <v>Senbur6_20191116_20_00</v>
      </c>
      <c r="I293" s="70">
        <f t="shared" ref="I293:N308" si="154">I292</f>
        <v>1</v>
      </c>
      <c r="J293" s="77" t="str">
        <f t="shared" si="154"/>
        <v>Senecio</v>
      </c>
      <c r="K293" s="77" t="str">
        <f t="shared" si="154"/>
        <v>burtoni</v>
      </c>
      <c r="L293" s="78">
        <f t="shared" si="154"/>
        <v>6</v>
      </c>
      <c r="M293" s="78">
        <f t="shared" si="154"/>
        <v>12</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INDEX([1]!VISITORS[INSECT ORDER], MATCH(X293,[1]!VISITORS[NAME USED],0))</f>
        <v>#REF!</v>
      </c>
      <c r="AB293" s="48" t="e">
        <f t="shared" si="135"/>
        <v>#REF!</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16</v>
      </c>
      <c r="D294" s="75">
        <f t="shared" si="128"/>
        <v>20</v>
      </c>
      <c r="E294" s="76">
        <f t="shared" si="129"/>
        <v>36</v>
      </c>
      <c r="F294" s="80"/>
      <c r="G294" s="83"/>
      <c r="H294" s="69" t="str">
        <f t="shared" si="151"/>
        <v>Senbur6_20191116_20_00</v>
      </c>
      <c r="I294" s="70">
        <f t="shared" si="154"/>
        <v>1</v>
      </c>
      <c r="J294" s="77" t="str">
        <f t="shared" si="154"/>
        <v>Senecio</v>
      </c>
      <c r="K294" s="77" t="str">
        <f t="shared" si="154"/>
        <v>burtoni</v>
      </c>
      <c r="L294" s="78">
        <f t="shared" si="154"/>
        <v>6</v>
      </c>
      <c r="M294" s="78">
        <f t="shared" si="154"/>
        <v>12</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INDEX([1]!VISITORS[INSECT ORDER], MATCH(X294,[1]!VISITORS[NAME USED],0))</f>
        <v>#REF!</v>
      </c>
      <c r="AB294" s="48" t="e">
        <f t="shared" si="135"/>
        <v>#REF!</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16</v>
      </c>
      <c r="D295" s="75">
        <f t="shared" si="128"/>
        <v>20</v>
      </c>
      <c r="E295" s="76">
        <f t="shared" si="129"/>
        <v>37</v>
      </c>
      <c r="F295" s="80"/>
      <c r="G295" s="83"/>
      <c r="H295" s="69" t="str">
        <f t="shared" si="151"/>
        <v>Senbur6_20191116_20_00</v>
      </c>
      <c r="I295" s="70">
        <f t="shared" si="154"/>
        <v>1</v>
      </c>
      <c r="J295" s="77" t="str">
        <f t="shared" si="154"/>
        <v>Senecio</v>
      </c>
      <c r="K295" s="77" t="str">
        <f t="shared" si="154"/>
        <v>burtoni</v>
      </c>
      <c r="L295" s="78">
        <f t="shared" si="154"/>
        <v>6</v>
      </c>
      <c r="M295" s="78">
        <f t="shared" si="154"/>
        <v>12</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INDEX([1]!VISITORS[INSECT ORDER], MATCH(X295,[1]!VISITORS[NAME USED],0))</f>
        <v>#REF!</v>
      </c>
      <c r="AB295" s="48" t="e">
        <f t="shared" si="135"/>
        <v>#REF!</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16</v>
      </c>
      <c r="D296" s="75">
        <f t="shared" si="128"/>
        <v>20</v>
      </c>
      <c r="E296" s="76">
        <f t="shared" si="129"/>
        <v>38</v>
      </c>
      <c r="F296" s="80"/>
      <c r="G296" s="83"/>
      <c r="H296" s="69" t="str">
        <f t="shared" si="151"/>
        <v>Senbur6_20191116_20_00</v>
      </c>
      <c r="I296" s="70">
        <f t="shared" si="154"/>
        <v>1</v>
      </c>
      <c r="J296" s="77" t="str">
        <f t="shared" si="154"/>
        <v>Senecio</v>
      </c>
      <c r="K296" s="77" t="str">
        <f t="shared" si="154"/>
        <v>burtoni</v>
      </c>
      <c r="L296" s="78">
        <f t="shared" si="154"/>
        <v>6</v>
      </c>
      <c r="M296" s="78">
        <f t="shared" si="154"/>
        <v>12</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INDEX([1]!VISITORS[INSECT ORDER], MATCH(X296,[1]!VISITORS[NAME USED],0))</f>
        <v>#REF!</v>
      </c>
      <c r="AB296" s="48" t="e">
        <f t="shared" si="135"/>
        <v>#REF!</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16</v>
      </c>
      <c r="D297" s="75">
        <f t="shared" si="128"/>
        <v>20</v>
      </c>
      <c r="E297" s="76">
        <f t="shared" si="129"/>
        <v>39</v>
      </c>
      <c r="F297" s="80"/>
      <c r="G297" s="83"/>
      <c r="H297" s="69" t="str">
        <f t="shared" si="151"/>
        <v>Senbur6_20191116_20_00</v>
      </c>
      <c r="I297" s="70">
        <f t="shared" si="154"/>
        <v>1</v>
      </c>
      <c r="J297" s="77" t="str">
        <f t="shared" si="154"/>
        <v>Senecio</v>
      </c>
      <c r="K297" s="77" t="str">
        <f t="shared" si="154"/>
        <v>burtoni</v>
      </c>
      <c r="L297" s="78">
        <f t="shared" si="154"/>
        <v>6</v>
      </c>
      <c r="M297" s="78">
        <f t="shared" si="154"/>
        <v>12</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INDEX([1]!VISITORS[INSECT ORDER], MATCH(X297,[1]!VISITORS[NAME USED],0))</f>
        <v>#REF!</v>
      </c>
      <c r="AB297" s="48" t="e">
        <f t="shared" si="135"/>
        <v>#REF!</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16</v>
      </c>
      <c r="D298" s="75">
        <f t="shared" si="128"/>
        <v>20</v>
      </c>
      <c r="E298" s="76">
        <f t="shared" si="129"/>
        <v>40</v>
      </c>
      <c r="F298" s="80"/>
      <c r="G298" s="83"/>
      <c r="H298" s="69" t="str">
        <f t="shared" si="151"/>
        <v>Senbur6_20191116_20_00</v>
      </c>
      <c r="I298" s="70">
        <f t="shared" si="154"/>
        <v>1</v>
      </c>
      <c r="J298" s="77" t="str">
        <f t="shared" si="154"/>
        <v>Senecio</v>
      </c>
      <c r="K298" s="77" t="str">
        <f t="shared" si="154"/>
        <v>burtoni</v>
      </c>
      <c r="L298" s="78">
        <f t="shared" si="154"/>
        <v>6</v>
      </c>
      <c r="M298" s="78">
        <f t="shared" si="154"/>
        <v>12</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INDEX([1]!VISITORS[INSECT ORDER], MATCH(X298,[1]!VISITORS[NAME USED],0))</f>
        <v>#REF!</v>
      </c>
      <c r="AB298" s="48" t="e">
        <f t="shared" si="135"/>
        <v>#REF!</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16</v>
      </c>
      <c r="D299" s="75">
        <f t="shared" si="128"/>
        <v>20</v>
      </c>
      <c r="E299" s="76">
        <f t="shared" si="129"/>
        <v>41</v>
      </c>
      <c r="F299" s="80"/>
      <c r="G299" s="83"/>
      <c r="H299" s="69" t="str">
        <f t="shared" si="151"/>
        <v>Senbur6_20191116_20_00</v>
      </c>
      <c r="I299" s="70">
        <f t="shared" si="154"/>
        <v>1</v>
      </c>
      <c r="J299" s="77" t="str">
        <f t="shared" si="154"/>
        <v>Senecio</v>
      </c>
      <c r="K299" s="77" t="str">
        <f t="shared" si="154"/>
        <v>burtoni</v>
      </c>
      <c r="L299" s="78">
        <f t="shared" si="154"/>
        <v>6</v>
      </c>
      <c r="M299" s="78">
        <f t="shared" si="154"/>
        <v>12</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INDEX([1]!VISITORS[INSECT ORDER], MATCH(X299,[1]!VISITORS[NAME USED],0))</f>
        <v>#REF!</v>
      </c>
      <c r="AB299" s="48" t="e">
        <f t="shared" si="135"/>
        <v>#REF!</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16</v>
      </c>
      <c r="D300" s="75">
        <f t="shared" si="128"/>
        <v>20</v>
      </c>
      <c r="E300" s="76">
        <f t="shared" si="129"/>
        <v>42</v>
      </c>
      <c r="F300" s="80"/>
      <c r="G300" s="83"/>
      <c r="H300" s="69" t="str">
        <f t="shared" si="151"/>
        <v>Senbur6_20191116_20_00</v>
      </c>
      <c r="I300" s="70">
        <f t="shared" si="154"/>
        <v>1</v>
      </c>
      <c r="J300" s="77" t="str">
        <f t="shared" si="154"/>
        <v>Senecio</v>
      </c>
      <c r="K300" s="77" t="str">
        <f t="shared" si="154"/>
        <v>burtoni</v>
      </c>
      <c r="L300" s="78">
        <f t="shared" si="154"/>
        <v>6</v>
      </c>
      <c r="M300" s="78">
        <f t="shared" si="154"/>
        <v>12</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INDEX([1]!VISITORS[INSECT ORDER], MATCH(X300,[1]!VISITORS[NAME USED],0))</f>
        <v>#REF!</v>
      </c>
      <c r="AB300" s="48" t="e">
        <f t="shared" si="135"/>
        <v>#REF!</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16</v>
      </c>
      <c r="D301" s="75">
        <f t="shared" si="128"/>
        <v>20</v>
      </c>
      <c r="E301" s="76">
        <f t="shared" si="129"/>
        <v>43</v>
      </c>
      <c r="F301" s="80"/>
      <c r="G301" s="83"/>
      <c r="H301" s="69" t="str">
        <f t="shared" si="151"/>
        <v>Senbur6_20191116_20_00</v>
      </c>
      <c r="I301" s="70">
        <f t="shared" si="154"/>
        <v>1</v>
      </c>
      <c r="J301" s="77" t="str">
        <f t="shared" si="154"/>
        <v>Senecio</v>
      </c>
      <c r="K301" s="77" t="str">
        <f t="shared" si="154"/>
        <v>burtoni</v>
      </c>
      <c r="L301" s="78">
        <f t="shared" si="154"/>
        <v>6</v>
      </c>
      <c r="M301" s="78">
        <f t="shared" si="154"/>
        <v>12</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INDEX([1]!VISITORS[INSECT ORDER], MATCH(X301,[1]!VISITORS[NAME USED],0))</f>
        <v>#REF!</v>
      </c>
      <c r="AB301" s="48" t="e">
        <f t="shared" si="135"/>
        <v>#REF!</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16</v>
      </c>
      <c r="D302" s="75">
        <f t="shared" si="128"/>
        <v>20</v>
      </c>
      <c r="E302" s="76">
        <f t="shared" si="129"/>
        <v>44</v>
      </c>
      <c r="F302" s="80"/>
      <c r="G302" s="83"/>
      <c r="H302" s="69" t="str">
        <f t="shared" si="151"/>
        <v>Senbur6_20191116_20_00</v>
      </c>
      <c r="I302" s="70">
        <f t="shared" si="154"/>
        <v>1</v>
      </c>
      <c r="J302" s="77" t="str">
        <f t="shared" si="154"/>
        <v>Senecio</v>
      </c>
      <c r="K302" s="77" t="str">
        <f t="shared" si="154"/>
        <v>burtoni</v>
      </c>
      <c r="L302" s="78">
        <f t="shared" si="154"/>
        <v>6</v>
      </c>
      <c r="M302" s="78">
        <f t="shared" si="154"/>
        <v>12</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INDEX([1]!VISITORS[INSECT ORDER], MATCH(X302,[1]!VISITORS[NAME USED],0))</f>
        <v>#REF!</v>
      </c>
      <c r="AB302" s="48" t="e">
        <f t="shared" si="135"/>
        <v>#REF!</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16</v>
      </c>
      <c r="D303" s="75">
        <f t="shared" si="128"/>
        <v>20</v>
      </c>
      <c r="E303" s="76">
        <f t="shared" si="129"/>
        <v>45</v>
      </c>
      <c r="F303" s="80"/>
      <c r="G303" s="83"/>
      <c r="H303" s="69" t="str">
        <f t="shared" si="151"/>
        <v>Senbur6_20191116_20_00</v>
      </c>
      <c r="I303" s="70">
        <f t="shared" si="154"/>
        <v>1</v>
      </c>
      <c r="J303" s="77" t="str">
        <f t="shared" si="154"/>
        <v>Senecio</v>
      </c>
      <c r="K303" s="77" t="str">
        <f t="shared" si="154"/>
        <v>burtoni</v>
      </c>
      <c r="L303" s="78">
        <f t="shared" si="154"/>
        <v>6</v>
      </c>
      <c r="M303" s="78">
        <f t="shared" si="154"/>
        <v>12</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INDEX([1]!VISITORS[INSECT ORDER], MATCH(X303,[1]!VISITORS[NAME USED],0))</f>
        <v>#REF!</v>
      </c>
      <c r="AB303" s="48" t="e">
        <f t="shared" si="135"/>
        <v>#REF!</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16</v>
      </c>
      <c r="D304" s="75">
        <f t="shared" si="128"/>
        <v>20</v>
      </c>
      <c r="E304" s="76">
        <f t="shared" si="129"/>
        <v>46</v>
      </c>
      <c r="F304" s="80"/>
      <c r="G304" s="83"/>
      <c r="H304" s="69" t="str">
        <f t="shared" si="151"/>
        <v>Senbur6_20191116_20_00</v>
      </c>
      <c r="I304" s="70">
        <f t="shared" si="154"/>
        <v>1</v>
      </c>
      <c r="J304" s="77" t="str">
        <f t="shared" si="154"/>
        <v>Senecio</v>
      </c>
      <c r="K304" s="77" t="str">
        <f t="shared" si="154"/>
        <v>burtoni</v>
      </c>
      <c r="L304" s="78">
        <f t="shared" si="154"/>
        <v>6</v>
      </c>
      <c r="M304" s="78">
        <f t="shared" si="154"/>
        <v>12</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INDEX([1]!VISITORS[INSECT ORDER], MATCH(X304,[1]!VISITORS[NAME USED],0))</f>
        <v>#REF!</v>
      </c>
      <c r="AB304" s="48" t="e">
        <f t="shared" si="135"/>
        <v>#REF!</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16</v>
      </c>
      <c r="D305" s="75">
        <f t="shared" si="128"/>
        <v>20</v>
      </c>
      <c r="E305" s="76">
        <f t="shared" si="129"/>
        <v>47</v>
      </c>
      <c r="F305" s="80"/>
      <c r="G305" s="83"/>
      <c r="H305" s="69" t="str">
        <f t="shared" si="151"/>
        <v>Senbur6_20191116_20_00</v>
      </c>
      <c r="I305" s="70">
        <f t="shared" si="154"/>
        <v>1</v>
      </c>
      <c r="J305" s="77" t="str">
        <f t="shared" si="154"/>
        <v>Senecio</v>
      </c>
      <c r="K305" s="77" t="str">
        <f t="shared" si="154"/>
        <v>burtoni</v>
      </c>
      <c r="L305" s="78">
        <f t="shared" si="154"/>
        <v>6</v>
      </c>
      <c r="M305" s="78">
        <f t="shared" si="154"/>
        <v>12</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INDEX([1]!VISITORS[INSECT ORDER], MATCH(X305,[1]!VISITORS[NAME USED],0))</f>
        <v>#REF!</v>
      </c>
      <c r="AB305" s="48" t="e">
        <f t="shared" si="135"/>
        <v>#REF!</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16</v>
      </c>
      <c r="D306" s="75">
        <f t="shared" si="128"/>
        <v>20</v>
      </c>
      <c r="E306" s="76">
        <f t="shared" si="129"/>
        <v>48</v>
      </c>
      <c r="F306" s="80"/>
      <c r="G306" s="83"/>
      <c r="H306" s="69" t="str">
        <f t="shared" si="151"/>
        <v>Senbur6_20191116_20_00</v>
      </c>
      <c r="I306" s="70">
        <f t="shared" si="154"/>
        <v>1</v>
      </c>
      <c r="J306" s="77" t="str">
        <f t="shared" si="154"/>
        <v>Senecio</v>
      </c>
      <c r="K306" s="77" t="str">
        <f t="shared" si="154"/>
        <v>burtoni</v>
      </c>
      <c r="L306" s="78">
        <f t="shared" si="154"/>
        <v>6</v>
      </c>
      <c r="M306" s="78">
        <f t="shared" si="154"/>
        <v>12</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INDEX([1]!VISITORS[INSECT ORDER], MATCH(X306,[1]!VISITORS[NAME USED],0))</f>
        <v>#REF!</v>
      </c>
      <c r="AB306" s="48" t="e">
        <f t="shared" si="135"/>
        <v>#REF!</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16</v>
      </c>
      <c r="D307" s="75">
        <f t="shared" si="128"/>
        <v>20</v>
      </c>
      <c r="E307" s="76">
        <f t="shared" si="129"/>
        <v>49</v>
      </c>
      <c r="F307" s="80"/>
      <c r="G307" s="83"/>
      <c r="H307" s="69" t="str">
        <f t="shared" si="151"/>
        <v>Senbur6_20191116_20_00</v>
      </c>
      <c r="I307" s="70">
        <f t="shared" si="154"/>
        <v>1</v>
      </c>
      <c r="J307" s="77" t="str">
        <f t="shared" si="154"/>
        <v>Senecio</v>
      </c>
      <c r="K307" s="77" t="str">
        <f t="shared" si="154"/>
        <v>burtoni</v>
      </c>
      <c r="L307" s="78">
        <f t="shared" si="154"/>
        <v>6</v>
      </c>
      <c r="M307" s="78">
        <f t="shared" si="154"/>
        <v>12</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INDEX([1]!VISITORS[INSECT ORDER], MATCH(X307,[1]!VISITORS[NAME USED],0))</f>
        <v>#REF!</v>
      </c>
      <c r="AB307" s="48" t="e">
        <f t="shared" si="135"/>
        <v>#REF!</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16</v>
      </c>
      <c r="D308" s="75">
        <f t="shared" si="128"/>
        <v>20</v>
      </c>
      <c r="E308" s="76">
        <f t="shared" si="129"/>
        <v>50</v>
      </c>
      <c r="F308" s="80"/>
      <c r="G308" s="83"/>
      <c r="H308" s="69" t="str">
        <f t="shared" si="151"/>
        <v>Senbur6_20191116_20_00</v>
      </c>
      <c r="I308" s="70">
        <f t="shared" si="154"/>
        <v>1</v>
      </c>
      <c r="J308" s="77" t="str">
        <f t="shared" si="154"/>
        <v>Senecio</v>
      </c>
      <c r="K308" s="77" t="str">
        <f t="shared" si="154"/>
        <v>burtoni</v>
      </c>
      <c r="L308" s="78">
        <f t="shared" si="154"/>
        <v>6</v>
      </c>
      <c r="M308" s="78">
        <f t="shared" si="154"/>
        <v>12</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INDEX([1]!VISITORS[INSECT ORDER], MATCH(X308,[1]!VISITORS[NAME USED],0))</f>
        <v>#REF!</v>
      </c>
      <c r="AB308" s="48" t="e">
        <f t="shared" si="135"/>
        <v>#REF!</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16</v>
      </c>
      <c r="D309" s="75">
        <f t="shared" si="128"/>
        <v>20</v>
      </c>
      <c r="E309" s="76">
        <f t="shared" si="129"/>
        <v>51</v>
      </c>
      <c r="F309" s="80"/>
      <c r="G309" s="83"/>
      <c r="H309" s="69" t="str">
        <f t="shared" si="151"/>
        <v>Senbur6_20191116_20_00</v>
      </c>
      <c r="I309" s="70">
        <f t="shared" ref="I309:N324" si="155">I308</f>
        <v>1</v>
      </c>
      <c r="J309" s="77" t="str">
        <f t="shared" si="155"/>
        <v>Senecio</v>
      </c>
      <c r="K309" s="77" t="str">
        <f t="shared" si="155"/>
        <v>burtoni</v>
      </c>
      <c r="L309" s="78">
        <f t="shared" si="155"/>
        <v>6</v>
      </c>
      <c r="M309" s="78">
        <f t="shared" si="155"/>
        <v>12</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INDEX([1]!VISITORS[INSECT ORDER], MATCH(X309,[1]!VISITORS[NAME USED],0))</f>
        <v>#REF!</v>
      </c>
      <c r="AB309" s="48" t="e">
        <f t="shared" si="135"/>
        <v>#REF!</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16</v>
      </c>
      <c r="D310" s="75">
        <f t="shared" si="128"/>
        <v>20</v>
      </c>
      <c r="E310" s="76">
        <f t="shared" si="129"/>
        <v>52</v>
      </c>
      <c r="F310" s="80"/>
      <c r="G310" s="83"/>
      <c r="H310" s="69" t="str">
        <f t="shared" si="151"/>
        <v>Senbur6_20191116_20_00</v>
      </c>
      <c r="I310" s="70">
        <f t="shared" si="155"/>
        <v>1</v>
      </c>
      <c r="J310" s="77" t="str">
        <f t="shared" si="155"/>
        <v>Senecio</v>
      </c>
      <c r="K310" s="77" t="str">
        <f t="shared" si="155"/>
        <v>burtoni</v>
      </c>
      <c r="L310" s="78">
        <f t="shared" si="155"/>
        <v>6</v>
      </c>
      <c r="M310" s="78">
        <f t="shared" si="155"/>
        <v>12</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INDEX([1]!VISITORS[INSECT ORDER], MATCH(X310,[1]!VISITORS[NAME USED],0))</f>
        <v>#REF!</v>
      </c>
      <c r="AB310" s="48" t="e">
        <f t="shared" si="135"/>
        <v>#REF!</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16</v>
      </c>
      <c r="D311" s="75">
        <f t="shared" si="128"/>
        <v>20</v>
      </c>
      <c r="E311" s="76">
        <f t="shared" si="129"/>
        <v>53</v>
      </c>
      <c r="F311" s="80"/>
      <c r="G311" s="83"/>
      <c r="H311" s="69" t="str">
        <f t="shared" si="151"/>
        <v>Senbur6_20191116_20_00</v>
      </c>
      <c r="I311" s="70">
        <f t="shared" si="155"/>
        <v>1</v>
      </c>
      <c r="J311" s="77" t="str">
        <f t="shared" si="155"/>
        <v>Senecio</v>
      </c>
      <c r="K311" s="77" t="str">
        <f t="shared" si="155"/>
        <v>burtoni</v>
      </c>
      <c r="L311" s="78">
        <f t="shared" si="155"/>
        <v>6</v>
      </c>
      <c r="M311" s="78">
        <f t="shared" si="155"/>
        <v>12</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INDEX([1]!VISITORS[INSECT ORDER], MATCH(X311,[1]!VISITORS[NAME USED],0))</f>
        <v>#REF!</v>
      </c>
      <c r="AB311" s="48" t="e">
        <f t="shared" si="135"/>
        <v>#REF!</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16</v>
      </c>
      <c r="D312" s="75">
        <f t="shared" si="128"/>
        <v>20</v>
      </c>
      <c r="E312" s="76">
        <f t="shared" si="129"/>
        <v>54</v>
      </c>
      <c r="F312" s="80"/>
      <c r="G312" s="83"/>
      <c r="H312" s="69" t="str">
        <f t="shared" si="151"/>
        <v>Senbur6_20191116_20_00</v>
      </c>
      <c r="I312" s="70">
        <f t="shared" si="155"/>
        <v>1</v>
      </c>
      <c r="J312" s="77" t="str">
        <f t="shared" si="155"/>
        <v>Senecio</v>
      </c>
      <c r="K312" s="77" t="str">
        <f t="shared" si="155"/>
        <v>burtoni</v>
      </c>
      <c r="L312" s="78">
        <f t="shared" si="155"/>
        <v>6</v>
      </c>
      <c r="M312" s="78">
        <f t="shared" si="155"/>
        <v>12</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INDEX([1]!VISITORS[INSECT ORDER], MATCH(X312,[1]!VISITORS[NAME USED],0))</f>
        <v>#REF!</v>
      </c>
      <c r="AB312" s="48" t="e">
        <f t="shared" si="135"/>
        <v>#REF!</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16</v>
      </c>
      <c r="D313" s="75">
        <f t="shared" si="128"/>
        <v>20</v>
      </c>
      <c r="E313" s="76">
        <f t="shared" si="129"/>
        <v>55</v>
      </c>
      <c r="F313" s="80"/>
      <c r="G313" s="83"/>
      <c r="H313" s="69" t="str">
        <f t="shared" si="151"/>
        <v>Senbur6_20191116_20_00</v>
      </c>
      <c r="I313" s="70">
        <f t="shared" si="155"/>
        <v>1</v>
      </c>
      <c r="J313" s="77" t="str">
        <f t="shared" si="155"/>
        <v>Senecio</v>
      </c>
      <c r="K313" s="77" t="str">
        <f t="shared" si="155"/>
        <v>burtoni</v>
      </c>
      <c r="L313" s="78">
        <f t="shared" si="155"/>
        <v>6</v>
      </c>
      <c r="M313" s="78">
        <f t="shared" si="155"/>
        <v>12</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INDEX([1]!VISITORS[INSECT ORDER], MATCH(X313,[1]!VISITORS[NAME USED],0))</f>
        <v>#REF!</v>
      </c>
      <c r="AB313" s="48" t="e">
        <f t="shared" si="135"/>
        <v>#REF!</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16</v>
      </c>
      <c r="D314" s="75">
        <f t="shared" si="128"/>
        <v>20</v>
      </c>
      <c r="E314" s="76">
        <f t="shared" si="129"/>
        <v>56</v>
      </c>
      <c r="F314" s="80"/>
      <c r="G314" s="83"/>
      <c r="H314" s="69" t="str">
        <f t="shared" si="151"/>
        <v>Senbur6_20191116_20_00</v>
      </c>
      <c r="I314" s="70">
        <f t="shared" si="155"/>
        <v>1</v>
      </c>
      <c r="J314" s="77" t="str">
        <f t="shared" si="155"/>
        <v>Senecio</v>
      </c>
      <c r="K314" s="77" t="str">
        <f t="shared" si="155"/>
        <v>burtoni</v>
      </c>
      <c r="L314" s="78">
        <f t="shared" si="155"/>
        <v>6</v>
      </c>
      <c r="M314" s="78">
        <f t="shared" si="155"/>
        <v>12</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INDEX([1]!VISITORS[INSECT ORDER], MATCH(X314,[1]!VISITORS[NAME USED],0))</f>
        <v>#REF!</v>
      </c>
      <c r="AB314" s="48" t="e">
        <f t="shared" si="135"/>
        <v>#REF!</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16</v>
      </c>
      <c r="D315" s="75">
        <f t="shared" si="128"/>
        <v>20</v>
      </c>
      <c r="E315" s="76">
        <f t="shared" si="129"/>
        <v>57</v>
      </c>
      <c r="F315" s="80"/>
      <c r="G315" s="83"/>
      <c r="H315" s="69" t="str">
        <f t="shared" si="151"/>
        <v>Senbur6_20191116_20_00</v>
      </c>
      <c r="I315" s="70">
        <f t="shared" si="155"/>
        <v>1</v>
      </c>
      <c r="J315" s="77" t="str">
        <f t="shared" si="155"/>
        <v>Senecio</v>
      </c>
      <c r="K315" s="77" t="str">
        <f t="shared" si="155"/>
        <v>burtoni</v>
      </c>
      <c r="L315" s="78">
        <f t="shared" si="155"/>
        <v>6</v>
      </c>
      <c r="M315" s="78">
        <f t="shared" si="155"/>
        <v>12</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INDEX([1]!VISITORS[INSECT ORDER], MATCH(X315,[1]!VISITORS[NAME USED],0))</f>
        <v>#REF!</v>
      </c>
      <c r="AB315" s="48" t="e">
        <f t="shared" si="135"/>
        <v>#REF!</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16</v>
      </c>
      <c r="D316" s="75">
        <f t="shared" si="128"/>
        <v>20</v>
      </c>
      <c r="E316" s="76">
        <f t="shared" si="129"/>
        <v>58</v>
      </c>
      <c r="F316" s="80"/>
      <c r="G316" s="83"/>
      <c r="H316" s="69" t="str">
        <f t="shared" si="151"/>
        <v>Senbur6_20191116_20_00</v>
      </c>
      <c r="I316" s="70">
        <f t="shared" si="155"/>
        <v>1</v>
      </c>
      <c r="J316" s="77" t="str">
        <f t="shared" si="155"/>
        <v>Senecio</v>
      </c>
      <c r="K316" s="77" t="str">
        <f t="shared" si="155"/>
        <v>burtoni</v>
      </c>
      <c r="L316" s="78">
        <f t="shared" si="155"/>
        <v>6</v>
      </c>
      <c r="M316" s="78">
        <f t="shared" si="155"/>
        <v>12</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INDEX([1]!VISITORS[INSECT ORDER], MATCH(X316,[1]!VISITORS[NAME USED],0))</f>
        <v>#REF!</v>
      </c>
      <c r="AB316" s="48" t="e">
        <f t="shared" si="135"/>
        <v>#REF!</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16</v>
      </c>
      <c r="D317" s="75">
        <f t="shared" si="128"/>
        <v>20</v>
      </c>
      <c r="E317" s="76">
        <f t="shared" si="129"/>
        <v>59</v>
      </c>
      <c r="F317" s="80"/>
      <c r="G317" s="83"/>
      <c r="H317" s="69" t="str">
        <f t="shared" si="151"/>
        <v>Senbur6_20191116_20_00</v>
      </c>
      <c r="I317" s="70">
        <f t="shared" si="155"/>
        <v>1</v>
      </c>
      <c r="J317" s="77" t="str">
        <f t="shared" si="155"/>
        <v>Senecio</v>
      </c>
      <c r="K317" s="77" t="str">
        <f t="shared" si="155"/>
        <v>burtoni</v>
      </c>
      <c r="L317" s="78">
        <f t="shared" si="155"/>
        <v>6</v>
      </c>
      <c r="M317" s="78">
        <f t="shared" si="155"/>
        <v>12</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INDEX([1]!VISITORS[INSECT ORDER], MATCH(X317,[1]!VISITORS[NAME USED],0))</f>
        <v>#REF!</v>
      </c>
      <c r="AB317" s="48" t="e">
        <f t="shared" si="135"/>
        <v>#REF!</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16</v>
      </c>
      <c r="D318" s="75">
        <f t="shared" si="128"/>
        <v>21</v>
      </c>
      <c r="E318" s="76">
        <f t="shared" si="129"/>
        <v>0</v>
      </c>
      <c r="F318" s="80"/>
      <c r="G318" s="83"/>
      <c r="H318" s="69" t="str">
        <f t="shared" si="151"/>
        <v>Senbur6_20191116_21_00</v>
      </c>
      <c r="I318" s="70">
        <f t="shared" si="155"/>
        <v>1</v>
      </c>
      <c r="J318" s="77" t="str">
        <f t="shared" si="155"/>
        <v>Senecio</v>
      </c>
      <c r="K318" s="77" t="str">
        <f t="shared" si="155"/>
        <v>burtoni</v>
      </c>
      <c r="L318" s="78">
        <f t="shared" si="155"/>
        <v>6</v>
      </c>
      <c r="M318" s="78">
        <f t="shared" si="155"/>
        <v>12</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INDEX([1]!VISITORS[INSECT ORDER], MATCH(X318,[1]!VISITORS[NAME USED],0))</f>
        <v>#REF!</v>
      </c>
      <c r="AB318" s="48" t="e">
        <f t="shared" si="135"/>
        <v>#REF!</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16</v>
      </c>
      <c r="D319" s="75">
        <f t="shared" si="128"/>
        <v>21</v>
      </c>
      <c r="E319" s="76">
        <f t="shared" si="129"/>
        <v>1</v>
      </c>
      <c r="F319" s="80"/>
      <c r="G319" s="83"/>
      <c r="H319" s="69" t="str">
        <f t="shared" si="151"/>
        <v>Senbur6_20191116_21_00</v>
      </c>
      <c r="I319" s="70">
        <f t="shared" si="155"/>
        <v>1</v>
      </c>
      <c r="J319" s="77" t="str">
        <f t="shared" si="155"/>
        <v>Senecio</v>
      </c>
      <c r="K319" s="77" t="str">
        <f t="shared" si="155"/>
        <v>burtoni</v>
      </c>
      <c r="L319" s="78">
        <f t="shared" si="155"/>
        <v>6</v>
      </c>
      <c r="M319" s="78">
        <f t="shared" si="155"/>
        <v>12</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INDEX([1]!VISITORS[INSECT ORDER], MATCH(X319,[1]!VISITORS[NAME USED],0))</f>
        <v>#REF!</v>
      </c>
      <c r="AB319" s="48" t="e">
        <f t="shared" si="135"/>
        <v>#REF!</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16</v>
      </c>
      <c r="D320" s="75">
        <f t="shared" si="128"/>
        <v>21</v>
      </c>
      <c r="E320" s="76">
        <f t="shared" si="129"/>
        <v>2</v>
      </c>
      <c r="F320" s="80"/>
      <c r="G320" s="83"/>
      <c r="H320" s="69" t="str">
        <f t="shared" si="151"/>
        <v>Senbur6_20191116_21_00</v>
      </c>
      <c r="I320" s="70">
        <f t="shared" si="155"/>
        <v>1</v>
      </c>
      <c r="J320" s="77" t="str">
        <f t="shared" si="155"/>
        <v>Senecio</v>
      </c>
      <c r="K320" s="77" t="str">
        <f t="shared" si="155"/>
        <v>burtoni</v>
      </c>
      <c r="L320" s="78">
        <f t="shared" si="155"/>
        <v>6</v>
      </c>
      <c r="M320" s="78">
        <f t="shared" si="155"/>
        <v>12</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INDEX([1]!VISITORS[INSECT ORDER], MATCH(X320,[1]!VISITORS[NAME USED],0))</f>
        <v>#REF!</v>
      </c>
      <c r="AB320" s="48" t="e">
        <f t="shared" si="135"/>
        <v>#REF!</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16</v>
      </c>
      <c r="D321" s="75">
        <f t="shared" si="128"/>
        <v>21</v>
      </c>
      <c r="E321" s="76">
        <f t="shared" si="129"/>
        <v>3</v>
      </c>
      <c r="F321" s="80"/>
      <c r="G321" s="83"/>
      <c r="H321" s="69" t="str">
        <f t="shared" si="151"/>
        <v>Senbur6_20191116_21_00</v>
      </c>
      <c r="I321" s="70">
        <f t="shared" si="155"/>
        <v>1</v>
      </c>
      <c r="J321" s="77" t="str">
        <f t="shared" si="155"/>
        <v>Senecio</v>
      </c>
      <c r="K321" s="77" t="str">
        <f t="shared" si="155"/>
        <v>burtoni</v>
      </c>
      <c r="L321" s="78">
        <f t="shared" si="155"/>
        <v>6</v>
      </c>
      <c r="M321" s="78">
        <f t="shared" si="155"/>
        <v>12</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INDEX([1]!VISITORS[INSECT ORDER], MATCH(X321,[1]!VISITORS[NAME USED],0))</f>
        <v>#REF!</v>
      </c>
      <c r="AB321" s="48" t="e">
        <f t="shared" si="135"/>
        <v>#REF!</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16</v>
      </c>
      <c r="D322" s="75">
        <f t="shared" si="128"/>
        <v>21</v>
      </c>
      <c r="E322" s="76">
        <f t="shared" si="129"/>
        <v>4</v>
      </c>
      <c r="F322" s="80"/>
      <c r="G322" s="83"/>
      <c r="H322" s="69" t="str">
        <f t="shared" si="151"/>
        <v>Senbur6_20191116_21_00</v>
      </c>
      <c r="I322" s="70">
        <f t="shared" si="155"/>
        <v>1</v>
      </c>
      <c r="J322" s="77" t="str">
        <f t="shared" si="155"/>
        <v>Senecio</v>
      </c>
      <c r="K322" s="77" t="str">
        <f t="shared" si="155"/>
        <v>burtoni</v>
      </c>
      <c r="L322" s="78">
        <f t="shared" si="155"/>
        <v>6</v>
      </c>
      <c r="M322" s="78">
        <f t="shared" si="155"/>
        <v>12</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INDEX([1]!VISITORS[INSECT ORDER], MATCH(X322,[1]!VISITORS[NAME USED],0))</f>
        <v>#REF!</v>
      </c>
      <c r="AB322" s="48" t="e">
        <f t="shared" si="135"/>
        <v>#REF!</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16</v>
      </c>
      <c r="D323" s="75">
        <f t="shared" si="128"/>
        <v>21</v>
      </c>
      <c r="E323" s="76">
        <f t="shared" si="129"/>
        <v>5</v>
      </c>
      <c r="F323" s="80"/>
      <c r="G323" s="83"/>
      <c r="H323" s="69" t="str">
        <f t="shared" si="151"/>
        <v>Senbur6_20191116_21_00</v>
      </c>
      <c r="I323" s="70">
        <f t="shared" si="155"/>
        <v>1</v>
      </c>
      <c r="J323" s="77" t="str">
        <f t="shared" si="155"/>
        <v>Senecio</v>
      </c>
      <c r="K323" s="77" t="str">
        <f t="shared" si="155"/>
        <v>burtoni</v>
      </c>
      <c r="L323" s="78">
        <f t="shared" si="155"/>
        <v>6</v>
      </c>
      <c r="M323" s="78">
        <f t="shared" si="155"/>
        <v>12</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INDEX([1]!VISITORS[INSECT ORDER], MATCH(X323,[1]!VISITORS[NAME USED],0))</f>
        <v>#REF!</v>
      </c>
      <c r="AB323" s="48" t="e">
        <f t="shared" si="135"/>
        <v>#REF!</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16</v>
      </c>
      <c r="D324" s="75">
        <f t="shared" ref="D324:D387" si="159">IF(IF(E323=59,D323+1,D323)=24,0,IF(E323=59,D323+1,D323))</f>
        <v>21</v>
      </c>
      <c r="E324" s="76">
        <f t="shared" ref="E324:E387" si="160">IF(E323&lt;59,E323+1,0)</f>
        <v>6</v>
      </c>
      <c r="F324" s="80"/>
      <c r="G324" s="83"/>
      <c r="H324" s="69" t="str">
        <f t="shared" si="151"/>
        <v>Senbur6_20191116_21_00</v>
      </c>
      <c r="I324" s="70">
        <f t="shared" si="155"/>
        <v>1</v>
      </c>
      <c r="J324" s="77" t="str">
        <f t="shared" si="155"/>
        <v>Senecio</v>
      </c>
      <c r="K324" s="77" t="str">
        <f t="shared" si="155"/>
        <v>burtoni</v>
      </c>
      <c r="L324" s="78">
        <f t="shared" si="155"/>
        <v>6</v>
      </c>
      <c r="M324" s="78">
        <f t="shared" si="155"/>
        <v>12</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INDEX([1]!VISITORS[INSECT ORDER], MATCH(X324,[1]!VISITORS[NAME USED],0))</f>
        <v>#REF!</v>
      </c>
      <c r="AB324" s="48" t="e">
        <f t="shared" ref="AB324:AB387" si="166">IF(AA324&lt;&gt;0,"NA","")</f>
        <v>#REF!</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16</v>
      </c>
      <c r="D325" s="75">
        <f t="shared" si="159"/>
        <v>21</v>
      </c>
      <c r="E325" s="76">
        <f t="shared" si="160"/>
        <v>7</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Senbur6_20191116_21_00</v>
      </c>
      <c r="I325" s="70">
        <f t="shared" ref="I325:N340" si="183">I324</f>
        <v>1</v>
      </c>
      <c r="J325" s="77" t="str">
        <f t="shared" si="183"/>
        <v>Senecio</v>
      </c>
      <c r="K325" s="77" t="str">
        <f t="shared" si="183"/>
        <v>burtoni</v>
      </c>
      <c r="L325" s="78">
        <f t="shared" si="183"/>
        <v>6</v>
      </c>
      <c r="M325" s="78">
        <f t="shared" si="183"/>
        <v>12</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INDEX([1]!VISITORS[INSECT ORDER], MATCH(X325,[1]!VISITORS[NAME USED],0))</f>
        <v>#REF!</v>
      </c>
      <c r="AB325" s="48" t="e">
        <f t="shared" si="166"/>
        <v>#REF!</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16</v>
      </c>
      <c r="D326" s="75">
        <f t="shared" si="159"/>
        <v>21</v>
      </c>
      <c r="E326" s="76">
        <f t="shared" si="160"/>
        <v>8</v>
      </c>
      <c r="F326" s="80"/>
      <c r="G326" s="83"/>
      <c r="H326" s="69" t="str">
        <f t="shared" si="182"/>
        <v>Senbur6_20191116_21_00</v>
      </c>
      <c r="I326" s="70">
        <f t="shared" si="183"/>
        <v>1</v>
      </c>
      <c r="J326" s="77" t="str">
        <f t="shared" si="183"/>
        <v>Senecio</v>
      </c>
      <c r="K326" s="77" t="str">
        <f t="shared" si="183"/>
        <v>burtoni</v>
      </c>
      <c r="L326" s="78">
        <f t="shared" si="183"/>
        <v>6</v>
      </c>
      <c r="M326" s="78">
        <f t="shared" si="183"/>
        <v>12</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INDEX([1]!VISITORS[INSECT ORDER], MATCH(X326,[1]!VISITORS[NAME USED],0))</f>
        <v>#REF!</v>
      </c>
      <c r="AB326" s="48" t="e">
        <f t="shared" si="166"/>
        <v>#REF!</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16</v>
      </c>
      <c r="D327" s="75">
        <f t="shared" si="159"/>
        <v>21</v>
      </c>
      <c r="E327" s="76">
        <f t="shared" si="160"/>
        <v>9</v>
      </c>
      <c r="F327" s="80"/>
      <c r="G327" s="83"/>
      <c r="H327" s="69" t="str">
        <f t="shared" si="182"/>
        <v>Senbur6_20191116_21_00</v>
      </c>
      <c r="I327" s="70">
        <f t="shared" si="183"/>
        <v>1</v>
      </c>
      <c r="J327" s="77" t="str">
        <f t="shared" si="183"/>
        <v>Senecio</v>
      </c>
      <c r="K327" s="77" t="str">
        <f t="shared" si="183"/>
        <v>burtoni</v>
      </c>
      <c r="L327" s="78">
        <f t="shared" si="183"/>
        <v>6</v>
      </c>
      <c r="M327" s="78">
        <f t="shared" si="183"/>
        <v>12</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INDEX([1]!VISITORS[INSECT ORDER], MATCH(X327,[1]!VISITORS[NAME USED],0))</f>
        <v>#REF!</v>
      </c>
      <c r="AB327" s="48" t="e">
        <f t="shared" si="166"/>
        <v>#REF!</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16</v>
      </c>
      <c r="D328" s="75">
        <f t="shared" si="159"/>
        <v>21</v>
      </c>
      <c r="E328" s="76">
        <f t="shared" si="160"/>
        <v>10</v>
      </c>
      <c r="F328" s="80"/>
      <c r="G328" s="83"/>
      <c r="H328" s="69" t="str">
        <f t="shared" si="182"/>
        <v>Senbur6_20191116_21_00</v>
      </c>
      <c r="I328" s="70">
        <f t="shared" si="183"/>
        <v>1</v>
      </c>
      <c r="J328" s="77" t="str">
        <f t="shared" si="183"/>
        <v>Senecio</v>
      </c>
      <c r="K328" s="77" t="str">
        <f t="shared" si="183"/>
        <v>burtoni</v>
      </c>
      <c r="L328" s="78">
        <f t="shared" si="183"/>
        <v>6</v>
      </c>
      <c r="M328" s="78">
        <f t="shared" si="183"/>
        <v>12</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INDEX([1]!VISITORS[INSECT ORDER], MATCH(X328,[1]!VISITORS[NAME USED],0))</f>
        <v>#REF!</v>
      </c>
      <c r="AB328" s="48" t="e">
        <f t="shared" si="166"/>
        <v>#REF!</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16</v>
      </c>
      <c r="D329" s="75">
        <f t="shared" si="159"/>
        <v>21</v>
      </c>
      <c r="E329" s="76">
        <f t="shared" si="160"/>
        <v>11</v>
      </c>
      <c r="F329" s="80"/>
      <c r="G329" s="83"/>
      <c r="H329" s="69" t="str">
        <f t="shared" si="182"/>
        <v>Senbur6_20191116_21_00</v>
      </c>
      <c r="I329" s="70">
        <f t="shared" si="183"/>
        <v>1</v>
      </c>
      <c r="J329" s="77" t="str">
        <f t="shared" si="183"/>
        <v>Senecio</v>
      </c>
      <c r="K329" s="77" t="str">
        <f t="shared" si="183"/>
        <v>burtoni</v>
      </c>
      <c r="L329" s="78">
        <f t="shared" si="183"/>
        <v>6</v>
      </c>
      <c r="M329" s="78">
        <f t="shared" si="183"/>
        <v>12</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INDEX([1]!VISITORS[INSECT ORDER], MATCH(X329,[1]!VISITORS[NAME USED],0))</f>
        <v>#REF!</v>
      </c>
      <c r="AB329" s="48" t="e">
        <f t="shared" si="166"/>
        <v>#REF!</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16</v>
      </c>
      <c r="D330" s="75">
        <f t="shared" si="159"/>
        <v>21</v>
      </c>
      <c r="E330" s="76">
        <f t="shared" si="160"/>
        <v>12</v>
      </c>
      <c r="F330" s="80"/>
      <c r="G330" s="83"/>
      <c r="H330" s="69" t="str">
        <f t="shared" si="182"/>
        <v>Senbur6_20191116_21_00</v>
      </c>
      <c r="I330" s="70">
        <f t="shared" si="183"/>
        <v>1</v>
      </c>
      <c r="J330" s="77" t="str">
        <f t="shared" si="183"/>
        <v>Senecio</v>
      </c>
      <c r="K330" s="77" t="str">
        <f t="shared" si="183"/>
        <v>burtoni</v>
      </c>
      <c r="L330" s="78">
        <f t="shared" si="183"/>
        <v>6</v>
      </c>
      <c r="M330" s="78">
        <f t="shared" si="183"/>
        <v>12</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INDEX([1]!VISITORS[INSECT ORDER], MATCH(X330,[1]!VISITORS[NAME USED],0))</f>
        <v>#REF!</v>
      </c>
      <c r="AB330" s="48" t="e">
        <f t="shared" si="166"/>
        <v>#REF!</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16</v>
      </c>
      <c r="D331" s="75">
        <f t="shared" si="159"/>
        <v>21</v>
      </c>
      <c r="E331" s="76">
        <f t="shared" si="160"/>
        <v>13</v>
      </c>
      <c r="F331" s="80"/>
      <c r="G331" s="83"/>
      <c r="H331" s="69" t="str">
        <f t="shared" si="182"/>
        <v>Senbur6_20191116_21_00</v>
      </c>
      <c r="I331" s="70">
        <f t="shared" si="183"/>
        <v>1</v>
      </c>
      <c r="J331" s="77" t="str">
        <f t="shared" si="183"/>
        <v>Senecio</v>
      </c>
      <c r="K331" s="77" t="str">
        <f t="shared" si="183"/>
        <v>burtoni</v>
      </c>
      <c r="L331" s="78">
        <f t="shared" si="183"/>
        <v>6</v>
      </c>
      <c r="M331" s="78">
        <f t="shared" si="183"/>
        <v>12</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INDEX([1]!VISITORS[INSECT ORDER], MATCH(X331,[1]!VISITORS[NAME USED],0))</f>
        <v>#REF!</v>
      </c>
      <c r="AB331" s="48" t="e">
        <f t="shared" si="166"/>
        <v>#REF!</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16</v>
      </c>
      <c r="D332" s="75">
        <f t="shared" si="159"/>
        <v>21</v>
      </c>
      <c r="E332" s="76">
        <f t="shared" si="160"/>
        <v>14</v>
      </c>
      <c r="F332" s="80"/>
      <c r="G332" s="83"/>
      <c r="H332" s="69" t="str">
        <f t="shared" si="182"/>
        <v>Senbur6_20191116_21_00</v>
      </c>
      <c r="I332" s="70">
        <f t="shared" si="183"/>
        <v>1</v>
      </c>
      <c r="J332" s="77" t="str">
        <f t="shared" si="183"/>
        <v>Senecio</v>
      </c>
      <c r="K332" s="77" t="str">
        <f t="shared" si="183"/>
        <v>burtoni</v>
      </c>
      <c r="L332" s="78">
        <f t="shared" si="183"/>
        <v>6</v>
      </c>
      <c r="M332" s="78">
        <f t="shared" si="183"/>
        <v>12</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INDEX([1]!VISITORS[INSECT ORDER], MATCH(X332,[1]!VISITORS[NAME USED],0))</f>
        <v>#REF!</v>
      </c>
      <c r="AB332" s="48" t="e">
        <f t="shared" si="166"/>
        <v>#REF!</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16</v>
      </c>
      <c r="D333" s="75">
        <f t="shared" si="159"/>
        <v>21</v>
      </c>
      <c r="E333" s="76">
        <f t="shared" si="160"/>
        <v>15</v>
      </c>
      <c r="F333" s="80"/>
      <c r="G333" s="83"/>
      <c r="H333" s="69" t="str">
        <f t="shared" si="182"/>
        <v>Senbur6_20191116_21_00</v>
      </c>
      <c r="I333" s="70">
        <f t="shared" si="183"/>
        <v>1</v>
      </c>
      <c r="J333" s="77" t="str">
        <f t="shared" si="183"/>
        <v>Senecio</v>
      </c>
      <c r="K333" s="77" t="str">
        <f t="shared" si="183"/>
        <v>burtoni</v>
      </c>
      <c r="L333" s="78">
        <f t="shared" si="183"/>
        <v>6</v>
      </c>
      <c r="M333" s="78">
        <f t="shared" si="183"/>
        <v>12</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INDEX([1]!VISITORS[INSECT ORDER], MATCH(X333,[1]!VISITORS[NAME USED],0))</f>
        <v>#REF!</v>
      </c>
      <c r="AB333" s="48" t="e">
        <f t="shared" si="166"/>
        <v>#REF!</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16</v>
      </c>
      <c r="D334" s="75">
        <f t="shared" si="159"/>
        <v>21</v>
      </c>
      <c r="E334" s="76">
        <f t="shared" si="160"/>
        <v>16</v>
      </c>
      <c r="F334" s="80"/>
      <c r="G334" s="83"/>
      <c r="H334" s="69" t="str">
        <f t="shared" si="182"/>
        <v>Senbur6_20191116_21_00</v>
      </c>
      <c r="I334" s="70">
        <f t="shared" si="183"/>
        <v>1</v>
      </c>
      <c r="J334" s="77" t="str">
        <f t="shared" si="183"/>
        <v>Senecio</v>
      </c>
      <c r="K334" s="77" t="str">
        <f t="shared" si="183"/>
        <v>burtoni</v>
      </c>
      <c r="L334" s="78">
        <f t="shared" si="183"/>
        <v>6</v>
      </c>
      <c r="M334" s="78">
        <f t="shared" si="183"/>
        <v>12</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INDEX([1]!VISITORS[INSECT ORDER], MATCH(X334,[1]!VISITORS[NAME USED],0))</f>
        <v>#REF!</v>
      </c>
      <c r="AB334" s="48" t="e">
        <f t="shared" si="166"/>
        <v>#REF!</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16</v>
      </c>
      <c r="D335" s="75">
        <f t="shared" si="159"/>
        <v>21</v>
      </c>
      <c r="E335" s="76">
        <f t="shared" si="160"/>
        <v>17</v>
      </c>
      <c r="F335" s="80"/>
      <c r="G335" s="83"/>
      <c r="H335" s="69" t="str">
        <f t="shared" si="182"/>
        <v>Senbur6_20191116_21_00</v>
      </c>
      <c r="I335" s="70">
        <f t="shared" si="183"/>
        <v>1</v>
      </c>
      <c r="J335" s="77" t="str">
        <f t="shared" si="183"/>
        <v>Senecio</v>
      </c>
      <c r="K335" s="77" t="str">
        <f t="shared" si="183"/>
        <v>burtoni</v>
      </c>
      <c r="L335" s="78">
        <f t="shared" si="183"/>
        <v>6</v>
      </c>
      <c r="M335" s="78">
        <f t="shared" si="183"/>
        <v>12</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INDEX([1]!VISITORS[INSECT ORDER], MATCH(X335,[1]!VISITORS[NAME USED],0))</f>
        <v>#REF!</v>
      </c>
      <c r="AB335" s="48" t="e">
        <f t="shared" si="166"/>
        <v>#REF!</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16</v>
      </c>
      <c r="D336" s="75">
        <f t="shared" si="159"/>
        <v>21</v>
      </c>
      <c r="E336" s="76">
        <f t="shared" si="160"/>
        <v>18</v>
      </c>
      <c r="F336" s="80"/>
      <c r="G336" s="83"/>
      <c r="H336" s="69" t="str">
        <f t="shared" si="182"/>
        <v>Senbur6_20191116_21_00</v>
      </c>
      <c r="I336" s="70">
        <f t="shared" si="183"/>
        <v>1</v>
      </c>
      <c r="J336" s="77" t="str">
        <f t="shared" si="183"/>
        <v>Senecio</v>
      </c>
      <c r="K336" s="77" t="str">
        <f t="shared" si="183"/>
        <v>burtoni</v>
      </c>
      <c r="L336" s="78">
        <f t="shared" si="183"/>
        <v>6</v>
      </c>
      <c r="M336" s="78">
        <f t="shared" si="183"/>
        <v>12</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INDEX([1]!VISITORS[INSECT ORDER], MATCH(X336,[1]!VISITORS[NAME USED],0))</f>
        <v>#REF!</v>
      </c>
      <c r="AB336" s="48" t="e">
        <f t="shared" si="166"/>
        <v>#REF!</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16</v>
      </c>
      <c r="D337" s="75">
        <f t="shared" si="159"/>
        <v>21</v>
      </c>
      <c r="E337" s="76">
        <f t="shared" si="160"/>
        <v>19</v>
      </c>
      <c r="F337" s="80"/>
      <c r="G337" s="83"/>
      <c r="H337" s="69" t="str">
        <f t="shared" si="182"/>
        <v>Senbur6_20191116_21_00</v>
      </c>
      <c r="I337" s="70">
        <f t="shared" si="183"/>
        <v>1</v>
      </c>
      <c r="J337" s="77" t="str">
        <f t="shared" si="183"/>
        <v>Senecio</v>
      </c>
      <c r="K337" s="77" t="str">
        <f t="shared" si="183"/>
        <v>burtoni</v>
      </c>
      <c r="L337" s="78">
        <f t="shared" si="183"/>
        <v>6</v>
      </c>
      <c r="M337" s="78">
        <f t="shared" si="183"/>
        <v>12</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INDEX([1]!VISITORS[INSECT ORDER], MATCH(X337,[1]!VISITORS[NAME USED],0))</f>
        <v>#REF!</v>
      </c>
      <c r="AB337" s="48" t="e">
        <f t="shared" si="166"/>
        <v>#REF!</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16</v>
      </c>
      <c r="D338" s="75">
        <f t="shared" si="159"/>
        <v>21</v>
      </c>
      <c r="E338" s="76">
        <f t="shared" si="160"/>
        <v>20</v>
      </c>
      <c r="F338" s="80"/>
      <c r="G338" s="83"/>
      <c r="H338" s="69" t="str">
        <f t="shared" si="182"/>
        <v>Senbur6_20191116_21_00</v>
      </c>
      <c r="I338" s="70">
        <f t="shared" si="183"/>
        <v>1</v>
      </c>
      <c r="J338" s="77" t="str">
        <f t="shared" si="183"/>
        <v>Senecio</v>
      </c>
      <c r="K338" s="77" t="str">
        <f t="shared" si="183"/>
        <v>burtoni</v>
      </c>
      <c r="L338" s="78">
        <f t="shared" si="183"/>
        <v>6</v>
      </c>
      <c r="M338" s="78">
        <f t="shared" si="183"/>
        <v>12</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INDEX([1]!VISITORS[INSECT ORDER], MATCH(X338,[1]!VISITORS[NAME USED],0))</f>
        <v>#REF!</v>
      </c>
      <c r="AB338" s="48" t="e">
        <f t="shared" si="166"/>
        <v>#REF!</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16</v>
      </c>
      <c r="D339" s="75">
        <f t="shared" si="159"/>
        <v>21</v>
      </c>
      <c r="E339" s="76">
        <f t="shared" si="160"/>
        <v>21</v>
      </c>
      <c r="F339" s="80"/>
      <c r="G339" s="83"/>
      <c r="H339" s="69" t="str">
        <f t="shared" si="182"/>
        <v>Senbur6_20191116_21_00</v>
      </c>
      <c r="I339" s="70">
        <f t="shared" si="183"/>
        <v>1</v>
      </c>
      <c r="J339" s="77" t="str">
        <f t="shared" si="183"/>
        <v>Senecio</v>
      </c>
      <c r="K339" s="77" t="str">
        <f t="shared" si="183"/>
        <v>burtoni</v>
      </c>
      <c r="L339" s="78">
        <f t="shared" si="183"/>
        <v>6</v>
      </c>
      <c r="M339" s="78">
        <f t="shared" si="183"/>
        <v>12</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INDEX([1]!VISITORS[INSECT ORDER], MATCH(X339,[1]!VISITORS[NAME USED],0))</f>
        <v>#REF!</v>
      </c>
      <c r="AB339" s="48" t="e">
        <f t="shared" si="166"/>
        <v>#REF!</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16</v>
      </c>
      <c r="D340" s="75">
        <f t="shared" si="159"/>
        <v>21</v>
      </c>
      <c r="E340" s="76">
        <f t="shared" si="160"/>
        <v>22</v>
      </c>
      <c r="F340" s="80"/>
      <c r="G340" s="83"/>
      <c r="H340" s="69" t="str">
        <f t="shared" si="182"/>
        <v>Senbur6_20191116_21_00</v>
      </c>
      <c r="I340" s="70">
        <f t="shared" si="183"/>
        <v>1</v>
      </c>
      <c r="J340" s="77" t="str">
        <f t="shared" si="183"/>
        <v>Senecio</v>
      </c>
      <c r="K340" s="77" t="str">
        <f t="shared" si="183"/>
        <v>burtoni</v>
      </c>
      <c r="L340" s="78">
        <f t="shared" si="183"/>
        <v>6</v>
      </c>
      <c r="M340" s="78">
        <f t="shared" si="183"/>
        <v>12</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INDEX([1]!VISITORS[INSECT ORDER], MATCH(X340,[1]!VISITORS[NAME USED],0))</f>
        <v>#REF!</v>
      </c>
      <c r="AB340" s="48" t="e">
        <f t="shared" si="166"/>
        <v>#REF!</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16</v>
      </c>
      <c r="D341" s="75">
        <f t="shared" si="159"/>
        <v>21</v>
      </c>
      <c r="E341" s="76">
        <f t="shared" si="160"/>
        <v>23</v>
      </c>
      <c r="F341" s="80"/>
      <c r="G341" s="83"/>
      <c r="H341" s="69" t="str">
        <f t="shared" si="182"/>
        <v>Senbur6_20191116_21_00</v>
      </c>
      <c r="I341" s="70">
        <f t="shared" ref="I341:N356" si="184">I340</f>
        <v>1</v>
      </c>
      <c r="J341" s="77" t="str">
        <f t="shared" si="184"/>
        <v>Senecio</v>
      </c>
      <c r="K341" s="77" t="str">
        <f t="shared" si="184"/>
        <v>burtoni</v>
      </c>
      <c r="L341" s="78">
        <f t="shared" si="184"/>
        <v>6</v>
      </c>
      <c r="M341" s="78">
        <f t="shared" si="184"/>
        <v>12</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INDEX([1]!VISITORS[INSECT ORDER], MATCH(X341,[1]!VISITORS[NAME USED],0))</f>
        <v>#REF!</v>
      </c>
      <c r="AB341" s="48" t="e">
        <f t="shared" si="166"/>
        <v>#REF!</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16</v>
      </c>
      <c r="D342" s="75">
        <f t="shared" si="159"/>
        <v>21</v>
      </c>
      <c r="E342" s="76">
        <f t="shared" si="160"/>
        <v>24</v>
      </c>
      <c r="F342" s="80"/>
      <c r="G342" s="83"/>
      <c r="H342" s="69" t="str">
        <f t="shared" si="182"/>
        <v>Senbur6_20191116_21_00</v>
      </c>
      <c r="I342" s="70">
        <f t="shared" si="184"/>
        <v>1</v>
      </c>
      <c r="J342" s="77" t="str">
        <f t="shared" si="184"/>
        <v>Senecio</v>
      </c>
      <c r="K342" s="77" t="str">
        <f t="shared" si="184"/>
        <v>burtoni</v>
      </c>
      <c r="L342" s="78">
        <f t="shared" si="184"/>
        <v>6</v>
      </c>
      <c r="M342" s="78">
        <f t="shared" si="184"/>
        <v>12</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INDEX([1]!VISITORS[INSECT ORDER], MATCH(X342,[1]!VISITORS[NAME USED],0))</f>
        <v>#REF!</v>
      </c>
      <c r="AB342" s="48" t="e">
        <f t="shared" si="166"/>
        <v>#REF!</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16</v>
      </c>
      <c r="D343" s="75">
        <f t="shared" si="159"/>
        <v>21</v>
      </c>
      <c r="E343" s="76">
        <f t="shared" si="160"/>
        <v>25</v>
      </c>
      <c r="F343" s="80"/>
      <c r="G343" s="83"/>
      <c r="H343" s="69" t="str">
        <f t="shared" si="182"/>
        <v>Senbur6_20191116_21_00</v>
      </c>
      <c r="I343" s="70">
        <f t="shared" si="184"/>
        <v>1</v>
      </c>
      <c r="J343" s="77" t="str">
        <f t="shared" si="184"/>
        <v>Senecio</v>
      </c>
      <c r="K343" s="77" t="str">
        <f t="shared" si="184"/>
        <v>burtoni</v>
      </c>
      <c r="L343" s="78">
        <f t="shared" si="184"/>
        <v>6</v>
      </c>
      <c r="M343" s="78">
        <f t="shared" si="184"/>
        <v>12</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INDEX([1]!VISITORS[INSECT ORDER], MATCH(X343,[1]!VISITORS[NAME USED],0))</f>
        <v>#REF!</v>
      </c>
      <c r="AB343" s="48" t="e">
        <f t="shared" si="166"/>
        <v>#REF!</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16</v>
      </c>
      <c r="D344" s="75">
        <f t="shared" si="159"/>
        <v>21</v>
      </c>
      <c r="E344" s="76">
        <f t="shared" si="160"/>
        <v>26</v>
      </c>
      <c r="F344" s="80"/>
      <c r="G344" s="83"/>
      <c r="H344" s="69" t="str">
        <f t="shared" si="182"/>
        <v>Senbur6_20191116_21_00</v>
      </c>
      <c r="I344" s="70">
        <f t="shared" si="184"/>
        <v>1</v>
      </c>
      <c r="J344" s="77" t="str">
        <f t="shared" si="184"/>
        <v>Senecio</v>
      </c>
      <c r="K344" s="77" t="str">
        <f t="shared" si="184"/>
        <v>burtoni</v>
      </c>
      <c r="L344" s="78">
        <f t="shared" si="184"/>
        <v>6</v>
      </c>
      <c r="M344" s="78">
        <f t="shared" si="184"/>
        <v>12</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INDEX([1]!VISITORS[INSECT ORDER], MATCH(X344,[1]!VISITORS[NAME USED],0))</f>
        <v>#REF!</v>
      </c>
      <c r="AB344" s="48" t="e">
        <f t="shared" si="166"/>
        <v>#REF!</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16</v>
      </c>
      <c r="D345" s="75">
        <f t="shared" si="159"/>
        <v>21</v>
      </c>
      <c r="E345" s="76">
        <f t="shared" si="160"/>
        <v>27</v>
      </c>
      <c r="F345" s="80"/>
      <c r="G345" s="83"/>
      <c r="H345" s="69" t="str">
        <f t="shared" si="182"/>
        <v>Senbur6_20191116_21_00</v>
      </c>
      <c r="I345" s="70">
        <f t="shared" si="184"/>
        <v>1</v>
      </c>
      <c r="J345" s="77" t="str">
        <f t="shared" si="184"/>
        <v>Senecio</v>
      </c>
      <c r="K345" s="77" t="str">
        <f t="shared" si="184"/>
        <v>burtoni</v>
      </c>
      <c r="L345" s="78">
        <f t="shared" si="184"/>
        <v>6</v>
      </c>
      <c r="M345" s="78">
        <f t="shared" si="184"/>
        <v>12</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INDEX([1]!VISITORS[INSECT ORDER], MATCH(X345,[1]!VISITORS[NAME USED],0))</f>
        <v>#REF!</v>
      </c>
      <c r="AB345" s="48" t="e">
        <f t="shared" si="166"/>
        <v>#REF!</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16</v>
      </c>
      <c r="D346" s="75">
        <f t="shared" si="159"/>
        <v>21</v>
      </c>
      <c r="E346" s="76">
        <f t="shared" si="160"/>
        <v>28</v>
      </c>
      <c r="F346" s="80"/>
      <c r="G346" s="83"/>
      <c r="H346" s="69" t="str">
        <f t="shared" si="182"/>
        <v>Senbur6_20191116_21_00</v>
      </c>
      <c r="I346" s="70">
        <f t="shared" si="184"/>
        <v>1</v>
      </c>
      <c r="J346" s="77" t="str">
        <f t="shared" si="184"/>
        <v>Senecio</v>
      </c>
      <c r="K346" s="77" t="str">
        <f t="shared" si="184"/>
        <v>burtoni</v>
      </c>
      <c r="L346" s="78">
        <f t="shared" si="184"/>
        <v>6</v>
      </c>
      <c r="M346" s="78">
        <f t="shared" si="184"/>
        <v>12</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INDEX([1]!VISITORS[INSECT ORDER], MATCH(X346,[1]!VISITORS[NAME USED],0))</f>
        <v>#REF!</v>
      </c>
      <c r="AB346" s="48" t="e">
        <f t="shared" si="166"/>
        <v>#REF!</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16</v>
      </c>
      <c r="D347" s="75">
        <f t="shared" si="159"/>
        <v>21</v>
      </c>
      <c r="E347" s="76">
        <f t="shared" si="160"/>
        <v>29</v>
      </c>
      <c r="F347" s="80"/>
      <c r="G347" s="83"/>
      <c r="H347" s="69" t="str">
        <f t="shared" si="182"/>
        <v>Senbur6_20191116_21_00</v>
      </c>
      <c r="I347" s="70">
        <f t="shared" si="184"/>
        <v>1</v>
      </c>
      <c r="J347" s="77" t="str">
        <f t="shared" si="184"/>
        <v>Senecio</v>
      </c>
      <c r="K347" s="77" t="str">
        <f t="shared" si="184"/>
        <v>burtoni</v>
      </c>
      <c r="L347" s="78">
        <f t="shared" si="184"/>
        <v>6</v>
      </c>
      <c r="M347" s="78">
        <f t="shared" si="184"/>
        <v>12</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INDEX([1]!VISITORS[INSECT ORDER], MATCH(X347,[1]!VISITORS[NAME USED],0))</f>
        <v>#REF!</v>
      </c>
      <c r="AB347" s="48" t="e">
        <f t="shared" si="166"/>
        <v>#REF!</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16</v>
      </c>
      <c r="D348" s="75">
        <f t="shared" si="159"/>
        <v>21</v>
      </c>
      <c r="E348" s="76">
        <f t="shared" si="160"/>
        <v>30</v>
      </c>
      <c r="F348" s="80"/>
      <c r="G348" s="83"/>
      <c r="H348" s="69" t="str">
        <f t="shared" si="182"/>
        <v>Senbur6_20191116_21_00</v>
      </c>
      <c r="I348" s="70">
        <f t="shared" si="184"/>
        <v>1</v>
      </c>
      <c r="J348" s="77" t="str">
        <f t="shared" si="184"/>
        <v>Senecio</v>
      </c>
      <c r="K348" s="77" t="str">
        <f t="shared" si="184"/>
        <v>burtoni</v>
      </c>
      <c r="L348" s="78">
        <f t="shared" si="184"/>
        <v>6</v>
      </c>
      <c r="M348" s="78">
        <f t="shared" si="184"/>
        <v>12</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INDEX([1]!VISITORS[INSECT ORDER], MATCH(X348,[1]!VISITORS[NAME USED],0))</f>
        <v>#REF!</v>
      </c>
      <c r="AB348" s="48" t="e">
        <f t="shared" si="166"/>
        <v>#REF!</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16</v>
      </c>
      <c r="D349" s="75">
        <f t="shared" si="159"/>
        <v>21</v>
      </c>
      <c r="E349" s="76">
        <f t="shared" si="160"/>
        <v>31</v>
      </c>
      <c r="F349" s="80"/>
      <c r="G349" s="83"/>
      <c r="H349" s="69" t="str">
        <f t="shared" si="182"/>
        <v>Senbur6_20191116_21_00</v>
      </c>
      <c r="I349" s="70">
        <f t="shared" si="184"/>
        <v>1</v>
      </c>
      <c r="J349" s="77" t="str">
        <f t="shared" si="184"/>
        <v>Senecio</v>
      </c>
      <c r="K349" s="77" t="str">
        <f t="shared" si="184"/>
        <v>burtoni</v>
      </c>
      <c r="L349" s="78">
        <f t="shared" si="184"/>
        <v>6</v>
      </c>
      <c r="M349" s="78">
        <f t="shared" si="184"/>
        <v>12</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INDEX([1]!VISITORS[INSECT ORDER], MATCH(X349,[1]!VISITORS[NAME USED],0))</f>
        <v>#REF!</v>
      </c>
      <c r="AB349" s="48" t="e">
        <f t="shared" si="166"/>
        <v>#REF!</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16</v>
      </c>
      <c r="D350" s="75">
        <f t="shared" si="159"/>
        <v>21</v>
      </c>
      <c r="E350" s="76">
        <f t="shared" si="160"/>
        <v>32</v>
      </c>
      <c r="F350" s="80"/>
      <c r="G350" s="83"/>
      <c r="H350" s="69" t="str">
        <f t="shared" si="182"/>
        <v>Senbur6_20191116_21_00</v>
      </c>
      <c r="I350" s="70">
        <f t="shared" si="184"/>
        <v>1</v>
      </c>
      <c r="J350" s="77" t="str">
        <f t="shared" si="184"/>
        <v>Senecio</v>
      </c>
      <c r="K350" s="77" t="str">
        <f t="shared" si="184"/>
        <v>burtoni</v>
      </c>
      <c r="L350" s="78">
        <f t="shared" si="184"/>
        <v>6</v>
      </c>
      <c r="M350" s="78">
        <f t="shared" si="184"/>
        <v>12</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INDEX([1]!VISITORS[INSECT ORDER], MATCH(X350,[1]!VISITORS[NAME USED],0))</f>
        <v>#REF!</v>
      </c>
      <c r="AB350" s="48" t="e">
        <f t="shared" si="166"/>
        <v>#REF!</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16</v>
      </c>
      <c r="D351" s="75">
        <f t="shared" si="159"/>
        <v>21</v>
      </c>
      <c r="E351" s="76">
        <f t="shared" si="160"/>
        <v>33</v>
      </c>
      <c r="F351" s="80"/>
      <c r="G351" s="83"/>
      <c r="H351" s="69" t="str">
        <f t="shared" si="182"/>
        <v>Senbur6_20191116_21_00</v>
      </c>
      <c r="I351" s="70">
        <f t="shared" si="184"/>
        <v>1</v>
      </c>
      <c r="J351" s="77" t="str">
        <f t="shared" si="184"/>
        <v>Senecio</v>
      </c>
      <c r="K351" s="77" t="str">
        <f t="shared" si="184"/>
        <v>burtoni</v>
      </c>
      <c r="L351" s="78">
        <f t="shared" si="184"/>
        <v>6</v>
      </c>
      <c r="M351" s="78">
        <f t="shared" si="184"/>
        <v>12</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INDEX([1]!VISITORS[INSECT ORDER], MATCH(X351,[1]!VISITORS[NAME USED],0))</f>
        <v>#REF!</v>
      </c>
      <c r="AB351" s="48" t="e">
        <f t="shared" si="166"/>
        <v>#REF!</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16</v>
      </c>
      <c r="D352" s="75">
        <f t="shared" si="159"/>
        <v>21</v>
      </c>
      <c r="E352" s="76">
        <f t="shared" si="160"/>
        <v>34</v>
      </c>
      <c r="F352" s="80"/>
      <c r="G352" s="83"/>
      <c r="H352" s="69" t="str">
        <f t="shared" si="182"/>
        <v>Senbur6_20191116_21_00</v>
      </c>
      <c r="I352" s="70">
        <f t="shared" si="184"/>
        <v>1</v>
      </c>
      <c r="J352" s="77" t="str">
        <f t="shared" si="184"/>
        <v>Senecio</v>
      </c>
      <c r="K352" s="77" t="str">
        <f t="shared" si="184"/>
        <v>burtoni</v>
      </c>
      <c r="L352" s="78">
        <f t="shared" si="184"/>
        <v>6</v>
      </c>
      <c r="M352" s="78">
        <f t="shared" si="184"/>
        <v>12</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INDEX([1]!VISITORS[INSECT ORDER], MATCH(X352,[1]!VISITORS[NAME USED],0))</f>
        <v>#REF!</v>
      </c>
      <c r="AB352" s="48" t="e">
        <f t="shared" si="166"/>
        <v>#REF!</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16</v>
      </c>
      <c r="D353" s="75">
        <f t="shared" si="159"/>
        <v>21</v>
      </c>
      <c r="E353" s="76">
        <f t="shared" si="160"/>
        <v>35</v>
      </c>
      <c r="F353" s="80"/>
      <c r="G353" s="83"/>
      <c r="H353" s="69" t="str">
        <f t="shared" si="182"/>
        <v>Senbur6_20191116_21_00</v>
      </c>
      <c r="I353" s="70">
        <f t="shared" si="184"/>
        <v>1</v>
      </c>
      <c r="J353" s="77" t="str">
        <f t="shared" si="184"/>
        <v>Senecio</v>
      </c>
      <c r="K353" s="77" t="str">
        <f t="shared" si="184"/>
        <v>burtoni</v>
      </c>
      <c r="L353" s="78">
        <f t="shared" si="184"/>
        <v>6</v>
      </c>
      <c r="M353" s="78">
        <f t="shared" si="184"/>
        <v>12</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INDEX([1]!VISITORS[INSECT ORDER], MATCH(X353,[1]!VISITORS[NAME USED],0))</f>
        <v>#REF!</v>
      </c>
      <c r="AB353" s="48" t="e">
        <f t="shared" si="166"/>
        <v>#REF!</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16</v>
      </c>
      <c r="D354" s="75">
        <f t="shared" si="159"/>
        <v>21</v>
      </c>
      <c r="E354" s="76">
        <f t="shared" si="160"/>
        <v>36</v>
      </c>
      <c r="F354" s="80"/>
      <c r="G354" s="83"/>
      <c r="H354" s="69" t="str">
        <f t="shared" si="182"/>
        <v>Senbur6_20191116_21_00</v>
      </c>
      <c r="I354" s="70">
        <f t="shared" si="184"/>
        <v>1</v>
      </c>
      <c r="J354" s="77" t="str">
        <f t="shared" si="184"/>
        <v>Senecio</v>
      </c>
      <c r="K354" s="77" t="str">
        <f t="shared" si="184"/>
        <v>burtoni</v>
      </c>
      <c r="L354" s="78">
        <f t="shared" si="184"/>
        <v>6</v>
      </c>
      <c r="M354" s="78">
        <f t="shared" si="184"/>
        <v>12</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INDEX([1]!VISITORS[INSECT ORDER], MATCH(X354,[1]!VISITORS[NAME USED],0))</f>
        <v>#REF!</v>
      </c>
      <c r="AB354" s="48" t="e">
        <f t="shared" si="166"/>
        <v>#REF!</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16</v>
      </c>
      <c r="D355" s="75">
        <f t="shared" si="159"/>
        <v>21</v>
      </c>
      <c r="E355" s="76">
        <f t="shared" si="160"/>
        <v>37</v>
      </c>
      <c r="F355" s="80"/>
      <c r="G355" s="83"/>
      <c r="H355" s="69" t="str">
        <f t="shared" si="182"/>
        <v>Senbur6_20191116_21_00</v>
      </c>
      <c r="I355" s="70">
        <f t="shared" si="184"/>
        <v>1</v>
      </c>
      <c r="J355" s="77" t="str">
        <f t="shared" si="184"/>
        <v>Senecio</v>
      </c>
      <c r="K355" s="77" t="str">
        <f t="shared" si="184"/>
        <v>burtoni</v>
      </c>
      <c r="L355" s="78">
        <f t="shared" si="184"/>
        <v>6</v>
      </c>
      <c r="M355" s="78">
        <f t="shared" si="184"/>
        <v>12</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INDEX([1]!VISITORS[INSECT ORDER], MATCH(X355,[1]!VISITORS[NAME USED],0))</f>
        <v>#REF!</v>
      </c>
      <c r="AB355" s="48" t="e">
        <f t="shared" si="166"/>
        <v>#REF!</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16</v>
      </c>
      <c r="D356" s="75">
        <f t="shared" si="159"/>
        <v>21</v>
      </c>
      <c r="E356" s="76">
        <f t="shared" si="160"/>
        <v>38</v>
      </c>
      <c r="F356" s="80"/>
      <c r="G356" s="83"/>
      <c r="H356" s="69" t="str">
        <f t="shared" si="182"/>
        <v>Senbur6_20191116_21_00</v>
      </c>
      <c r="I356" s="70">
        <f t="shared" si="184"/>
        <v>1</v>
      </c>
      <c r="J356" s="77" t="str">
        <f t="shared" si="184"/>
        <v>Senecio</v>
      </c>
      <c r="K356" s="77" t="str">
        <f t="shared" si="184"/>
        <v>burtoni</v>
      </c>
      <c r="L356" s="78">
        <f t="shared" si="184"/>
        <v>6</v>
      </c>
      <c r="M356" s="78">
        <f t="shared" si="184"/>
        <v>12</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INDEX([1]!VISITORS[INSECT ORDER], MATCH(X356,[1]!VISITORS[NAME USED],0))</f>
        <v>#REF!</v>
      </c>
      <c r="AB356" s="48" t="e">
        <f t="shared" si="166"/>
        <v>#REF!</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16</v>
      </c>
      <c r="D357" s="75">
        <f t="shared" si="159"/>
        <v>21</v>
      </c>
      <c r="E357" s="76">
        <f t="shared" si="160"/>
        <v>39</v>
      </c>
      <c r="F357" s="80"/>
      <c r="G357" s="83"/>
      <c r="H357" s="69" t="str">
        <f t="shared" si="182"/>
        <v>Senbur6_20191116_21_00</v>
      </c>
      <c r="I357" s="70">
        <f t="shared" ref="I357:N372" si="185">I356</f>
        <v>1</v>
      </c>
      <c r="J357" s="77" t="str">
        <f t="shared" si="185"/>
        <v>Senecio</v>
      </c>
      <c r="K357" s="77" t="str">
        <f t="shared" si="185"/>
        <v>burtoni</v>
      </c>
      <c r="L357" s="78">
        <f t="shared" si="185"/>
        <v>6</v>
      </c>
      <c r="M357" s="78">
        <f t="shared" si="185"/>
        <v>12</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INDEX([1]!VISITORS[INSECT ORDER], MATCH(X357,[1]!VISITORS[NAME USED],0))</f>
        <v>#REF!</v>
      </c>
      <c r="AB357" s="48" t="e">
        <f t="shared" si="166"/>
        <v>#REF!</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16</v>
      </c>
      <c r="D358" s="75">
        <f t="shared" si="159"/>
        <v>21</v>
      </c>
      <c r="E358" s="76">
        <f t="shared" si="160"/>
        <v>40</v>
      </c>
      <c r="F358" s="80"/>
      <c r="G358" s="83"/>
      <c r="H358" s="69" t="str">
        <f t="shared" si="182"/>
        <v>Senbur6_20191116_21_00</v>
      </c>
      <c r="I358" s="70">
        <f t="shared" si="185"/>
        <v>1</v>
      </c>
      <c r="J358" s="77" t="str">
        <f t="shared" si="185"/>
        <v>Senecio</v>
      </c>
      <c r="K358" s="77" t="str">
        <f t="shared" si="185"/>
        <v>burtoni</v>
      </c>
      <c r="L358" s="78">
        <f t="shared" si="185"/>
        <v>6</v>
      </c>
      <c r="M358" s="78">
        <f t="shared" si="185"/>
        <v>12</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INDEX([1]!VISITORS[INSECT ORDER], MATCH(X358,[1]!VISITORS[NAME USED],0))</f>
        <v>#REF!</v>
      </c>
      <c r="AB358" s="48" t="e">
        <f t="shared" si="166"/>
        <v>#REF!</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16</v>
      </c>
      <c r="D359" s="75">
        <f t="shared" si="159"/>
        <v>21</v>
      </c>
      <c r="E359" s="76">
        <f t="shared" si="160"/>
        <v>41</v>
      </c>
      <c r="F359" s="80"/>
      <c r="G359" s="83"/>
      <c r="H359" s="69" t="str">
        <f t="shared" si="182"/>
        <v>Senbur6_20191116_21_00</v>
      </c>
      <c r="I359" s="70">
        <f t="shared" si="185"/>
        <v>1</v>
      </c>
      <c r="J359" s="77" t="str">
        <f t="shared" si="185"/>
        <v>Senecio</v>
      </c>
      <c r="K359" s="77" t="str">
        <f t="shared" si="185"/>
        <v>burtoni</v>
      </c>
      <c r="L359" s="78">
        <f t="shared" si="185"/>
        <v>6</v>
      </c>
      <c r="M359" s="78">
        <f t="shared" si="185"/>
        <v>12</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INDEX([1]!VISITORS[INSECT ORDER], MATCH(X359,[1]!VISITORS[NAME USED],0))</f>
        <v>#REF!</v>
      </c>
      <c r="AB359" s="48" t="e">
        <f t="shared" si="166"/>
        <v>#REF!</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16</v>
      </c>
      <c r="D360" s="75">
        <f t="shared" si="159"/>
        <v>21</v>
      </c>
      <c r="E360" s="76">
        <f t="shared" si="160"/>
        <v>42</v>
      </c>
      <c r="F360" s="80"/>
      <c r="G360" s="83"/>
      <c r="H360" s="69" t="str">
        <f t="shared" si="182"/>
        <v>Senbur6_20191116_21_00</v>
      </c>
      <c r="I360" s="70">
        <f t="shared" si="185"/>
        <v>1</v>
      </c>
      <c r="J360" s="77" t="str">
        <f t="shared" si="185"/>
        <v>Senecio</v>
      </c>
      <c r="K360" s="77" t="str">
        <f t="shared" si="185"/>
        <v>burtoni</v>
      </c>
      <c r="L360" s="78">
        <f t="shared" si="185"/>
        <v>6</v>
      </c>
      <c r="M360" s="78">
        <f t="shared" si="185"/>
        <v>12</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INDEX([1]!VISITORS[INSECT ORDER], MATCH(X360,[1]!VISITORS[NAME USED],0))</f>
        <v>#REF!</v>
      </c>
      <c r="AB360" s="48" t="e">
        <f t="shared" si="166"/>
        <v>#REF!</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16</v>
      </c>
      <c r="D361" s="75">
        <f t="shared" si="159"/>
        <v>21</v>
      </c>
      <c r="E361" s="76">
        <f t="shared" si="160"/>
        <v>43</v>
      </c>
      <c r="F361" s="80"/>
      <c r="G361" s="83"/>
      <c r="H361" s="69" t="str">
        <f t="shared" si="182"/>
        <v>Senbur6_20191116_21_00</v>
      </c>
      <c r="I361" s="70">
        <f t="shared" si="185"/>
        <v>1</v>
      </c>
      <c r="J361" s="77" t="str">
        <f t="shared" si="185"/>
        <v>Senecio</v>
      </c>
      <c r="K361" s="77" t="str">
        <f t="shared" si="185"/>
        <v>burtoni</v>
      </c>
      <c r="L361" s="78">
        <f t="shared" si="185"/>
        <v>6</v>
      </c>
      <c r="M361" s="78">
        <f t="shared" si="185"/>
        <v>12</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INDEX([1]!VISITORS[INSECT ORDER], MATCH(X361,[1]!VISITORS[NAME USED],0))</f>
        <v>#REF!</v>
      </c>
      <c r="AB361" s="48" t="e">
        <f t="shared" si="166"/>
        <v>#REF!</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16</v>
      </c>
      <c r="D362" s="75">
        <f t="shared" si="159"/>
        <v>21</v>
      </c>
      <c r="E362" s="76">
        <f t="shared" si="160"/>
        <v>44</v>
      </c>
      <c r="F362" s="80"/>
      <c r="G362" s="83"/>
      <c r="H362" s="69" t="str">
        <f t="shared" si="182"/>
        <v>Senbur6_20191116_21_00</v>
      </c>
      <c r="I362" s="70">
        <f t="shared" si="185"/>
        <v>1</v>
      </c>
      <c r="J362" s="77" t="str">
        <f t="shared" si="185"/>
        <v>Senecio</v>
      </c>
      <c r="K362" s="77" t="str">
        <f t="shared" si="185"/>
        <v>burtoni</v>
      </c>
      <c r="L362" s="78">
        <f t="shared" si="185"/>
        <v>6</v>
      </c>
      <c r="M362" s="78">
        <f t="shared" si="185"/>
        <v>12</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INDEX([1]!VISITORS[INSECT ORDER], MATCH(X362,[1]!VISITORS[NAME USED],0))</f>
        <v>#REF!</v>
      </c>
      <c r="AB362" s="48" t="e">
        <f t="shared" si="166"/>
        <v>#REF!</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16</v>
      </c>
      <c r="D363" s="75">
        <f t="shared" si="159"/>
        <v>21</v>
      </c>
      <c r="E363" s="76">
        <f t="shared" si="160"/>
        <v>45</v>
      </c>
      <c r="F363" s="80"/>
      <c r="G363" s="83"/>
      <c r="H363" s="69" t="str">
        <f t="shared" si="182"/>
        <v>Senbur6_20191116_21_00</v>
      </c>
      <c r="I363" s="70">
        <f t="shared" si="185"/>
        <v>1</v>
      </c>
      <c r="J363" s="77" t="str">
        <f t="shared" si="185"/>
        <v>Senecio</v>
      </c>
      <c r="K363" s="77" t="str">
        <f t="shared" si="185"/>
        <v>burtoni</v>
      </c>
      <c r="L363" s="78">
        <f t="shared" si="185"/>
        <v>6</v>
      </c>
      <c r="M363" s="78">
        <f t="shared" si="185"/>
        <v>12</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INDEX([1]!VISITORS[INSECT ORDER], MATCH(X363,[1]!VISITORS[NAME USED],0))</f>
        <v>#REF!</v>
      </c>
      <c r="AB363" s="48" t="e">
        <f t="shared" si="166"/>
        <v>#REF!</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16</v>
      </c>
      <c r="D364" s="75">
        <f t="shared" si="159"/>
        <v>21</v>
      </c>
      <c r="E364" s="76">
        <f t="shared" si="160"/>
        <v>46</v>
      </c>
      <c r="F364" s="80"/>
      <c r="G364" s="83"/>
      <c r="H364" s="69" t="str">
        <f t="shared" si="182"/>
        <v>Senbur6_20191116_21_00</v>
      </c>
      <c r="I364" s="70">
        <f t="shared" si="185"/>
        <v>1</v>
      </c>
      <c r="J364" s="77" t="str">
        <f t="shared" si="185"/>
        <v>Senecio</v>
      </c>
      <c r="K364" s="77" t="str">
        <f t="shared" si="185"/>
        <v>burtoni</v>
      </c>
      <c r="L364" s="78">
        <f t="shared" si="185"/>
        <v>6</v>
      </c>
      <c r="M364" s="78">
        <f t="shared" si="185"/>
        <v>12</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INDEX([1]!VISITORS[INSECT ORDER], MATCH(X364,[1]!VISITORS[NAME USED],0))</f>
        <v>#REF!</v>
      </c>
      <c r="AB364" s="48" t="e">
        <f t="shared" si="166"/>
        <v>#REF!</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16</v>
      </c>
      <c r="D365" s="75">
        <f t="shared" si="159"/>
        <v>21</v>
      </c>
      <c r="E365" s="76">
        <f t="shared" si="160"/>
        <v>47</v>
      </c>
      <c r="F365" s="80"/>
      <c r="G365" s="83"/>
      <c r="H365" s="69" t="str">
        <f t="shared" si="182"/>
        <v>Senbur6_20191116_21_00</v>
      </c>
      <c r="I365" s="70">
        <f t="shared" si="185"/>
        <v>1</v>
      </c>
      <c r="J365" s="77" t="str">
        <f t="shared" si="185"/>
        <v>Senecio</v>
      </c>
      <c r="K365" s="77" t="str">
        <f t="shared" si="185"/>
        <v>burtoni</v>
      </c>
      <c r="L365" s="78">
        <f t="shared" si="185"/>
        <v>6</v>
      </c>
      <c r="M365" s="78">
        <f t="shared" si="185"/>
        <v>12</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INDEX([1]!VISITORS[INSECT ORDER], MATCH(X365,[1]!VISITORS[NAME USED],0))</f>
        <v>#REF!</v>
      </c>
      <c r="AB365" s="48" t="e">
        <f t="shared" si="166"/>
        <v>#REF!</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16</v>
      </c>
      <c r="D366" s="75">
        <f t="shared" si="159"/>
        <v>21</v>
      </c>
      <c r="E366" s="76">
        <f t="shared" si="160"/>
        <v>48</v>
      </c>
      <c r="F366" s="80"/>
      <c r="G366" s="83"/>
      <c r="H366" s="69" t="str">
        <f t="shared" si="182"/>
        <v>Senbur6_20191116_21_00</v>
      </c>
      <c r="I366" s="70">
        <f t="shared" si="185"/>
        <v>1</v>
      </c>
      <c r="J366" s="77" t="str">
        <f t="shared" si="185"/>
        <v>Senecio</v>
      </c>
      <c r="K366" s="77" t="str">
        <f t="shared" si="185"/>
        <v>burtoni</v>
      </c>
      <c r="L366" s="78">
        <f t="shared" si="185"/>
        <v>6</v>
      </c>
      <c r="M366" s="78">
        <f t="shared" si="185"/>
        <v>12</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INDEX([1]!VISITORS[INSECT ORDER], MATCH(X366,[1]!VISITORS[NAME USED],0))</f>
        <v>#REF!</v>
      </c>
      <c r="AB366" s="48" t="e">
        <f t="shared" si="166"/>
        <v>#REF!</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16</v>
      </c>
      <c r="D367" s="75">
        <f t="shared" si="159"/>
        <v>21</v>
      </c>
      <c r="E367" s="76">
        <f t="shared" si="160"/>
        <v>49</v>
      </c>
      <c r="F367" s="80"/>
      <c r="G367" s="83"/>
      <c r="H367" s="69" t="str">
        <f t="shared" si="182"/>
        <v>Senbur6_20191116_21_00</v>
      </c>
      <c r="I367" s="70">
        <f t="shared" si="185"/>
        <v>1</v>
      </c>
      <c r="J367" s="77" t="str">
        <f t="shared" si="185"/>
        <v>Senecio</v>
      </c>
      <c r="K367" s="77" t="str">
        <f t="shared" si="185"/>
        <v>burtoni</v>
      </c>
      <c r="L367" s="78">
        <f t="shared" si="185"/>
        <v>6</v>
      </c>
      <c r="M367" s="78">
        <f t="shared" si="185"/>
        <v>12</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INDEX([1]!VISITORS[INSECT ORDER], MATCH(X367,[1]!VISITORS[NAME USED],0))</f>
        <v>#REF!</v>
      </c>
      <c r="AB367" s="48" t="e">
        <f t="shared" si="166"/>
        <v>#REF!</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16</v>
      </c>
      <c r="D368" s="75">
        <f t="shared" si="159"/>
        <v>21</v>
      </c>
      <c r="E368" s="76">
        <f t="shared" si="160"/>
        <v>50</v>
      </c>
      <c r="F368" s="80"/>
      <c r="G368" s="83"/>
      <c r="H368" s="69" t="str">
        <f t="shared" si="182"/>
        <v>Senbur6_20191116_21_00</v>
      </c>
      <c r="I368" s="70">
        <f t="shared" si="185"/>
        <v>1</v>
      </c>
      <c r="J368" s="77" t="str">
        <f t="shared" si="185"/>
        <v>Senecio</v>
      </c>
      <c r="K368" s="77" t="str">
        <f t="shared" si="185"/>
        <v>burtoni</v>
      </c>
      <c r="L368" s="78">
        <f t="shared" si="185"/>
        <v>6</v>
      </c>
      <c r="M368" s="78">
        <f t="shared" si="185"/>
        <v>12</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INDEX([1]!VISITORS[INSECT ORDER], MATCH(X368,[1]!VISITORS[NAME USED],0))</f>
        <v>#REF!</v>
      </c>
      <c r="AB368" s="48" t="e">
        <f t="shared" si="166"/>
        <v>#REF!</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16</v>
      </c>
      <c r="D369" s="75">
        <f t="shared" si="159"/>
        <v>21</v>
      </c>
      <c r="E369" s="76">
        <f t="shared" si="160"/>
        <v>51</v>
      </c>
      <c r="F369" s="80"/>
      <c r="G369" s="83"/>
      <c r="H369" s="69" t="str">
        <f t="shared" si="182"/>
        <v>Senbur6_20191116_21_00</v>
      </c>
      <c r="I369" s="70">
        <f t="shared" si="185"/>
        <v>1</v>
      </c>
      <c r="J369" s="77" t="str">
        <f t="shared" si="185"/>
        <v>Senecio</v>
      </c>
      <c r="K369" s="77" t="str">
        <f t="shared" si="185"/>
        <v>burtoni</v>
      </c>
      <c r="L369" s="78">
        <f t="shared" si="185"/>
        <v>6</v>
      </c>
      <c r="M369" s="78">
        <f t="shared" si="185"/>
        <v>12</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INDEX([1]!VISITORS[INSECT ORDER], MATCH(X369,[1]!VISITORS[NAME USED],0))</f>
        <v>#REF!</v>
      </c>
      <c r="AB369" s="48" t="e">
        <f t="shared" si="166"/>
        <v>#REF!</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16</v>
      </c>
      <c r="D370" s="75">
        <f t="shared" si="159"/>
        <v>21</v>
      </c>
      <c r="E370" s="76">
        <f t="shared" si="160"/>
        <v>52</v>
      </c>
      <c r="F370" s="80"/>
      <c r="G370" s="83"/>
      <c r="H370" s="69" t="str">
        <f t="shared" si="182"/>
        <v>Senbur6_20191116_21_00</v>
      </c>
      <c r="I370" s="70">
        <f t="shared" si="185"/>
        <v>1</v>
      </c>
      <c r="J370" s="77" t="str">
        <f t="shared" si="185"/>
        <v>Senecio</v>
      </c>
      <c r="K370" s="77" t="str">
        <f t="shared" si="185"/>
        <v>burtoni</v>
      </c>
      <c r="L370" s="78">
        <f t="shared" si="185"/>
        <v>6</v>
      </c>
      <c r="M370" s="78">
        <f t="shared" si="185"/>
        <v>12</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INDEX([1]!VISITORS[INSECT ORDER], MATCH(X370,[1]!VISITORS[NAME USED],0))</f>
        <v>#REF!</v>
      </c>
      <c r="AB370" s="48" t="e">
        <f t="shared" si="166"/>
        <v>#REF!</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16</v>
      </c>
      <c r="D371" s="75">
        <f t="shared" si="159"/>
        <v>21</v>
      </c>
      <c r="E371" s="76">
        <f t="shared" si="160"/>
        <v>53</v>
      </c>
      <c r="F371" s="80"/>
      <c r="G371" s="83"/>
      <c r="H371" s="69" t="str">
        <f t="shared" si="182"/>
        <v>Senbur6_20191116_21_00</v>
      </c>
      <c r="I371" s="70">
        <f t="shared" si="185"/>
        <v>1</v>
      </c>
      <c r="J371" s="77" t="str">
        <f t="shared" si="185"/>
        <v>Senecio</v>
      </c>
      <c r="K371" s="77" t="str">
        <f t="shared" si="185"/>
        <v>burtoni</v>
      </c>
      <c r="L371" s="78">
        <f t="shared" si="185"/>
        <v>6</v>
      </c>
      <c r="M371" s="78">
        <f t="shared" si="185"/>
        <v>12</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INDEX([1]!VISITORS[INSECT ORDER], MATCH(X371,[1]!VISITORS[NAME USED],0))</f>
        <v>#REF!</v>
      </c>
      <c r="AB371" s="48" t="e">
        <f t="shared" si="166"/>
        <v>#REF!</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16</v>
      </c>
      <c r="D372" s="75">
        <f t="shared" si="159"/>
        <v>21</v>
      </c>
      <c r="E372" s="76">
        <f t="shared" si="160"/>
        <v>54</v>
      </c>
      <c r="F372" s="80"/>
      <c r="G372" s="83"/>
      <c r="H372" s="69" t="str">
        <f t="shared" si="182"/>
        <v>Senbur6_20191116_21_00</v>
      </c>
      <c r="I372" s="70">
        <f t="shared" si="185"/>
        <v>1</v>
      </c>
      <c r="J372" s="77" t="str">
        <f t="shared" si="185"/>
        <v>Senecio</v>
      </c>
      <c r="K372" s="77" t="str">
        <f t="shared" si="185"/>
        <v>burtoni</v>
      </c>
      <c r="L372" s="78">
        <f t="shared" si="185"/>
        <v>6</v>
      </c>
      <c r="M372" s="78">
        <f t="shared" si="185"/>
        <v>12</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INDEX([1]!VISITORS[INSECT ORDER], MATCH(X372,[1]!VISITORS[NAME USED],0))</f>
        <v>#REF!</v>
      </c>
      <c r="AB372" s="48" t="e">
        <f t="shared" si="166"/>
        <v>#REF!</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16</v>
      </c>
      <c r="D373" s="75">
        <f t="shared" si="159"/>
        <v>21</v>
      </c>
      <c r="E373" s="76">
        <f t="shared" si="160"/>
        <v>55</v>
      </c>
      <c r="F373" s="80"/>
      <c r="G373" s="83"/>
      <c r="H373" s="69" t="str">
        <f t="shared" si="182"/>
        <v>Senbur6_20191116_21_00</v>
      </c>
      <c r="I373" s="70">
        <f t="shared" ref="I373:N388" si="186">I372</f>
        <v>1</v>
      </c>
      <c r="J373" s="77" t="str">
        <f t="shared" si="186"/>
        <v>Senecio</v>
      </c>
      <c r="K373" s="77" t="str">
        <f t="shared" si="186"/>
        <v>burtoni</v>
      </c>
      <c r="L373" s="78">
        <f t="shared" si="186"/>
        <v>6</v>
      </c>
      <c r="M373" s="78">
        <f t="shared" si="186"/>
        <v>12</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INDEX([1]!VISITORS[INSECT ORDER], MATCH(X373,[1]!VISITORS[NAME USED],0))</f>
        <v>#REF!</v>
      </c>
      <c r="AB373" s="48" t="e">
        <f t="shared" si="166"/>
        <v>#REF!</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16</v>
      </c>
      <c r="D374" s="75">
        <f t="shared" si="159"/>
        <v>21</v>
      </c>
      <c r="E374" s="76">
        <f t="shared" si="160"/>
        <v>56</v>
      </c>
      <c r="F374" s="80"/>
      <c r="G374" s="83"/>
      <c r="H374" s="69" t="str">
        <f t="shared" si="182"/>
        <v>Senbur6_20191116_21_00</v>
      </c>
      <c r="I374" s="70">
        <f t="shared" si="186"/>
        <v>1</v>
      </c>
      <c r="J374" s="77" t="str">
        <f t="shared" si="186"/>
        <v>Senecio</v>
      </c>
      <c r="K374" s="77" t="str">
        <f t="shared" si="186"/>
        <v>burtoni</v>
      </c>
      <c r="L374" s="78">
        <f t="shared" si="186"/>
        <v>6</v>
      </c>
      <c r="M374" s="78">
        <f t="shared" si="186"/>
        <v>12</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INDEX([1]!VISITORS[INSECT ORDER], MATCH(X374,[1]!VISITORS[NAME USED],0))</f>
        <v>#REF!</v>
      </c>
      <c r="AB374" s="48" t="e">
        <f t="shared" si="166"/>
        <v>#REF!</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16</v>
      </c>
      <c r="D375" s="75">
        <f t="shared" si="159"/>
        <v>21</v>
      </c>
      <c r="E375" s="76">
        <f t="shared" si="160"/>
        <v>57</v>
      </c>
      <c r="F375" s="80"/>
      <c r="G375" s="83"/>
      <c r="H375" s="69" t="str">
        <f t="shared" si="182"/>
        <v>Senbur6_20191116_21_00</v>
      </c>
      <c r="I375" s="70">
        <f t="shared" si="186"/>
        <v>1</v>
      </c>
      <c r="J375" s="77" t="str">
        <f t="shared" si="186"/>
        <v>Senecio</v>
      </c>
      <c r="K375" s="77" t="str">
        <f t="shared" si="186"/>
        <v>burtoni</v>
      </c>
      <c r="L375" s="78">
        <f t="shared" si="186"/>
        <v>6</v>
      </c>
      <c r="M375" s="78">
        <f t="shared" si="186"/>
        <v>12</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INDEX([1]!VISITORS[INSECT ORDER], MATCH(X375,[1]!VISITORS[NAME USED],0))</f>
        <v>#REF!</v>
      </c>
      <c r="AB375" s="48" t="e">
        <f t="shared" si="166"/>
        <v>#REF!</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16</v>
      </c>
      <c r="D376" s="75">
        <f t="shared" si="159"/>
        <v>21</v>
      </c>
      <c r="E376" s="76">
        <f t="shared" si="160"/>
        <v>58</v>
      </c>
      <c r="F376" s="80"/>
      <c r="G376" s="83"/>
      <c r="H376" s="69" t="str">
        <f t="shared" si="182"/>
        <v>Senbur6_20191116_21_00</v>
      </c>
      <c r="I376" s="70">
        <f t="shared" si="186"/>
        <v>1</v>
      </c>
      <c r="J376" s="77" t="str">
        <f t="shared" si="186"/>
        <v>Senecio</v>
      </c>
      <c r="K376" s="77" t="str">
        <f t="shared" si="186"/>
        <v>burtoni</v>
      </c>
      <c r="L376" s="78">
        <f t="shared" si="186"/>
        <v>6</v>
      </c>
      <c r="M376" s="78">
        <f t="shared" si="186"/>
        <v>12</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INDEX([1]!VISITORS[INSECT ORDER], MATCH(X376,[1]!VISITORS[NAME USED],0))</f>
        <v>#REF!</v>
      </c>
      <c r="AB376" s="48" t="e">
        <f t="shared" si="166"/>
        <v>#REF!</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16</v>
      </c>
      <c r="D377" s="75">
        <f t="shared" si="159"/>
        <v>21</v>
      </c>
      <c r="E377" s="76">
        <f t="shared" si="160"/>
        <v>59</v>
      </c>
      <c r="F377" s="80"/>
      <c r="G377" s="83"/>
      <c r="H377" s="69" t="str">
        <f t="shared" si="182"/>
        <v>Senbur6_20191116_21_00</v>
      </c>
      <c r="I377" s="70">
        <f t="shared" si="186"/>
        <v>1</v>
      </c>
      <c r="J377" s="77" t="str">
        <f t="shared" si="186"/>
        <v>Senecio</v>
      </c>
      <c r="K377" s="77" t="str">
        <f t="shared" si="186"/>
        <v>burtoni</v>
      </c>
      <c r="L377" s="78">
        <f t="shared" si="186"/>
        <v>6</v>
      </c>
      <c r="M377" s="78">
        <f t="shared" si="186"/>
        <v>12</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INDEX([1]!VISITORS[INSECT ORDER], MATCH(X377,[1]!VISITORS[NAME USED],0))</f>
        <v>#REF!</v>
      </c>
      <c r="AB377" s="48" t="e">
        <f t="shared" si="166"/>
        <v>#REF!</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16</v>
      </c>
      <c r="D378" s="75">
        <f t="shared" si="159"/>
        <v>22</v>
      </c>
      <c r="E378" s="76">
        <f t="shared" si="160"/>
        <v>0</v>
      </c>
      <c r="F378" s="80"/>
      <c r="G378" s="83"/>
      <c r="H378" s="69" t="str">
        <f t="shared" si="182"/>
        <v>Senbur6_20191116_22_00</v>
      </c>
      <c r="I378" s="70">
        <f t="shared" si="186"/>
        <v>1</v>
      </c>
      <c r="J378" s="77" t="str">
        <f t="shared" si="186"/>
        <v>Senecio</v>
      </c>
      <c r="K378" s="77" t="str">
        <f t="shared" si="186"/>
        <v>burtoni</v>
      </c>
      <c r="L378" s="78">
        <f t="shared" si="186"/>
        <v>6</v>
      </c>
      <c r="M378" s="78">
        <f t="shared" si="186"/>
        <v>12</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INDEX([1]!VISITORS[INSECT ORDER], MATCH(X378,[1]!VISITORS[NAME USED],0))</f>
        <v>#REF!</v>
      </c>
      <c r="AB378" s="48" t="e">
        <f t="shared" si="166"/>
        <v>#REF!</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16</v>
      </c>
      <c r="D379" s="75">
        <f t="shared" si="159"/>
        <v>22</v>
      </c>
      <c r="E379" s="76">
        <f t="shared" si="160"/>
        <v>1</v>
      </c>
      <c r="F379" s="80"/>
      <c r="G379" s="83"/>
      <c r="H379" s="69" t="str">
        <f t="shared" si="182"/>
        <v>Senbur6_20191116_22_00</v>
      </c>
      <c r="I379" s="70">
        <f t="shared" si="186"/>
        <v>1</v>
      </c>
      <c r="J379" s="77" t="str">
        <f t="shared" si="186"/>
        <v>Senecio</v>
      </c>
      <c r="K379" s="77" t="str">
        <f t="shared" si="186"/>
        <v>burtoni</v>
      </c>
      <c r="L379" s="78">
        <f t="shared" si="186"/>
        <v>6</v>
      </c>
      <c r="M379" s="78">
        <f t="shared" si="186"/>
        <v>12</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INDEX([1]!VISITORS[INSECT ORDER], MATCH(X379,[1]!VISITORS[NAME USED],0))</f>
        <v>#REF!</v>
      </c>
      <c r="AB379" s="48" t="e">
        <f t="shared" si="166"/>
        <v>#REF!</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16</v>
      </c>
      <c r="D380" s="75">
        <f t="shared" si="159"/>
        <v>22</v>
      </c>
      <c r="E380" s="76">
        <f t="shared" si="160"/>
        <v>2</v>
      </c>
      <c r="F380" s="80"/>
      <c r="G380" s="83"/>
      <c r="H380" s="69" t="str">
        <f t="shared" si="182"/>
        <v>Senbur6_20191116_22_00</v>
      </c>
      <c r="I380" s="70">
        <f t="shared" si="186"/>
        <v>1</v>
      </c>
      <c r="J380" s="77" t="str">
        <f t="shared" si="186"/>
        <v>Senecio</v>
      </c>
      <c r="K380" s="77" t="str">
        <f t="shared" si="186"/>
        <v>burtoni</v>
      </c>
      <c r="L380" s="78">
        <f t="shared" si="186"/>
        <v>6</v>
      </c>
      <c r="M380" s="78">
        <f t="shared" si="186"/>
        <v>12</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INDEX([1]!VISITORS[INSECT ORDER], MATCH(X380,[1]!VISITORS[NAME USED],0))</f>
        <v>#REF!</v>
      </c>
      <c r="AB380" s="48" t="e">
        <f t="shared" si="166"/>
        <v>#REF!</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16</v>
      </c>
      <c r="D381" s="75">
        <f t="shared" si="159"/>
        <v>22</v>
      </c>
      <c r="E381" s="76">
        <f t="shared" si="160"/>
        <v>3</v>
      </c>
      <c r="F381" s="80"/>
      <c r="G381" s="83"/>
      <c r="H381" s="69" t="str">
        <f t="shared" si="182"/>
        <v>Senbur6_20191116_22_00</v>
      </c>
      <c r="I381" s="70">
        <f t="shared" si="186"/>
        <v>1</v>
      </c>
      <c r="J381" s="77" t="str">
        <f t="shared" si="186"/>
        <v>Senecio</v>
      </c>
      <c r="K381" s="77" t="str">
        <f t="shared" si="186"/>
        <v>burtoni</v>
      </c>
      <c r="L381" s="78">
        <f t="shared" si="186"/>
        <v>6</v>
      </c>
      <c r="M381" s="78">
        <f t="shared" si="186"/>
        <v>12</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INDEX([1]!VISITORS[INSECT ORDER], MATCH(X381,[1]!VISITORS[NAME USED],0))</f>
        <v>#REF!</v>
      </c>
      <c r="AB381" s="48" t="e">
        <f t="shared" si="166"/>
        <v>#REF!</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16</v>
      </c>
      <c r="D382" s="75">
        <f t="shared" si="159"/>
        <v>22</v>
      </c>
      <c r="E382" s="76">
        <f t="shared" si="160"/>
        <v>4</v>
      </c>
      <c r="F382" s="80"/>
      <c r="G382" s="83"/>
      <c r="H382" s="69" t="str">
        <f t="shared" si="182"/>
        <v>Senbur6_20191116_22_00</v>
      </c>
      <c r="I382" s="70">
        <f t="shared" si="186"/>
        <v>1</v>
      </c>
      <c r="J382" s="77" t="str">
        <f t="shared" si="186"/>
        <v>Senecio</v>
      </c>
      <c r="K382" s="77" t="str">
        <f t="shared" si="186"/>
        <v>burtoni</v>
      </c>
      <c r="L382" s="78">
        <f t="shared" si="186"/>
        <v>6</v>
      </c>
      <c r="M382" s="78">
        <f t="shared" si="186"/>
        <v>12</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INDEX([1]!VISITORS[INSECT ORDER], MATCH(X382,[1]!VISITORS[NAME USED],0))</f>
        <v>#REF!</v>
      </c>
      <c r="AB382" s="48" t="e">
        <f t="shared" si="166"/>
        <v>#REF!</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16</v>
      </c>
      <c r="D383" s="75">
        <f t="shared" si="159"/>
        <v>22</v>
      </c>
      <c r="E383" s="76">
        <f t="shared" si="160"/>
        <v>5</v>
      </c>
      <c r="F383" s="80"/>
      <c r="G383" s="83"/>
      <c r="H383" s="69" t="str">
        <f t="shared" si="182"/>
        <v>Senbur6_20191116_22_00</v>
      </c>
      <c r="I383" s="70">
        <f t="shared" si="186"/>
        <v>1</v>
      </c>
      <c r="J383" s="77" t="str">
        <f t="shared" si="186"/>
        <v>Senecio</v>
      </c>
      <c r="K383" s="77" t="str">
        <f t="shared" si="186"/>
        <v>burtoni</v>
      </c>
      <c r="L383" s="78">
        <f t="shared" si="186"/>
        <v>6</v>
      </c>
      <c r="M383" s="78">
        <f t="shared" si="186"/>
        <v>12</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INDEX([1]!VISITORS[INSECT ORDER], MATCH(X383,[1]!VISITORS[NAME USED],0))</f>
        <v>#REF!</v>
      </c>
      <c r="AB383" s="48" t="e">
        <f t="shared" si="166"/>
        <v>#REF!</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16</v>
      </c>
      <c r="D384" s="75">
        <f t="shared" si="159"/>
        <v>22</v>
      </c>
      <c r="E384" s="76">
        <f t="shared" si="160"/>
        <v>6</v>
      </c>
      <c r="F384" s="80"/>
      <c r="G384" s="83"/>
      <c r="H384" s="69" t="str">
        <f t="shared" si="182"/>
        <v>Senbur6_20191116_22_00</v>
      </c>
      <c r="I384" s="70">
        <f t="shared" si="186"/>
        <v>1</v>
      </c>
      <c r="J384" s="77" t="str">
        <f t="shared" si="186"/>
        <v>Senecio</v>
      </c>
      <c r="K384" s="77" t="str">
        <f t="shared" si="186"/>
        <v>burtoni</v>
      </c>
      <c r="L384" s="78">
        <f t="shared" si="186"/>
        <v>6</v>
      </c>
      <c r="M384" s="78">
        <f t="shared" si="186"/>
        <v>12</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INDEX([1]!VISITORS[INSECT ORDER], MATCH(X384,[1]!VISITORS[NAME USED],0))</f>
        <v>#REF!</v>
      </c>
      <c r="AB384" s="48" t="e">
        <f t="shared" si="166"/>
        <v>#REF!</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16</v>
      </c>
      <c r="D385" s="75">
        <f t="shared" si="159"/>
        <v>22</v>
      </c>
      <c r="E385" s="76">
        <f t="shared" si="160"/>
        <v>7</v>
      </c>
      <c r="F385" s="80"/>
      <c r="G385" s="83"/>
      <c r="H385" s="69" t="str">
        <f t="shared" si="182"/>
        <v>Senbur6_20191116_22_00</v>
      </c>
      <c r="I385" s="70">
        <f t="shared" si="186"/>
        <v>1</v>
      </c>
      <c r="J385" s="77" t="str">
        <f t="shared" si="186"/>
        <v>Senecio</v>
      </c>
      <c r="K385" s="77" t="str">
        <f t="shared" si="186"/>
        <v>burtoni</v>
      </c>
      <c r="L385" s="78">
        <f t="shared" si="186"/>
        <v>6</v>
      </c>
      <c r="M385" s="78">
        <f t="shared" si="186"/>
        <v>12</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INDEX([1]!VISITORS[INSECT ORDER], MATCH(X385,[1]!VISITORS[NAME USED],0))</f>
        <v>#REF!</v>
      </c>
      <c r="AB385" s="48" t="e">
        <f t="shared" si="166"/>
        <v>#REF!</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16</v>
      </c>
      <c r="D386" s="75">
        <f t="shared" si="159"/>
        <v>22</v>
      </c>
      <c r="E386" s="76">
        <f t="shared" si="160"/>
        <v>8</v>
      </c>
      <c r="F386" s="80"/>
      <c r="G386" s="83"/>
      <c r="H386" s="69" t="str">
        <f t="shared" si="182"/>
        <v>Senbur6_20191116_22_00</v>
      </c>
      <c r="I386" s="70">
        <f t="shared" si="186"/>
        <v>1</v>
      </c>
      <c r="J386" s="77" t="str">
        <f t="shared" si="186"/>
        <v>Senecio</v>
      </c>
      <c r="K386" s="77" t="str">
        <f t="shared" si="186"/>
        <v>burtoni</v>
      </c>
      <c r="L386" s="78">
        <f t="shared" si="186"/>
        <v>6</v>
      </c>
      <c r="M386" s="78">
        <f t="shared" si="186"/>
        <v>12</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INDEX([1]!VISITORS[INSECT ORDER], MATCH(X386,[1]!VISITORS[NAME USED],0))</f>
        <v>#REF!</v>
      </c>
      <c r="AB386" s="48" t="e">
        <f t="shared" si="166"/>
        <v>#REF!</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16</v>
      </c>
      <c r="D387" s="75">
        <f t="shared" si="159"/>
        <v>22</v>
      </c>
      <c r="E387" s="76">
        <f t="shared" si="160"/>
        <v>9</v>
      </c>
      <c r="F387" s="80"/>
      <c r="G387" s="83"/>
      <c r="H387" s="69" t="str">
        <f t="shared" si="182"/>
        <v>Senbur6_20191116_22_00</v>
      </c>
      <c r="I387" s="70">
        <f t="shared" si="186"/>
        <v>1</v>
      </c>
      <c r="J387" s="77" t="str">
        <f t="shared" si="186"/>
        <v>Senecio</v>
      </c>
      <c r="K387" s="77" t="str">
        <f t="shared" si="186"/>
        <v>burtoni</v>
      </c>
      <c r="L387" s="78">
        <f t="shared" si="186"/>
        <v>6</v>
      </c>
      <c r="M387" s="78">
        <f t="shared" si="186"/>
        <v>12</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INDEX([1]!VISITORS[INSECT ORDER], MATCH(X387,[1]!VISITORS[NAME USED],0))</f>
        <v>#REF!</v>
      </c>
      <c r="AB387" s="48" t="e">
        <f t="shared" si="166"/>
        <v>#REF!</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16</v>
      </c>
      <c r="D388" s="75">
        <f t="shared" ref="D388:D451" si="190">IF(IF(E387=59,D387+1,D387)=24,0,IF(E387=59,D387+1,D387))</f>
        <v>22</v>
      </c>
      <c r="E388" s="76">
        <f t="shared" ref="E388:E451" si="191">IF(E387&lt;59,E387+1,0)</f>
        <v>10</v>
      </c>
      <c r="F388" s="80"/>
      <c r="G388" s="83"/>
      <c r="H388" s="69" t="str">
        <f t="shared" si="182"/>
        <v>Senbur6_20191116_22_00</v>
      </c>
      <c r="I388" s="70">
        <f t="shared" si="186"/>
        <v>1</v>
      </c>
      <c r="J388" s="77" t="str">
        <f t="shared" si="186"/>
        <v>Senecio</v>
      </c>
      <c r="K388" s="77" t="str">
        <f t="shared" si="186"/>
        <v>burtoni</v>
      </c>
      <c r="L388" s="78">
        <f t="shared" si="186"/>
        <v>6</v>
      </c>
      <c r="M388" s="78">
        <f t="shared" si="186"/>
        <v>12</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INDEX([1]!VISITORS[INSECT ORDER], MATCH(X388,[1]!VISITORS[NAME USED],0))</f>
        <v>#REF!</v>
      </c>
      <c r="AB388" s="48" t="e">
        <f t="shared" ref="AB388:AB451" si="197">IF(AA388&lt;&gt;0,"NA","")</f>
        <v>#REF!</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16</v>
      </c>
      <c r="D389" s="75">
        <f t="shared" si="190"/>
        <v>22</v>
      </c>
      <c r="E389" s="76">
        <f t="shared" si="191"/>
        <v>11</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Senbur6_20191116_22_00</v>
      </c>
      <c r="I389" s="70">
        <f t="shared" ref="I389:N404" si="214">I388</f>
        <v>1</v>
      </c>
      <c r="J389" s="77" t="str">
        <f t="shared" si="214"/>
        <v>Senecio</v>
      </c>
      <c r="K389" s="77" t="str">
        <f t="shared" si="214"/>
        <v>burtoni</v>
      </c>
      <c r="L389" s="78">
        <f t="shared" si="214"/>
        <v>6</v>
      </c>
      <c r="M389" s="78">
        <f t="shared" si="214"/>
        <v>12</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INDEX([1]!VISITORS[INSECT ORDER], MATCH(X389,[1]!VISITORS[NAME USED],0))</f>
        <v>#REF!</v>
      </c>
      <c r="AB389" s="48" t="e">
        <f t="shared" si="197"/>
        <v>#REF!</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16</v>
      </c>
      <c r="D390" s="75">
        <f t="shared" si="190"/>
        <v>22</v>
      </c>
      <c r="E390" s="76">
        <f t="shared" si="191"/>
        <v>12</v>
      </c>
      <c r="F390" s="80"/>
      <c r="G390" s="83"/>
      <c r="H390" s="69" t="str">
        <f t="shared" si="213"/>
        <v>Senbur6_20191116_22_00</v>
      </c>
      <c r="I390" s="70">
        <f t="shared" si="214"/>
        <v>1</v>
      </c>
      <c r="J390" s="77" t="str">
        <f t="shared" si="214"/>
        <v>Senecio</v>
      </c>
      <c r="K390" s="77" t="str">
        <f t="shared" si="214"/>
        <v>burtoni</v>
      </c>
      <c r="L390" s="78">
        <f t="shared" si="214"/>
        <v>6</v>
      </c>
      <c r="M390" s="78">
        <f t="shared" si="214"/>
        <v>12</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INDEX([1]!VISITORS[INSECT ORDER], MATCH(X390,[1]!VISITORS[NAME USED],0))</f>
        <v>#REF!</v>
      </c>
      <c r="AB390" s="48" t="e">
        <f t="shared" si="197"/>
        <v>#REF!</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16</v>
      </c>
      <c r="D391" s="75">
        <f t="shared" si="190"/>
        <v>22</v>
      </c>
      <c r="E391" s="76">
        <f t="shared" si="191"/>
        <v>13</v>
      </c>
      <c r="F391" s="80"/>
      <c r="G391" s="83"/>
      <c r="H391" s="69" t="str">
        <f t="shared" si="213"/>
        <v>Senbur6_20191116_22_00</v>
      </c>
      <c r="I391" s="70">
        <f t="shared" si="214"/>
        <v>1</v>
      </c>
      <c r="J391" s="77" t="str">
        <f t="shared" si="214"/>
        <v>Senecio</v>
      </c>
      <c r="K391" s="77" t="str">
        <f t="shared" si="214"/>
        <v>burtoni</v>
      </c>
      <c r="L391" s="78">
        <f t="shared" si="214"/>
        <v>6</v>
      </c>
      <c r="M391" s="78">
        <f t="shared" si="214"/>
        <v>12</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INDEX([1]!VISITORS[INSECT ORDER], MATCH(X391,[1]!VISITORS[NAME USED],0))</f>
        <v>#REF!</v>
      </c>
      <c r="AB391" s="48" t="e">
        <f t="shared" si="197"/>
        <v>#REF!</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16</v>
      </c>
      <c r="D392" s="75">
        <f t="shared" si="190"/>
        <v>22</v>
      </c>
      <c r="E392" s="76">
        <f t="shared" si="191"/>
        <v>14</v>
      </c>
      <c r="F392" s="80"/>
      <c r="G392" s="83"/>
      <c r="H392" s="69" t="str">
        <f t="shared" si="213"/>
        <v>Senbur6_20191116_22_00</v>
      </c>
      <c r="I392" s="70">
        <f t="shared" si="214"/>
        <v>1</v>
      </c>
      <c r="J392" s="77" t="str">
        <f t="shared" si="214"/>
        <v>Senecio</v>
      </c>
      <c r="K392" s="77" t="str">
        <f t="shared" si="214"/>
        <v>burtoni</v>
      </c>
      <c r="L392" s="78">
        <f t="shared" si="214"/>
        <v>6</v>
      </c>
      <c r="M392" s="78">
        <f t="shared" si="214"/>
        <v>12</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INDEX([1]!VISITORS[INSECT ORDER], MATCH(X392,[1]!VISITORS[NAME USED],0))</f>
        <v>#REF!</v>
      </c>
      <c r="AB392" s="48" t="e">
        <f t="shared" si="197"/>
        <v>#REF!</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16</v>
      </c>
      <c r="D393" s="75">
        <f t="shared" si="190"/>
        <v>22</v>
      </c>
      <c r="E393" s="76">
        <f t="shared" si="191"/>
        <v>15</v>
      </c>
      <c r="F393" s="80"/>
      <c r="G393" s="83"/>
      <c r="H393" s="69" t="str">
        <f t="shared" si="213"/>
        <v>Senbur6_20191116_22_00</v>
      </c>
      <c r="I393" s="70">
        <f t="shared" si="214"/>
        <v>1</v>
      </c>
      <c r="J393" s="77" t="str">
        <f t="shared" si="214"/>
        <v>Senecio</v>
      </c>
      <c r="K393" s="77" t="str">
        <f t="shared" si="214"/>
        <v>burtoni</v>
      </c>
      <c r="L393" s="78">
        <f t="shared" si="214"/>
        <v>6</v>
      </c>
      <c r="M393" s="78">
        <f t="shared" si="214"/>
        <v>12</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INDEX([1]!VISITORS[INSECT ORDER], MATCH(X393,[1]!VISITORS[NAME USED],0))</f>
        <v>#REF!</v>
      </c>
      <c r="AB393" s="48" t="e">
        <f t="shared" si="197"/>
        <v>#REF!</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16</v>
      </c>
      <c r="D394" s="75">
        <f t="shared" si="190"/>
        <v>22</v>
      </c>
      <c r="E394" s="76">
        <f t="shared" si="191"/>
        <v>16</v>
      </c>
      <c r="F394" s="80"/>
      <c r="G394" s="83"/>
      <c r="H394" s="69" t="str">
        <f t="shared" si="213"/>
        <v>Senbur6_20191116_22_00</v>
      </c>
      <c r="I394" s="70">
        <f t="shared" si="214"/>
        <v>1</v>
      </c>
      <c r="J394" s="77" t="str">
        <f t="shared" si="214"/>
        <v>Senecio</v>
      </c>
      <c r="K394" s="77" t="str">
        <f t="shared" si="214"/>
        <v>burtoni</v>
      </c>
      <c r="L394" s="78">
        <f t="shared" si="214"/>
        <v>6</v>
      </c>
      <c r="M394" s="78">
        <f t="shared" si="214"/>
        <v>12</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INDEX([1]!VISITORS[INSECT ORDER], MATCH(X394,[1]!VISITORS[NAME USED],0))</f>
        <v>#REF!</v>
      </c>
      <c r="AB394" s="48" t="e">
        <f t="shared" si="197"/>
        <v>#REF!</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16</v>
      </c>
      <c r="D395" s="75">
        <f t="shared" si="190"/>
        <v>22</v>
      </c>
      <c r="E395" s="76">
        <f t="shared" si="191"/>
        <v>17</v>
      </c>
      <c r="F395" s="80"/>
      <c r="G395" s="83"/>
      <c r="H395" s="69" t="str">
        <f t="shared" si="213"/>
        <v>Senbur6_20191116_22_00</v>
      </c>
      <c r="I395" s="70">
        <f t="shared" si="214"/>
        <v>1</v>
      </c>
      <c r="J395" s="77" t="str">
        <f t="shared" si="214"/>
        <v>Senecio</v>
      </c>
      <c r="K395" s="77" t="str">
        <f t="shared" si="214"/>
        <v>burtoni</v>
      </c>
      <c r="L395" s="78">
        <f t="shared" si="214"/>
        <v>6</v>
      </c>
      <c r="M395" s="78">
        <f t="shared" si="214"/>
        <v>12</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INDEX([1]!VISITORS[INSECT ORDER], MATCH(X395,[1]!VISITORS[NAME USED],0))</f>
        <v>#REF!</v>
      </c>
      <c r="AB395" s="48" t="e">
        <f t="shared" si="197"/>
        <v>#REF!</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16</v>
      </c>
      <c r="D396" s="75">
        <f t="shared" si="190"/>
        <v>22</v>
      </c>
      <c r="E396" s="76">
        <f t="shared" si="191"/>
        <v>18</v>
      </c>
      <c r="F396" s="80"/>
      <c r="G396" s="83"/>
      <c r="H396" s="69" t="str">
        <f t="shared" si="213"/>
        <v>Senbur6_20191116_22_00</v>
      </c>
      <c r="I396" s="70">
        <f t="shared" si="214"/>
        <v>1</v>
      </c>
      <c r="J396" s="77" t="str">
        <f t="shared" si="214"/>
        <v>Senecio</v>
      </c>
      <c r="K396" s="77" t="str">
        <f t="shared" si="214"/>
        <v>burtoni</v>
      </c>
      <c r="L396" s="78">
        <f t="shared" si="214"/>
        <v>6</v>
      </c>
      <c r="M396" s="78">
        <f t="shared" si="214"/>
        <v>12</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INDEX([1]!VISITORS[INSECT ORDER], MATCH(X396,[1]!VISITORS[NAME USED],0))</f>
        <v>#REF!</v>
      </c>
      <c r="AB396" s="48" t="e">
        <f t="shared" si="197"/>
        <v>#REF!</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16</v>
      </c>
      <c r="D397" s="75">
        <f t="shared" si="190"/>
        <v>22</v>
      </c>
      <c r="E397" s="76">
        <f t="shared" si="191"/>
        <v>19</v>
      </c>
      <c r="F397" s="80"/>
      <c r="G397" s="83"/>
      <c r="H397" s="69" t="str">
        <f t="shared" si="213"/>
        <v>Senbur6_20191116_22_00</v>
      </c>
      <c r="I397" s="70">
        <f t="shared" si="214"/>
        <v>1</v>
      </c>
      <c r="J397" s="77" t="str">
        <f t="shared" si="214"/>
        <v>Senecio</v>
      </c>
      <c r="K397" s="77" t="str">
        <f t="shared" si="214"/>
        <v>burtoni</v>
      </c>
      <c r="L397" s="78">
        <f t="shared" si="214"/>
        <v>6</v>
      </c>
      <c r="M397" s="78">
        <f t="shared" si="214"/>
        <v>12</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INDEX([1]!VISITORS[INSECT ORDER], MATCH(X397,[1]!VISITORS[NAME USED],0))</f>
        <v>#REF!</v>
      </c>
      <c r="AB397" s="48" t="e">
        <f t="shared" si="197"/>
        <v>#REF!</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16</v>
      </c>
      <c r="D398" s="75">
        <f t="shared" si="190"/>
        <v>22</v>
      </c>
      <c r="E398" s="76">
        <f t="shared" si="191"/>
        <v>20</v>
      </c>
      <c r="F398" s="80"/>
      <c r="G398" s="83"/>
      <c r="H398" s="69" t="str">
        <f t="shared" si="213"/>
        <v>Senbur6_20191116_22_00</v>
      </c>
      <c r="I398" s="70">
        <f t="shared" si="214"/>
        <v>1</v>
      </c>
      <c r="J398" s="77" t="str">
        <f t="shared" si="214"/>
        <v>Senecio</v>
      </c>
      <c r="K398" s="77" t="str">
        <f t="shared" si="214"/>
        <v>burtoni</v>
      </c>
      <c r="L398" s="78">
        <f t="shared" si="214"/>
        <v>6</v>
      </c>
      <c r="M398" s="78">
        <f t="shared" si="214"/>
        <v>12</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INDEX([1]!VISITORS[INSECT ORDER], MATCH(X398,[1]!VISITORS[NAME USED],0))</f>
        <v>#REF!</v>
      </c>
      <c r="AB398" s="48" t="e">
        <f t="shared" si="197"/>
        <v>#REF!</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16</v>
      </c>
      <c r="D399" s="75">
        <f t="shared" si="190"/>
        <v>22</v>
      </c>
      <c r="E399" s="76">
        <f t="shared" si="191"/>
        <v>21</v>
      </c>
      <c r="F399" s="80"/>
      <c r="G399" s="83"/>
      <c r="H399" s="69" t="str">
        <f t="shared" si="213"/>
        <v>Senbur6_20191116_22_00</v>
      </c>
      <c r="I399" s="70">
        <f t="shared" si="214"/>
        <v>1</v>
      </c>
      <c r="J399" s="77" t="str">
        <f t="shared" si="214"/>
        <v>Senecio</v>
      </c>
      <c r="K399" s="77" t="str">
        <f t="shared" si="214"/>
        <v>burtoni</v>
      </c>
      <c r="L399" s="78">
        <f t="shared" si="214"/>
        <v>6</v>
      </c>
      <c r="M399" s="78">
        <f t="shared" si="214"/>
        <v>12</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INDEX([1]!VISITORS[INSECT ORDER], MATCH(X399,[1]!VISITORS[NAME USED],0))</f>
        <v>#REF!</v>
      </c>
      <c r="AB399" s="48" t="e">
        <f t="shared" si="197"/>
        <v>#REF!</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16</v>
      </c>
      <c r="D400" s="75">
        <f t="shared" si="190"/>
        <v>22</v>
      </c>
      <c r="E400" s="76">
        <f t="shared" si="191"/>
        <v>22</v>
      </c>
      <c r="F400" s="80"/>
      <c r="G400" s="83"/>
      <c r="H400" s="69" t="str">
        <f t="shared" si="213"/>
        <v>Senbur6_20191116_22_00</v>
      </c>
      <c r="I400" s="70">
        <f t="shared" si="214"/>
        <v>1</v>
      </c>
      <c r="J400" s="77" t="str">
        <f t="shared" si="214"/>
        <v>Senecio</v>
      </c>
      <c r="K400" s="77" t="str">
        <f t="shared" si="214"/>
        <v>burtoni</v>
      </c>
      <c r="L400" s="78">
        <f t="shared" si="214"/>
        <v>6</v>
      </c>
      <c r="M400" s="78">
        <f t="shared" si="214"/>
        <v>12</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INDEX([1]!VISITORS[INSECT ORDER], MATCH(X400,[1]!VISITORS[NAME USED],0))</f>
        <v>#REF!</v>
      </c>
      <c r="AB400" s="48" t="e">
        <f t="shared" si="197"/>
        <v>#REF!</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16</v>
      </c>
      <c r="D401" s="75">
        <f t="shared" si="190"/>
        <v>22</v>
      </c>
      <c r="E401" s="76">
        <f t="shared" si="191"/>
        <v>23</v>
      </c>
      <c r="F401" s="80"/>
      <c r="G401" s="83"/>
      <c r="H401" s="69" t="str">
        <f t="shared" si="213"/>
        <v>Senbur6_20191116_22_00</v>
      </c>
      <c r="I401" s="70">
        <f t="shared" si="214"/>
        <v>1</v>
      </c>
      <c r="J401" s="77" t="str">
        <f t="shared" si="214"/>
        <v>Senecio</v>
      </c>
      <c r="K401" s="77" t="str">
        <f t="shared" si="214"/>
        <v>burtoni</v>
      </c>
      <c r="L401" s="78">
        <f t="shared" si="214"/>
        <v>6</v>
      </c>
      <c r="M401" s="78">
        <f t="shared" si="214"/>
        <v>12</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INDEX([1]!VISITORS[INSECT ORDER], MATCH(X401,[1]!VISITORS[NAME USED],0))</f>
        <v>#REF!</v>
      </c>
      <c r="AB401" s="48" t="e">
        <f t="shared" si="197"/>
        <v>#REF!</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16</v>
      </c>
      <c r="D402" s="75">
        <f t="shared" si="190"/>
        <v>22</v>
      </c>
      <c r="E402" s="76">
        <f t="shared" si="191"/>
        <v>24</v>
      </c>
      <c r="F402" s="80"/>
      <c r="G402" s="83"/>
      <c r="H402" s="69" t="str">
        <f t="shared" si="213"/>
        <v>Senbur6_20191116_22_00</v>
      </c>
      <c r="I402" s="70">
        <f t="shared" si="214"/>
        <v>1</v>
      </c>
      <c r="J402" s="77" t="str">
        <f t="shared" si="214"/>
        <v>Senecio</v>
      </c>
      <c r="K402" s="77" t="str">
        <f t="shared" si="214"/>
        <v>burtoni</v>
      </c>
      <c r="L402" s="78">
        <f t="shared" si="214"/>
        <v>6</v>
      </c>
      <c r="M402" s="78">
        <f t="shared" si="214"/>
        <v>12</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INDEX([1]!VISITORS[INSECT ORDER], MATCH(X402,[1]!VISITORS[NAME USED],0))</f>
        <v>#REF!</v>
      </c>
      <c r="AB402" s="48" t="e">
        <f t="shared" si="197"/>
        <v>#REF!</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16</v>
      </c>
      <c r="D403" s="75">
        <f t="shared" si="190"/>
        <v>22</v>
      </c>
      <c r="E403" s="76">
        <f t="shared" si="191"/>
        <v>25</v>
      </c>
      <c r="F403" s="80"/>
      <c r="G403" s="83"/>
      <c r="H403" s="69" t="str">
        <f t="shared" si="213"/>
        <v>Senbur6_20191116_22_00</v>
      </c>
      <c r="I403" s="70">
        <f t="shared" si="214"/>
        <v>1</v>
      </c>
      <c r="J403" s="77" t="str">
        <f t="shared" si="214"/>
        <v>Senecio</v>
      </c>
      <c r="K403" s="77" t="str">
        <f t="shared" si="214"/>
        <v>burtoni</v>
      </c>
      <c r="L403" s="78">
        <f t="shared" si="214"/>
        <v>6</v>
      </c>
      <c r="M403" s="78">
        <f t="shared" si="214"/>
        <v>12</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INDEX([1]!VISITORS[INSECT ORDER], MATCH(X403,[1]!VISITORS[NAME USED],0))</f>
        <v>#REF!</v>
      </c>
      <c r="AB403" s="48" t="e">
        <f t="shared" si="197"/>
        <v>#REF!</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16</v>
      </c>
      <c r="D404" s="75">
        <f t="shared" si="190"/>
        <v>22</v>
      </c>
      <c r="E404" s="76">
        <f t="shared" si="191"/>
        <v>26</v>
      </c>
      <c r="F404" s="80"/>
      <c r="G404" s="83"/>
      <c r="H404" s="69" t="str">
        <f t="shared" si="213"/>
        <v>Senbur6_20191116_22_00</v>
      </c>
      <c r="I404" s="70">
        <f t="shared" si="214"/>
        <v>1</v>
      </c>
      <c r="J404" s="77" t="str">
        <f t="shared" si="214"/>
        <v>Senecio</v>
      </c>
      <c r="K404" s="77" t="str">
        <f t="shared" si="214"/>
        <v>burtoni</v>
      </c>
      <c r="L404" s="78">
        <f t="shared" si="214"/>
        <v>6</v>
      </c>
      <c r="M404" s="78">
        <f t="shared" si="214"/>
        <v>12</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INDEX([1]!VISITORS[INSECT ORDER], MATCH(X404,[1]!VISITORS[NAME USED],0))</f>
        <v>#REF!</v>
      </c>
      <c r="AB404" s="48" t="e">
        <f t="shared" si="197"/>
        <v>#REF!</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16</v>
      </c>
      <c r="D405" s="75">
        <f t="shared" si="190"/>
        <v>22</v>
      </c>
      <c r="E405" s="76">
        <f t="shared" si="191"/>
        <v>27</v>
      </c>
      <c r="F405" s="80"/>
      <c r="G405" s="83"/>
      <c r="H405" s="69" t="str">
        <f t="shared" si="213"/>
        <v>Senbur6_20191116_22_00</v>
      </c>
      <c r="I405" s="70">
        <f t="shared" ref="I405:N420" si="215">I404</f>
        <v>1</v>
      </c>
      <c r="J405" s="77" t="str">
        <f t="shared" si="215"/>
        <v>Senecio</v>
      </c>
      <c r="K405" s="77" t="str">
        <f t="shared" si="215"/>
        <v>burtoni</v>
      </c>
      <c r="L405" s="78">
        <f t="shared" si="215"/>
        <v>6</v>
      </c>
      <c r="M405" s="78">
        <f t="shared" si="215"/>
        <v>12</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INDEX([1]!VISITORS[INSECT ORDER], MATCH(X405,[1]!VISITORS[NAME USED],0))</f>
        <v>#REF!</v>
      </c>
      <c r="AB405" s="48" t="e">
        <f t="shared" si="197"/>
        <v>#REF!</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16</v>
      </c>
      <c r="D406" s="75">
        <f t="shared" si="190"/>
        <v>22</v>
      </c>
      <c r="E406" s="76">
        <f t="shared" si="191"/>
        <v>28</v>
      </c>
      <c r="F406" s="80"/>
      <c r="G406" s="83"/>
      <c r="H406" s="69" t="str">
        <f t="shared" si="213"/>
        <v>Senbur6_20191116_22_00</v>
      </c>
      <c r="I406" s="70">
        <f t="shared" si="215"/>
        <v>1</v>
      </c>
      <c r="J406" s="77" t="str">
        <f t="shared" si="215"/>
        <v>Senecio</v>
      </c>
      <c r="K406" s="77" t="str">
        <f t="shared" si="215"/>
        <v>burtoni</v>
      </c>
      <c r="L406" s="78">
        <f t="shared" si="215"/>
        <v>6</v>
      </c>
      <c r="M406" s="78">
        <f t="shared" si="215"/>
        <v>12</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INDEX([1]!VISITORS[INSECT ORDER], MATCH(X406,[1]!VISITORS[NAME USED],0))</f>
        <v>#REF!</v>
      </c>
      <c r="AB406" s="48" t="e">
        <f t="shared" si="197"/>
        <v>#REF!</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16</v>
      </c>
      <c r="D407" s="75">
        <f t="shared" si="190"/>
        <v>22</v>
      </c>
      <c r="E407" s="76">
        <f t="shared" si="191"/>
        <v>29</v>
      </c>
      <c r="F407" s="80"/>
      <c r="G407" s="83"/>
      <c r="H407" s="69" t="str">
        <f t="shared" si="213"/>
        <v>Senbur6_20191116_22_00</v>
      </c>
      <c r="I407" s="70">
        <f t="shared" si="215"/>
        <v>1</v>
      </c>
      <c r="J407" s="77" t="str">
        <f t="shared" si="215"/>
        <v>Senecio</v>
      </c>
      <c r="K407" s="77" t="str">
        <f t="shared" si="215"/>
        <v>burtoni</v>
      </c>
      <c r="L407" s="78">
        <f t="shared" si="215"/>
        <v>6</v>
      </c>
      <c r="M407" s="78">
        <f t="shared" si="215"/>
        <v>12</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INDEX([1]!VISITORS[INSECT ORDER], MATCH(X407,[1]!VISITORS[NAME USED],0))</f>
        <v>#REF!</v>
      </c>
      <c r="AB407" s="48" t="e">
        <f t="shared" si="197"/>
        <v>#REF!</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16</v>
      </c>
      <c r="D408" s="75">
        <f t="shared" si="190"/>
        <v>22</v>
      </c>
      <c r="E408" s="76">
        <f t="shared" si="191"/>
        <v>30</v>
      </c>
      <c r="F408" s="80"/>
      <c r="G408" s="83"/>
      <c r="H408" s="69" t="str">
        <f t="shared" si="213"/>
        <v>Senbur6_20191116_22_00</v>
      </c>
      <c r="I408" s="70">
        <f t="shared" si="215"/>
        <v>1</v>
      </c>
      <c r="J408" s="77" t="str">
        <f t="shared" si="215"/>
        <v>Senecio</v>
      </c>
      <c r="K408" s="77" t="str">
        <f t="shared" si="215"/>
        <v>burtoni</v>
      </c>
      <c r="L408" s="78">
        <f t="shared" si="215"/>
        <v>6</v>
      </c>
      <c r="M408" s="78">
        <f t="shared" si="215"/>
        <v>12</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INDEX([1]!VISITORS[INSECT ORDER], MATCH(X408,[1]!VISITORS[NAME USED],0))</f>
        <v>#REF!</v>
      </c>
      <c r="AB408" s="48" t="e">
        <f t="shared" si="197"/>
        <v>#REF!</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16</v>
      </c>
      <c r="D409" s="75">
        <f t="shared" si="190"/>
        <v>22</v>
      </c>
      <c r="E409" s="76">
        <f t="shared" si="191"/>
        <v>31</v>
      </c>
      <c r="F409" s="80"/>
      <c r="G409" s="83"/>
      <c r="H409" s="69" t="str">
        <f t="shared" si="213"/>
        <v>Senbur6_20191116_22_00</v>
      </c>
      <c r="I409" s="70">
        <f t="shared" si="215"/>
        <v>1</v>
      </c>
      <c r="J409" s="77" t="str">
        <f t="shared" si="215"/>
        <v>Senecio</v>
      </c>
      <c r="K409" s="77" t="str">
        <f t="shared" si="215"/>
        <v>burtoni</v>
      </c>
      <c r="L409" s="78">
        <f t="shared" si="215"/>
        <v>6</v>
      </c>
      <c r="M409" s="78">
        <f t="shared" si="215"/>
        <v>12</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INDEX([1]!VISITORS[INSECT ORDER], MATCH(X409,[1]!VISITORS[NAME USED],0))</f>
        <v>#REF!</v>
      </c>
      <c r="AB409" s="48" t="e">
        <f t="shared" si="197"/>
        <v>#REF!</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16</v>
      </c>
      <c r="D410" s="75">
        <f t="shared" si="190"/>
        <v>22</v>
      </c>
      <c r="E410" s="76">
        <f t="shared" si="191"/>
        <v>32</v>
      </c>
      <c r="F410" s="80"/>
      <c r="G410" s="83"/>
      <c r="H410" s="69" t="str">
        <f t="shared" si="213"/>
        <v>Senbur6_20191116_22_00</v>
      </c>
      <c r="I410" s="70">
        <f t="shared" si="215"/>
        <v>1</v>
      </c>
      <c r="J410" s="77" t="str">
        <f t="shared" si="215"/>
        <v>Senecio</v>
      </c>
      <c r="K410" s="77" t="str">
        <f t="shared" si="215"/>
        <v>burtoni</v>
      </c>
      <c r="L410" s="78">
        <f t="shared" si="215"/>
        <v>6</v>
      </c>
      <c r="M410" s="78">
        <f t="shared" si="215"/>
        <v>12</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INDEX([1]!VISITORS[INSECT ORDER], MATCH(X410,[1]!VISITORS[NAME USED],0))</f>
        <v>#REF!</v>
      </c>
      <c r="AB410" s="48" t="e">
        <f t="shared" si="197"/>
        <v>#REF!</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16</v>
      </c>
      <c r="D411" s="75">
        <f t="shared" si="190"/>
        <v>22</v>
      </c>
      <c r="E411" s="76">
        <f t="shared" si="191"/>
        <v>33</v>
      </c>
      <c r="F411" s="80"/>
      <c r="G411" s="83"/>
      <c r="H411" s="69" t="str">
        <f t="shared" si="213"/>
        <v>Senbur6_20191116_22_00</v>
      </c>
      <c r="I411" s="70">
        <f t="shared" si="215"/>
        <v>1</v>
      </c>
      <c r="J411" s="77" t="str">
        <f t="shared" si="215"/>
        <v>Senecio</v>
      </c>
      <c r="K411" s="77" t="str">
        <f t="shared" si="215"/>
        <v>burtoni</v>
      </c>
      <c r="L411" s="78">
        <f t="shared" si="215"/>
        <v>6</v>
      </c>
      <c r="M411" s="78">
        <f t="shared" si="215"/>
        <v>12</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INDEX([1]!VISITORS[INSECT ORDER], MATCH(X411,[1]!VISITORS[NAME USED],0))</f>
        <v>#REF!</v>
      </c>
      <c r="AB411" s="48" t="e">
        <f t="shared" si="197"/>
        <v>#REF!</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16</v>
      </c>
      <c r="D412" s="75">
        <f t="shared" si="190"/>
        <v>22</v>
      </c>
      <c r="E412" s="76">
        <f t="shared" si="191"/>
        <v>34</v>
      </c>
      <c r="F412" s="80"/>
      <c r="G412" s="83"/>
      <c r="H412" s="69" t="str">
        <f t="shared" si="213"/>
        <v>Senbur6_20191116_22_00</v>
      </c>
      <c r="I412" s="70">
        <f t="shared" si="215"/>
        <v>1</v>
      </c>
      <c r="J412" s="77" t="str">
        <f t="shared" si="215"/>
        <v>Senecio</v>
      </c>
      <c r="K412" s="77" t="str">
        <f t="shared" si="215"/>
        <v>burtoni</v>
      </c>
      <c r="L412" s="78">
        <f t="shared" si="215"/>
        <v>6</v>
      </c>
      <c r="M412" s="78">
        <f t="shared" si="215"/>
        <v>12</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INDEX([1]!VISITORS[INSECT ORDER], MATCH(X412,[1]!VISITORS[NAME USED],0))</f>
        <v>#REF!</v>
      </c>
      <c r="AB412" s="48" t="e">
        <f t="shared" si="197"/>
        <v>#REF!</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16</v>
      </c>
      <c r="D413" s="75">
        <f t="shared" si="190"/>
        <v>22</v>
      </c>
      <c r="E413" s="76">
        <f t="shared" si="191"/>
        <v>35</v>
      </c>
      <c r="F413" s="80"/>
      <c r="G413" s="83"/>
      <c r="H413" s="69" t="str">
        <f t="shared" si="213"/>
        <v>Senbur6_20191116_22_00</v>
      </c>
      <c r="I413" s="70">
        <f t="shared" si="215"/>
        <v>1</v>
      </c>
      <c r="J413" s="77" t="str">
        <f t="shared" si="215"/>
        <v>Senecio</v>
      </c>
      <c r="K413" s="77" t="str">
        <f t="shared" si="215"/>
        <v>burtoni</v>
      </c>
      <c r="L413" s="78">
        <f t="shared" si="215"/>
        <v>6</v>
      </c>
      <c r="M413" s="78">
        <f t="shared" si="215"/>
        <v>12</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INDEX([1]!VISITORS[INSECT ORDER], MATCH(X413,[1]!VISITORS[NAME USED],0))</f>
        <v>#REF!</v>
      </c>
      <c r="AB413" s="48" t="e">
        <f t="shared" si="197"/>
        <v>#REF!</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16</v>
      </c>
      <c r="D414" s="75">
        <f t="shared" si="190"/>
        <v>22</v>
      </c>
      <c r="E414" s="76">
        <f t="shared" si="191"/>
        <v>36</v>
      </c>
      <c r="F414" s="80"/>
      <c r="G414" s="83"/>
      <c r="H414" s="69" t="str">
        <f t="shared" si="213"/>
        <v>Senbur6_20191116_22_00</v>
      </c>
      <c r="I414" s="70">
        <f t="shared" si="215"/>
        <v>1</v>
      </c>
      <c r="J414" s="77" t="str">
        <f t="shared" si="215"/>
        <v>Senecio</v>
      </c>
      <c r="K414" s="77" t="str">
        <f t="shared" si="215"/>
        <v>burtoni</v>
      </c>
      <c r="L414" s="78">
        <f t="shared" si="215"/>
        <v>6</v>
      </c>
      <c r="M414" s="78">
        <f t="shared" si="215"/>
        <v>12</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INDEX([1]!VISITORS[INSECT ORDER], MATCH(X414,[1]!VISITORS[NAME USED],0))</f>
        <v>#REF!</v>
      </c>
      <c r="AB414" s="48" t="e">
        <f t="shared" si="197"/>
        <v>#REF!</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16</v>
      </c>
      <c r="D415" s="75">
        <f t="shared" si="190"/>
        <v>22</v>
      </c>
      <c r="E415" s="76">
        <f t="shared" si="191"/>
        <v>37</v>
      </c>
      <c r="F415" s="80"/>
      <c r="G415" s="83"/>
      <c r="H415" s="69" t="str">
        <f t="shared" si="213"/>
        <v>Senbur6_20191116_22_00</v>
      </c>
      <c r="I415" s="70">
        <f t="shared" si="215"/>
        <v>1</v>
      </c>
      <c r="J415" s="77" t="str">
        <f t="shared" si="215"/>
        <v>Senecio</v>
      </c>
      <c r="K415" s="77" t="str">
        <f t="shared" si="215"/>
        <v>burtoni</v>
      </c>
      <c r="L415" s="78">
        <f t="shared" si="215"/>
        <v>6</v>
      </c>
      <c r="M415" s="78">
        <f t="shared" si="215"/>
        <v>12</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INDEX([1]!VISITORS[INSECT ORDER], MATCH(X415,[1]!VISITORS[NAME USED],0))</f>
        <v>#REF!</v>
      </c>
      <c r="AB415" s="48" t="e">
        <f t="shared" si="197"/>
        <v>#REF!</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16</v>
      </c>
      <c r="D416" s="75">
        <f t="shared" si="190"/>
        <v>22</v>
      </c>
      <c r="E416" s="76">
        <f t="shared" si="191"/>
        <v>38</v>
      </c>
      <c r="F416" s="80"/>
      <c r="G416" s="83"/>
      <c r="H416" s="69" t="str">
        <f t="shared" si="213"/>
        <v>Senbur6_20191116_22_00</v>
      </c>
      <c r="I416" s="70">
        <f t="shared" si="215"/>
        <v>1</v>
      </c>
      <c r="J416" s="77" t="str">
        <f t="shared" si="215"/>
        <v>Senecio</v>
      </c>
      <c r="K416" s="77" t="str">
        <f t="shared" si="215"/>
        <v>burtoni</v>
      </c>
      <c r="L416" s="78">
        <f t="shared" si="215"/>
        <v>6</v>
      </c>
      <c r="M416" s="78">
        <f t="shared" si="215"/>
        <v>12</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INDEX([1]!VISITORS[INSECT ORDER], MATCH(X416,[1]!VISITORS[NAME USED],0))</f>
        <v>#REF!</v>
      </c>
      <c r="AB416" s="48" t="e">
        <f t="shared" si="197"/>
        <v>#REF!</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16</v>
      </c>
      <c r="D417" s="75">
        <f t="shared" si="190"/>
        <v>22</v>
      </c>
      <c r="E417" s="76">
        <f t="shared" si="191"/>
        <v>39</v>
      </c>
      <c r="F417" s="80"/>
      <c r="G417" s="83"/>
      <c r="H417" s="69" t="str">
        <f t="shared" si="213"/>
        <v>Senbur6_20191116_22_00</v>
      </c>
      <c r="I417" s="70">
        <f t="shared" si="215"/>
        <v>1</v>
      </c>
      <c r="J417" s="77" t="str">
        <f t="shared" si="215"/>
        <v>Senecio</v>
      </c>
      <c r="K417" s="77" t="str">
        <f t="shared" si="215"/>
        <v>burtoni</v>
      </c>
      <c r="L417" s="78">
        <f t="shared" si="215"/>
        <v>6</v>
      </c>
      <c r="M417" s="78">
        <f t="shared" si="215"/>
        <v>12</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INDEX([1]!VISITORS[INSECT ORDER], MATCH(X417,[1]!VISITORS[NAME USED],0))</f>
        <v>#REF!</v>
      </c>
      <c r="AB417" s="48" t="e">
        <f t="shared" si="197"/>
        <v>#REF!</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16</v>
      </c>
      <c r="D418" s="75">
        <f t="shared" si="190"/>
        <v>22</v>
      </c>
      <c r="E418" s="76">
        <f t="shared" si="191"/>
        <v>40</v>
      </c>
      <c r="F418" s="80"/>
      <c r="G418" s="83"/>
      <c r="H418" s="69" t="str">
        <f t="shared" si="213"/>
        <v>Senbur6_20191116_22_00</v>
      </c>
      <c r="I418" s="70">
        <f t="shared" si="215"/>
        <v>1</v>
      </c>
      <c r="J418" s="77" t="str">
        <f t="shared" si="215"/>
        <v>Senecio</v>
      </c>
      <c r="K418" s="77" t="str">
        <f t="shared" si="215"/>
        <v>burtoni</v>
      </c>
      <c r="L418" s="78">
        <f t="shared" si="215"/>
        <v>6</v>
      </c>
      <c r="M418" s="78">
        <f t="shared" si="215"/>
        <v>12</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INDEX([1]!VISITORS[INSECT ORDER], MATCH(X418,[1]!VISITORS[NAME USED],0))</f>
        <v>#REF!</v>
      </c>
      <c r="AB418" s="48" t="e">
        <f t="shared" si="197"/>
        <v>#REF!</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16</v>
      </c>
      <c r="D419" s="75">
        <f t="shared" si="190"/>
        <v>22</v>
      </c>
      <c r="E419" s="76">
        <f t="shared" si="191"/>
        <v>41</v>
      </c>
      <c r="F419" s="80"/>
      <c r="G419" s="83"/>
      <c r="H419" s="69" t="str">
        <f t="shared" si="213"/>
        <v>Senbur6_20191116_22_00</v>
      </c>
      <c r="I419" s="70">
        <f t="shared" si="215"/>
        <v>1</v>
      </c>
      <c r="J419" s="77" t="str">
        <f t="shared" si="215"/>
        <v>Senecio</v>
      </c>
      <c r="K419" s="77" t="str">
        <f t="shared" si="215"/>
        <v>burtoni</v>
      </c>
      <c r="L419" s="78">
        <f t="shared" si="215"/>
        <v>6</v>
      </c>
      <c r="M419" s="78">
        <f t="shared" si="215"/>
        <v>12</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INDEX([1]!VISITORS[INSECT ORDER], MATCH(X419,[1]!VISITORS[NAME USED],0))</f>
        <v>#REF!</v>
      </c>
      <c r="AB419" s="48" t="e">
        <f t="shared" si="197"/>
        <v>#REF!</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16</v>
      </c>
      <c r="D420" s="75">
        <f t="shared" si="190"/>
        <v>22</v>
      </c>
      <c r="E420" s="76">
        <f t="shared" si="191"/>
        <v>42</v>
      </c>
      <c r="F420" s="80"/>
      <c r="G420" s="83"/>
      <c r="H420" s="69" t="str">
        <f t="shared" si="213"/>
        <v>Senbur6_20191116_22_00</v>
      </c>
      <c r="I420" s="70">
        <f t="shared" si="215"/>
        <v>1</v>
      </c>
      <c r="J420" s="77" t="str">
        <f t="shared" si="215"/>
        <v>Senecio</v>
      </c>
      <c r="K420" s="77" t="str">
        <f t="shared" si="215"/>
        <v>burtoni</v>
      </c>
      <c r="L420" s="78">
        <f t="shared" si="215"/>
        <v>6</v>
      </c>
      <c r="M420" s="78">
        <f t="shared" si="215"/>
        <v>12</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INDEX([1]!VISITORS[INSECT ORDER], MATCH(X420,[1]!VISITORS[NAME USED],0))</f>
        <v>#REF!</v>
      </c>
      <c r="AB420" s="48" t="e">
        <f t="shared" si="197"/>
        <v>#REF!</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16</v>
      </c>
      <c r="D421" s="75">
        <f t="shared" si="190"/>
        <v>22</v>
      </c>
      <c r="E421" s="76">
        <f t="shared" si="191"/>
        <v>43</v>
      </c>
      <c r="F421" s="80"/>
      <c r="G421" s="83"/>
      <c r="H421" s="69" t="str">
        <f t="shared" si="213"/>
        <v>Senbur6_20191116_22_00</v>
      </c>
      <c r="I421" s="70">
        <f t="shared" ref="I421:N436" si="216">I420</f>
        <v>1</v>
      </c>
      <c r="J421" s="77" t="str">
        <f t="shared" si="216"/>
        <v>Senecio</v>
      </c>
      <c r="K421" s="77" t="str">
        <f t="shared" si="216"/>
        <v>burtoni</v>
      </c>
      <c r="L421" s="78">
        <f t="shared" si="216"/>
        <v>6</v>
      </c>
      <c r="M421" s="78">
        <f t="shared" si="216"/>
        <v>12</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INDEX([1]!VISITORS[INSECT ORDER], MATCH(X421,[1]!VISITORS[NAME USED],0))</f>
        <v>#REF!</v>
      </c>
      <c r="AB421" s="48" t="e">
        <f t="shared" si="197"/>
        <v>#REF!</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16</v>
      </c>
      <c r="D422" s="75">
        <f t="shared" si="190"/>
        <v>22</v>
      </c>
      <c r="E422" s="76">
        <f t="shared" si="191"/>
        <v>44</v>
      </c>
      <c r="F422" s="80"/>
      <c r="G422" s="83"/>
      <c r="H422" s="69" t="str">
        <f t="shared" si="213"/>
        <v>Senbur6_20191116_22_00</v>
      </c>
      <c r="I422" s="70">
        <f t="shared" si="216"/>
        <v>1</v>
      </c>
      <c r="J422" s="77" t="str">
        <f t="shared" si="216"/>
        <v>Senecio</v>
      </c>
      <c r="K422" s="77" t="str">
        <f t="shared" si="216"/>
        <v>burtoni</v>
      </c>
      <c r="L422" s="78">
        <f t="shared" si="216"/>
        <v>6</v>
      </c>
      <c r="M422" s="78">
        <f t="shared" si="216"/>
        <v>12</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INDEX([1]!VISITORS[INSECT ORDER], MATCH(X422,[1]!VISITORS[NAME USED],0))</f>
        <v>#REF!</v>
      </c>
      <c r="AB422" s="48" t="e">
        <f t="shared" si="197"/>
        <v>#REF!</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16</v>
      </c>
      <c r="D423" s="75">
        <f t="shared" si="190"/>
        <v>22</v>
      </c>
      <c r="E423" s="76">
        <f t="shared" si="191"/>
        <v>45</v>
      </c>
      <c r="F423" s="80"/>
      <c r="G423" s="83"/>
      <c r="H423" s="69" t="str">
        <f t="shared" si="213"/>
        <v>Senbur6_20191116_22_00</v>
      </c>
      <c r="I423" s="70">
        <f t="shared" si="216"/>
        <v>1</v>
      </c>
      <c r="J423" s="77" t="str">
        <f t="shared" si="216"/>
        <v>Senecio</v>
      </c>
      <c r="K423" s="77" t="str">
        <f t="shared" si="216"/>
        <v>burtoni</v>
      </c>
      <c r="L423" s="78">
        <f t="shared" si="216"/>
        <v>6</v>
      </c>
      <c r="M423" s="78">
        <f t="shared" si="216"/>
        <v>12</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INDEX([1]!VISITORS[INSECT ORDER], MATCH(X423,[1]!VISITORS[NAME USED],0))</f>
        <v>#REF!</v>
      </c>
      <c r="AB423" s="48" t="e">
        <f t="shared" si="197"/>
        <v>#REF!</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16</v>
      </c>
      <c r="D424" s="75">
        <f t="shared" si="190"/>
        <v>22</v>
      </c>
      <c r="E424" s="76">
        <f t="shared" si="191"/>
        <v>46</v>
      </c>
      <c r="F424" s="80"/>
      <c r="G424" s="83"/>
      <c r="H424" s="69" t="str">
        <f t="shared" si="213"/>
        <v>Senbur6_20191116_22_00</v>
      </c>
      <c r="I424" s="70">
        <f t="shared" si="216"/>
        <v>1</v>
      </c>
      <c r="J424" s="77" t="str">
        <f t="shared" si="216"/>
        <v>Senecio</v>
      </c>
      <c r="K424" s="77" t="str">
        <f t="shared" si="216"/>
        <v>burtoni</v>
      </c>
      <c r="L424" s="78">
        <f t="shared" si="216"/>
        <v>6</v>
      </c>
      <c r="M424" s="78">
        <f t="shared" si="216"/>
        <v>12</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INDEX([1]!VISITORS[INSECT ORDER], MATCH(X424,[1]!VISITORS[NAME USED],0))</f>
        <v>#REF!</v>
      </c>
      <c r="AB424" s="48" t="e">
        <f t="shared" si="197"/>
        <v>#REF!</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16</v>
      </c>
      <c r="D425" s="75">
        <f t="shared" si="190"/>
        <v>22</v>
      </c>
      <c r="E425" s="76">
        <f t="shared" si="191"/>
        <v>47</v>
      </c>
      <c r="F425" s="80"/>
      <c r="G425" s="83"/>
      <c r="H425" s="69" t="str">
        <f t="shared" si="213"/>
        <v>Senbur6_20191116_22_00</v>
      </c>
      <c r="I425" s="70">
        <f t="shared" si="216"/>
        <v>1</v>
      </c>
      <c r="J425" s="77" t="str">
        <f t="shared" si="216"/>
        <v>Senecio</v>
      </c>
      <c r="K425" s="77" t="str">
        <f t="shared" si="216"/>
        <v>burtoni</v>
      </c>
      <c r="L425" s="78">
        <f t="shared" si="216"/>
        <v>6</v>
      </c>
      <c r="M425" s="78">
        <f t="shared" si="216"/>
        <v>12</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INDEX([1]!VISITORS[INSECT ORDER], MATCH(X425,[1]!VISITORS[NAME USED],0))</f>
        <v>#REF!</v>
      </c>
      <c r="AB425" s="48" t="e">
        <f t="shared" si="197"/>
        <v>#REF!</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16</v>
      </c>
      <c r="D426" s="75">
        <f t="shared" si="190"/>
        <v>22</v>
      </c>
      <c r="E426" s="76">
        <f t="shared" si="191"/>
        <v>48</v>
      </c>
      <c r="F426" s="80"/>
      <c r="G426" s="83"/>
      <c r="H426" s="69" t="str">
        <f t="shared" si="213"/>
        <v>Senbur6_20191116_22_00</v>
      </c>
      <c r="I426" s="70">
        <f t="shared" si="216"/>
        <v>1</v>
      </c>
      <c r="J426" s="77" t="str">
        <f t="shared" si="216"/>
        <v>Senecio</v>
      </c>
      <c r="K426" s="77" t="str">
        <f t="shared" si="216"/>
        <v>burtoni</v>
      </c>
      <c r="L426" s="78">
        <f t="shared" si="216"/>
        <v>6</v>
      </c>
      <c r="M426" s="78">
        <f t="shared" si="216"/>
        <v>12</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INDEX([1]!VISITORS[INSECT ORDER], MATCH(X426,[1]!VISITORS[NAME USED],0))</f>
        <v>#REF!</v>
      </c>
      <c r="AB426" s="48" t="e">
        <f t="shared" si="197"/>
        <v>#REF!</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16</v>
      </c>
      <c r="D427" s="75">
        <f t="shared" si="190"/>
        <v>22</v>
      </c>
      <c r="E427" s="76">
        <f t="shared" si="191"/>
        <v>49</v>
      </c>
      <c r="F427" s="80"/>
      <c r="G427" s="83"/>
      <c r="H427" s="69" t="str">
        <f t="shared" si="213"/>
        <v>Senbur6_20191116_22_00</v>
      </c>
      <c r="I427" s="70">
        <f t="shared" si="216"/>
        <v>1</v>
      </c>
      <c r="J427" s="77" t="str">
        <f t="shared" si="216"/>
        <v>Senecio</v>
      </c>
      <c r="K427" s="77" t="str">
        <f t="shared" si="216"/>
        <v>burtoni</v>
      </c>
      <c r="L427" s="78">
        <f t="shared" si="216"/>
        <v>6</v>
      </c>
      <c r="M427" s="78">
        <f t="shared" si="216"/>
        <v>12</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INDEX([1]!VISITORS[INSECT ORDER], MATCH(X427,[1]!VISITORS[NAME USED],0))</f>
        <v>#REF!</v>
      </c>
      <c r="AB427" s="48" t="e">
        <f t="shared" si="197"/>
        <v>#REF!</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16</v>
      </c>
      <c r="D428" s="75">
        <f t="shared" si="190"/>
        <v>22</v>
      </c>
      <c r="E428" s="76">
        <f t="shared" si="191"/>
        <v>50</v>
      </c>
      <c r="F428" s="80"/>
      <c r="G428" s="83"/>
      <c r="H428" s="69" t="str">
        <f t="shared" si="213"/>
        <v>Senbur6_20191116_22_00</v>
      </c>
      <c r="I428" s="70">
        <f t="shared" si="216"/>
        <v>1</v>
      </c>
      <c r="J428" s="77" t="str">
        <f t="shared" si="216"/>
        <v>Senecio</v>
      </c>
      <c r="K428" s="77" t="str">
        <f t="shared" si="216"/>
        <v>burtoni</v>
      </c>
      <c r="L428" s="78">
        <f t="shared" si="216"/>
        <v>6</v>
      </c>
      <c r="M428" s="78">
        <f t="shared" si="216"/>
        <v>12</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INDEX([1]!VISITORS[INSECT ORDER], MATCH(X428,[1]!VISITORS[NAME USED],0))</f>
        <v>#REF!</v>
      </c>
      <c r="AB428" s="48" t="e">
        <f t="shared" si="197"/>
        <v>#REF!</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16</v>
      </c>
      <c r="D429" s="75">
        <f t="shared" si="190"/>
        <v>22</v>
      </c>
      <c r="E429" s="76">
        <f t="shared" si="191"/>
        <v>51</v>
      </c>
      <c r="F429" s="80"/>
      <c r="G429" s="83"/>
      <c r="H429" s="69" t="str">
        <f t="shared" si="213"/>
        <v>Senbur6_20191116_22_00</v>
      </c>
      <c r="I429" s="70">
        <f t="shared" si="216"/>
        <v>1</v>
      </c>
      <c r="J429" s="77" t="str">
        <f t="shared" si="216"/>
        <v>Senecio</v>
      </c>
      <c r="K429" s="77" t="str">
        <f t="shared" si="216"/>
        <v>burtoni</v>
      </c>
      <c r="L429" s="78">
        <f t="shared" si="216"/>
        <v>6</v>
      </c>
      <c r="M429" s="78">
        <f t="shared" si="216"/>
        <v>12</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INDEX([1]!VISITORS[INSECT ORDER], MATCH(X429,[1]!VISITORS[NAME USED],0))</f>
        <v>#REF!</v>
      </c>
      <c r="AB429" s="48" t="e">
        <f t="shared" si="197"/>
        <v>#REF!</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16</v>
      </c>
      <c r="D430" s="75">
        <f t="shared" si="190"/>
        <v>22</v>
      </c>
      <c r="E430" s="76">
        <f t="shared" si="191"/>
        <v>52</v>
      </c>
      <c r="F430" s="80"/>
      <c r="G430" s="83"/>
      <c r="H430" s="69" t="str">
        <f t="shared" si="213"/>
        <v>Senbur6_20191116_22_00</v>
      </c>
      <c r="I430" s="70">
        <f t="shared" si="216"/>
        <v>1</v>
      </c>
      <c r="J430" s="77" t="str">
        <f t="shared" si="216"/>
        <v>Senecio</v>
      </c>
      <c r="K430" s="77" t="str">
        <f t="shared" si="216"/>
        <v>burtoni</v>
      </c>
      <c r="L430" s="78">
        <f t="shared" si="216"/>
        <v>6</v>
      </c>
      <c r="M430" s="78">
        <f t="shared" si="216"/>
        <v>12</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INDEX([1]!VISITORS[INSECT ORDER], MATCH(X430,[1]!VISITORS[NAME USED],0))</f>
        <v>#REF!</v>
      </c>
      <c r="AB430" s="48" t="e">
        <f t="shared" si="197"/>
        <v>#REF!</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16</v>
      </c>
      <c r="D431" s="75">
        <f t="shared" si="190"/>
        <v>22</v>
      </c>
      <c r="E431" s="76">
        <f t="shared" si="191"/>
        <v>53</v>
      </c>
      <c r="F431" s="80"/>
      <c r="G431" s="83"/>
      <c r="H431" s="69" t="str">
        <f t="shared" si="213"/>
        <v>Senbur6_20191116_22_00</v>
      </c>
      <c r="I431" s="70">
        <f t="shared" si="216"/>
        <v>1</v>
      </c>
      <c r="J431" s="77" t="str">
        <f t="shared" si="216"/>
        <v>Senecio</v>
      </c>
      <c r="K431" s="77" t="str">
        <f t="shared" si="216"/>
        <v>burtoni</v>
      </c>
      <c r="L431" s="78">
        <f t="shared" si="216"/>
        <v>6</v>
      </c>
      <c r="M431" s="78">
        <f t="shared" si="216"/>
        <v>12</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INDEX([1]!VISITORS[INSECT ORDER], MATCH(X431,[1]!VISITORS[NAME USED],0))</f>
        <v>#REF!</v>
      </c>
      <c r="AB431" s="48" t="e">
        <f t="shared" si="197"/>
        <v>#REF!</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16</v>
      </c>
      <c r="D432" s="75">
        <f t="shared" si="190"/>
        <v>22</v>
      </c>
      <c r="E432" s="76">
        <f t="shared" si="191"/>
        <v>54</v>
      </c>
      <c r="F432" s="80"/>
      <c r="G432" s="83"/>
      <c r="H432" s="69" t="str">
        <f t="shared" si="213"/>
        <v>Senbur6_20191116_22_00</v>
      </c>
      <c r="I432" s="70">
        <f t="shared" si="216"/>
        <v>1</v>
      </c>
      <c r="J432" s="77" t="str">
        <f t="shared" si="216"/>
        <v>Senecio</v>
      </c>
      <c r="K432" s="77" t="str">
        <f t="shared" si="216"/>
        <v>burtoni</v>
      </c>
      <c r="L432" s="78">
        <f t="shared" si="216"/>
        <v>6</v>
      </c>
      <c r="M432" s="78">
        <f t="shared" si="216"/>
        <v>12</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INDEX([1]!VISITORS[INSECT ORDER], MATCH(X432,[1]!VISITORS[NAME USED],0))</f>
        <v>#REF!</v>
      </c>
      <c r="AB432" s="48" t="e">
        <f t="shared" si="197"/>
        <v>#REF!</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16</v>
      </c>
      <c r="D433" s="75">
        <f t="shared" si="190"/>
        <v>22</v>
      </c>
      <c r="E433" s="76">
        <f t="shared" si="191"/>
        <v>55</v>
      </c>
      <c r="F433" s="80"/>
      <c r="G433" s="83"/>
      <c r="H433" s="69" t="str">
        <f t="shared" si="213"/>
        <v>Senbur6_20191116_22_00</v>
      </c>
      <c r="I433" s="70">
        <f t="shared" si="216"/>
        <v>1</v>
      </c>
      <c r="J433" s="77" t="str">
        <f t="shared" si="216"/>
        <v>Senecio</v>
      </c>
      <c r="K433" s="77" t="str">
        <f t="shared" si="216"/>
        <v>burtoni</v>
      </c>
      <c r="L433" s="78">
        <f t="shared" si="216"/>
        <v>6</v>
      </c>
      <c r="M433" s="78">
        <f t="shared" si="216"/>
        <v>12</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INDEX([1]!VISITORS[INSECT ORDER], MATCH(X433,[1]!VISITORS[NAME USED],0))</f>
        <v>#REF!</v>
      </c>
      <c r="AB433" s="48" t="e">
        <f t="shared" si="197"/>
        <v>#REF!</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16</v>
      </c>
      <c r="D434" s="75">
        <f t="shared" si="190"/>
        <v>22</v>
      </c>
      <c r="E434" s="76">
        <f t="shared" si="191"/>
        <v>56</v>
      </c>
      <c r="F434" s="80"/>
      <c r="G434" s="83"/>
      <c r="H434" s="69" t="str">
        <f t="shared" si="213"/>
        <v>Senbur6_20191116_22_00</v>
      </c>
      <c r="I434" s="70">
        <f t="shared" si="216"/>
        <v>1</v>
      </c>
      <c r="J434" s="77" t="str">
        <f t="shared" si="216"/>
        <v>Senecio</v>
      </c>
      <c r="K434" s="77" t="str">
        <f t="shared" si="216"/>
        <v>burtoni</v>
      </c>
      <c r="L434" s="78">
        <f t="shared" si="216"/>
        <v>6</v>
      </c>
      <c r="M434" s="78">
        <f t="shared" si="216"/>
        <v>12</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INDEX([1]!VISITORS[INSECT ORDER], MATCH(X434,[1]!VISITORS[NAME USED],0))</f>
        <v>#REF!</v>
      </c>
      <c r="AB434" s="48" t="e">
        <f t="shared" si="197"/>
        <v>#REF!</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16</v>
      </c>
      <c r="D435" s="75">
        <f t="shared" si="190"/>
        <v>22</v>
      </c>
      <c r="E435" s="76">
        <f t="shared" si="191"/>
        <v>57</v>
      </c>
      <c r="F435" s="80"/>
      <c r="G435" s="83"/>
      <c r="H435" s="69" t="str">
        <f t="shared" si="213"/>
        <v>Senbur6_20191116_22_00</v>
      </c>
      <c r="I435" s="70">
        <f t="shared" si="216"/>
        <v>1</v>
      </c>
      <c r="J435" s="77" t="str">
        <f t="shared" si="216"/>
        <v>Senecio</v>
      </c>
      <c r="K435" s="77" t="str">
        <f t="shared" si="216"/>
        <v>burtoni</v>
      </c>
      <c r="L435" s="78">
        <f t="shared" si="216"/>
        <v>6</v>
      </c>
      <c r="M435" s="78">
        <f t="shared" si="216"/>
        <v>12</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INDEX([1]!VISITORS[INSECT ORDER], MATCH(X435,[1]!VISITORS[NAME USED],0))</f>
        <v>#REF!</v>
      </c>
      <c r="AB435" s="48" t="e">
        <f t="shared" si="197"/>
        <v>#REF!</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16</v>
      </c>
      <c r="D436" s="75">
        <f t="shared" si="190"/>
        <v>22</v>
      </c>
      <c r="E436" s="76">
        <f t="shared" si="191"/>
        <v>58</v>
      </c>
      <c r="F436" s="80"/>
      <c r="G436" s="83"/>
      <c r="H436" s="69" t="str">
        <f t="shared" si="213"/>
        <v>Senbur6_20191116_22_00</v>
      </c>
      <c r="I436" s="70">
        <f t="shared" si="216"/>
        <v>1</v>
      </c>
      <c r="J436" s="77" t="str">
        <f t="shared" si="216"/>
        <v>Senecio</v>
      </c>
      <c r="K436" s="77" t="str">
        <f t="shared" si="216"/>
        <v>burtoni</v>
      </c>
      <c r="L436" s="78">
        <f t="shared" si="216"/>
        <v>6</v>
      </c>
      <c r="M436" s="78">
        <f t="shared" si="216"/>
        <v>12</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INDEX([1]!VISITORS[INSECT ORDER], MATCH(X436,[1]!VISITORS[NAME USED],0))</f>
        <v>#REF!</v>
      </c>
      <c r="AB436" s="48" t="e">
        <f t="shared" si="197"/>
        <v>#REF!</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16</v>
      </c>
      <c r="D437" s="75">
        <f t="shared" si="190"/>
        <v>22</v>
      </c>
      <c r="E437" s="76">
        <f t="shared" si="191"/>
        <v>59</v>
      </c>
      <c r="F437" s="80"/>
      <c r="G437" s="83"/>
      <c r="H437" s="69" t="str">
        <f t="shared" si="213"/>
        <v>Senbur6_20191116_22_00</v>
      </c>
      <c r="I437" s="70">
        <f t="shared" ref="I437:N452" si="217">I436</f>
        <v>1</v>
      </c>
      <c r="J437" s="77" t="str">
        <f t="shared" si="217"/>
        <v>Senecio</v>
      </c>
      <c r="K437" s="77" t="str">
        <f t="shared" si="217"/>
        <v>burtoni</v>
      </c>
      <c r="L437" s="78">
        <f t="shared" si="217"/>
        <v>6</v>
      </c>
      <c r="M437" s="78">
        <f t="shared" si="217"/>
        <v>12</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INDEX([1]!VISITORS[INSECT ORDER], MATCH(X437,[1]!VISITORS[NAME USED],0))</f>
        <v>#REF!</v>
      </c>
      <c r="AB437" s="48" t="e">
        <f t="shared" si="197"/>
        <v>#REF!</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16</v>
      </c>
      <c r="D438" s="75">
        <f t="shared" si="190"/>
        <v>23</v>
      </c>
      <c r="E438" s="76">
        <f t="shared" si="191"/>
        <v>0</v>
      </c>
      <c r="F438" s="80"/>
      <c r="G438" s="83"/>
      <c r="H438" s="69" t="str">
        <f t="shared" si="213"/>
        <v>Senbur6_20191116_23_00</v>
      </c>
      <c r="I438" s="70">
        <f t="shared" si="217"/>
        <v>1</v>
      </c>
      <c r="J438" s="77" t="str">
        <f t="shared" si="217"/>
        <v>Senecio</v>
      </c>
      <c r="K438" s="77" t="str">
        <f t="shared" si="217"/>
        <v>burtoni</v>
      </c>
      <c r="L438" s="78">
        <f t="shared" si="217"/>
        <v>6</v>
      </c>
      <c r="M438" s="78">
        <f t="shared" si="217"/>
        <v>12</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INDEX([1]!VISITORS[INSECT ORDER], MATCH(X438,[1]!VISITORS[NAME USED],0))</f>
        <v>#REF!</v>
      </c>
      <c r="AB438" s="48" t="e">
        <f t="shared" si="197"/>
        <v>#REF!</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16</v>
      </c>
      <c r="D439" s="75">
        <f t="shared" si="190"/>
        <v>23</v>
      </c>
      <c r="E439" s="76">
        <f t="shared" si="191"/>
        <v>1</v>
      </c>
      <c r="F439" s="80"/>
      <c r="G439" s="83"/>
      <c r="H439" s="69" t="str">
        <f t="shared" si="213"/>
        <v>Senbur6_20191116_23_00</v>
      </c>
      <c r="I439" s="70">
        <f t="shared" si="217"/>
        <v>1</v>
      </c>
      <c r="J439" s="77" t="str">
        <f t="shared" si="217"/>
        <v>Senecio</v>
      </c>
      <c r="K439" s="77" t="str">
        <f t="shared" si="217"/>
        <v>burtoni</v>
      </c>
      <c r="L439" s="78">
        <f t="shared" si="217"/>
        <v>6</v>
      </c>
      <c r="M439" s="78">
        <f t="shared" si="217"/>
        <v>12</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INDEX([1]!VISITORS[INSECT ORDER], MATCH(X439,[1]!VISITORS[NAME USED],0))</f>
        <v>#REF!</v>
      </c>
      <c r="AB439" s="48" t="e">
        <f t="shared" si="197"/>
        <v>#REF!</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16</v>
      </c>
      <c r="D440" s="75">
        <f t="shared" si="190"/>
        <v>23</v>
      </c>
      <c r="E440" s="76">
        <f t="shared" si="191"/>
        <v>2</v>
      </c>
      <c r="F440" s="80"/>
      <c r="G440" s="83"/>
      <c r="H440" s="69" t="str">
        <f t="shared" si="213"/>
        <v>Senbur6_20191116_23_00</v>
      </c>
      <c r="I440" s="70">
        <f t="shared" si="217"/>
        <v>1</v>
      </c>
      <c r="J440" s="77" t="str">
        <f t="shared" si="217"/>
        <v>Senecio</v>
      </c>
      <c r="K440" s="77" t="str">
        <f t="shared" si="217"/>
        <v>burtoni</v>
      </c>
      <c r="L440" s="78">
        <f t="shared" si="217"/>
        <v>6</v>
      </c>
      <c r="M440" s="78">
        <f t="shared" si="217"/>
        <v>12</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INDEX([1]!VISITORS[INSECT ORDER], MATCH(X440,[1]!VISITORS[NAME USED],0))</f>
        <v>#REF!</v>
      </c>
      <c r="AB440" s="48" t="e">
        <f t="shared" si="197"/>
        <v>#REF!</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16</v>
      </c>
      <c r="D441" s="75">
        <f t="shared" si="190"/>
        <v>23</v>
      </c>
      <c r="E441" s="76">
        <f t="shared" si="191"/>
        <v>3</v>
      </c>
      <c r="F441" s="80"/>
      <c r="G441" s="83"/>
      <c r="H441" s="69" t="str">
        <f t="shared" si="213"/>
        <v>Senbur6_20191116_23_00</v>
      </c>
      <c r="I441" s="70">
        <f t="shared" si="217"/>
        <v>1</v>
      </c>
      <c r="J441" s="77" t="str">
        <f t="shared" si="217"/>
        <v>Senecio</v>
      </c>
      <c r="K441" s="77" t="str">
        <f t="shared" si="217"/>
        <v>burtoni</v>
      </c>
      <c r="L441" s="78">
        <f t="shared" si="217"/>
        <v>6</v>
      </c>
      <c r="M441" s="78">
        <f t="shared" si="217"/>
        <v>12</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INDEX([1]!VISITORS[INSECT ORDER], MATCH(X441,[1]!VISITORS[NAME USED],0))</f>
        <v>#REF!</v>
      </c>
      <c r="AB441" s="48" t="e">
        <f t="shared" si="197"/>
        <v>#REF!</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16</v>
      </c>
      <c r="D442" s="75">
        <f t="shared" si="190"/>
        <v>23</v>
      </c>
      <c r="E442" s="76">
        <f t="shared" si="191"/>
        <v>4</v>
      </c>
      <c r="F442" s="80"/>
      <c r="G442" s="83"/>
      <c r="H442" s="69" t="str">
        <f t="shared" si="213"/>
        <v>Senbur6_20191116_23_00</v>
      </c>
      <c r="I442" s="70">
        <f t="shared" si="217"/>
        <v>1</v>
      </c>
      <c r="J442" s="77" t="str">
        <f t="shared" si="217"/>
        <v>Senecio</v>
      </c>
      <c r="K442" s="77" t="str">
        <f t="shared" si="217"/>
        <v>burtoni</v>
      </c>
      <c r="L442" s="78">
        <f t="shared" si="217"/>
        <v>6</v>
      </c>
      <c r="M442" s="78">
        <f t="shared" si="217"/>
        <v>12</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INDEX([1]!VISITORS[INSECT ORDER], MATCH(X442,[1]!VISITORS[NAME USED],0))</f>
        <v>#REF!</v>
      </c>
      <c r="AB442" s="48" t="e">
        <f t="shared" si="197"/>
        <v>#REF!</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16</v>
      </c>
      <c r="D443" s="75">
        <f t="shared" si="190"/>
        <v>23</v>
      </c>
      <c r="E443" s="76">
        <f t="shared" si="191"/>
        <v>5</v>
      </c>
      <c r="F443" s="80"/>
      <c r="G443" s="83"/>
      <c r="H443" s="69" t="str">
        <f t="shared" si="213"/>
        <v>Senbur6_20191116_23_00</v>
      </c>
      <c r="I443" s="70">
        <f t="shared" si="217"/>
        <v>1</v>
      </c>
      <c r="J443" s="77" t="str">
        <f t="shared" si="217"/>
        <v>Senecio</v>
      </c>
      <c r="K443" s="77" t="str">
        <f t="shared" si="217"/>
        <v>burtoni</v>
      </c>
      <c r="L443" s="78">
        <f t="shared" si="217"/>
        <v>6</v>
      </c>
      <c r="M443" s="78">
        <f t="shared" si="217"/>
        <v>12</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INDEX([1]!VISITORS[INSECT ORDER], MATCH(X443,[1]!VISITORS[NAME USED],0))</f>
        <v>#REF!</v>
      </c>
      <c r="AB443" s="48" t="e">
        <f t="shared" si="197"/>
        <v>#REF!</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16</v>
      </c>
      <c r="D444" s="75">
        <f t="shared" si="190"/>
        <v>23</v>
      </c>
      <c r="E444" s="76">
        <f t="shared" si="191"/>
        <v>6</v>
      </c>
      <c r="F444" s="80"/>
      <c r="G444" s="83"/>
      <c r="H444" s="69" t="str">
        <f t="shared" si="213"/>
        <v>Senbur6_20191116_23_00</v>
      </c>
      <c r="I444" s="70">
        <f t="shared" si="217"/>
        <v>1</v>
      </c>
      <c r="J444" s="77" t="str">
        <f t="shared" si="217"/>
        <v>Senecio</v>
      </c>
      <c r="K444" s="77" t="str">
        <f t="shared" si="217"/>
        <v>burtoni</v>
      </c>
      <c r="L444" s="78">
        <f t="shared" si="217"/>
        <v>6</v>
      </c>
      <c r="M444" s="78">
        <f t="shared" si="217"/>
        <v>12</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INDEX([1]!VISITORS[INSECT ORDER], MATCH(X444,[1]!VISITORS[NAME USED],0))</f>
        <v>#REF!</v>
      </c>
      <c r="AB444" s="48" t="e">
        <f t="shared" si="197"/>
        <v>#REF!</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16</v>
      </c>
      <c r="D445" s="75">
        <f t="shared" si="190"/>
        <v>23</v>
      </c>
      <c r="E445" s="76">
        <f t="shared" si="191"/>
        <v>7</v>
      </c>
      <c r="F445" s="80"/>
      <c r="G445" s="83"/>
      <c r="H445" s="69" t="str">
        <f t="shared" si="213"/>
        <v>Senbur6_20191116_23_00</v>
      </c>
      <c r="I445" s="70">
        <f t="shared" si="217"/>
        <v>1</v>
      </c>
      <c r="J445" s="77" t="str">
        <f t="shared" si="217"/>
        <v>Senecio</v>
      </c>
      <c r="K445" s="77" t="str">
        <f t="shared" si="217"/>
        <v>burtoni</v>
      </c>
      <c r="L445" s="78">
        <f t="shared" si="217"/>
        <v>6</v>
      </c>
      <c r="M445" s="78">
        <f t="shared" si="217"/>
        <v>12</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INDEX([1]!VISITORS[INSECT ORDER], MATCH(X445,[1]!VISITORS[NAME USED],0))</f>
        <v>#REF!</v>
      </c>
      <c r="AB445" s="48" t="e">
        <f t="shared" si="197"/>
        <v>#REF!</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16</v>
      </c>
      <c r="D446" s="75">
        <f t="shared" si="190"/>
        <v>23</v>
      </c>
      <c r="E446" s="76">
        <f t="shared" si="191"/>
        <v>8</v>
      </c>
      <c r="F446" s="80"/>
      <c r="G446" s="83"/>
      <c r="H446" s="69" t="str">
        <f t="shared" si="213"/>
        <v>Senbur6_20191116_23_00</v>
      </c>
      <c r="I446" s="70">
        <f t="shared" si="217"/>
        <v>1</v>
      </c>
      <c r="J446" s="77" t="str">
        <f t="shared" si="217"/>
        <v>Senecio</v>
      </c>
      <c r="K446" s="77" t="str">
        <f t="shared" si="217"/>
        <v>burtoni</v>
      </c>
      <c r="L446" s="78">
        <f t="shared" si="217"/>
        <v>6</v>
      </c>
      <c r="M446" s="78">
        <f t="shared" si="217"/>
        <v>12</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INDEX([1]!VISITORS[INSECT ORDER], MATCH(X446,[1]!VISITORS[NAME USED],0))</f>
        <v>#REF!</v>
      </c>
      <c r="AB446" s="48" t="e">
        <f t="shared" si="197"/>
        <v>#REF!</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16</v>
      </c>
      <c r="D447" s="75">
        <f t="shared" si="190"/>
        <v>23</v>
      </c>
      <c r="E447" s="76">
        <f t="shared" si="191"/>
        <v>9</v>
      </c>
      <c r="F447" s="80"/>
      <c r="G447" s="83"/>
      <c r="H447" s="69" t="str">
        <f t="shared" si="213"/>
        <v>Senbur6_20191116_23_00</v>
      </c>
      <c r="I447" s="70">
        <f t="shared" si="217"/>
        <v>1</v>
      </c>
      <c r="J447" s="77" t="str">
        <f t="shared" si="217"/>
        <v>Senecio</v>
      </c>
      <c r="K447" s="77" t="str">
        <f t="shared" si="217"/>
        <v>burtoni</v>
      </c>
      <c r="L447" s="78">
        <f t="shared" si="217"/>
        <v>6</v>
      </c>
      <c r="M447" s="78">
        <f t="shared" si="217"/>
        <v>12</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INDEX([1]!VISITORS[INSECT ORDER], MATCH(X447,[1]!VISITORS[NAME USED],0))</f>
        <v>#REF!</v>
      </c>
      <c r="AB447" s="48" t="e">
        <f t="shared" si="197"/>
        <v>#REF!</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16</v>
      </c>
      <c r="D448" s="75">
        <f t="shared" si="190"/>
        <v>23</v>
      </c>
      <c r="E448" s="76">
        <f t="shared" si="191"/>
        <v>10</v>
      </c>
      <c r="F448" s="80"/>
      <c r="G448" s="83"/>
      <c r="H448" s="69" t="str">
        <f t="shared" si="213"/>
        <v>Senbur6_20191116_23_00</v>
      </c>
      <c r="I448" s="70">
        <f t="shared" si="217"/>
        <v>1</v>
      </c>
      <c r="J448" s="77" t="str">
        <f t="shared" si="217"/>
        <v>Senecio</v>
      </c>
      <c r="K448" s="77" t="str">
        <f t="shared" si="217"/>
        <v>burtoni</v>
      </c>
      <c r="L448" s="78">
        <f t="shared" si="217"/>
        <v>6</v>
      </c>
      <c r="M448" s="78">
        <f t="shared" si="217"/>
        <v>12</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INDEX([1]!VISITORS[INSECT ORDER], MATCH(X448,[1]!VISITORS[NAME USED],0))</f>
        <v>#REF!</v>
      </c>
      <c r="AB448" s="48" t="e">
        <f t="shared" si="197"/>
        <v>#REF!</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16</v>
      </c>
      <c r="D449" s="75">
        <f t="shared" si="190"/>
        <v>23</v>
      </c>
      <c r="E449" s="76">
        <f t="shared" si="191"/>
        <v>11</v>
      </c>
      <c r="F449" s="80"/>
      <c r="G449" s="83"/>
      <c r="H449" s="69" t="str">
        <f t="shared" si="213"/>
        <v>Senbur6_20191116_23_00</v>
      </c>
      <c r="I449" s="70">
        <f t="shared" si="217"/>
        <v>1</v>
      </c>
      <c r="J449" s="77" t="str">
        <f t="shared" si="217"/>
        <v>Senecio</v>
      </c>
      <c r="K449" s="77" t="str">
        <f t="shared" si="217"/>
        <v>burtoni</v>
      </c>
      <c r="L449" s="78">
        <f t="shared" si="217"/>
        <v>6</v>
      </c>
      <c r="M449" s="78">
        <f t="shared" si="217"/>
        <v>12</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INDEX([1]!VISITORS[INSECT ORDER], MATCH(X449,[1]!VISITORS[NAME USED],0))</f>
        <v>#REF!</v>
      </c>
      <c r="AB449" s="48" t="e">
        <f t="shared" si="197"/>
        <v>#REF!</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16</v>
      </c>
      <c r="D450" s="75">
        <f t="shared" si="190"/>
        <v>23</v>
      </c>
      <c r="E450" s="76">
        <f t="shared" si="191"/>
        <v>12</v>
      </c>
      <c r="F450" s="80"/>
      <c r="G450" s="83"/>
      <c r="H450" s="69" t="str">
        <f t="shared" si="213"/>
        <v>Senbur6_20191116_23_00</v>
      </c>
      <c r="I450" s="70">
        <f t="shared" si="217"/>
        <v>1</v>
      </c>
      <c r="J450" s="77" t="str">
        <f t="shared" si="217"/>
        <v>Senecio</v>
      </c>
      <c r="K450" s="77" t="str">
        <f t="shared" si="217"/>
        <v>burtoni</v>
      </c>
      <c r="L450" s="78">
        <f t="shared" si="217"/>
        <v>6</v>
      </c>
      <c r="M450" s="78">
        <f t="shared" si="217"/>
        <v>12</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INDEX([1]!VISITORS[INSECT ORDER], MATCH(X450,[1]!VISITORS[NAME USED],0))</f>
        <v>#REF!</v>
      </c>
      <c r="AB450" s="48" t="e">
        <f t="shared" si="197"/>
        <v>#REF!</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16</v>
      </c>
      <c r="D451" s="75">
        <f t="shared" si="190"/>
        <v>23</v>
      </c>
      <c r="E451" s="76">
        <f t="shared" si="191"/>
        <v>13</v>
      </c>
      <c r="F451" s="80"/>
      <c r="G451" s="83"/>
      <c r="H451" s="69" t="str">
        <f t="shared" si="213"/>
        <v>Senbur6_20191116_23_00</v>
      </c>
      <c r="I451" s="70">
        <f t="shared" si="217"/>
        <v>1</v>
      </c>
      <c r="J451" s="77" t="str">
        <f t="shared" si="217"/>
        <v>Senecio</v>
      </c>
      <c r="K451" s="77" t="str">
        <f t="shared" si="217"/>
        <v>burtoni</v>
      </c>
      <c r="L451" s="78">
        <f t="shared" si="217"/>
        <v>6</v>
      </c>
      <c r="M451" s="78">
        <f t="shared" si="217"/>
        <v>12</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INDEX([1]!VISITORS[INSECT ORDER], MATCH(X451,[1]!VISITORS[NAME USED],0))</f>
        <v>#REF!</v>
      </c>
      <c r="AB451" s="48" t="e">
        <f t="shared" si="197"/>
        <v>#REF!</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16</v>
      </c>
      <c r="D452" s="75">
        <f t="shared" ref="D452:D515" si="221">IF(IF(E451=59,D451+1,D451)=24,0,IF(E451=59,D451+1,D451))</f>
        <v>23</v>
      </c>
      <c r="E452" s="76">
        <f t="shared" ref="E452:E515" si="222">IF(E451&lt;59,E451+1,0)</f>
        <v>14</v>
      </c>
      <c r="F452" s="80"/>
      <c r="G452" s="83"/>
      <c r="H452" s="69" t="str">
        <f t="shared" si="213"/>
        <v>Senbur6_20191116_23_00</v>
      </c>
      <c r="I452" s="70">
        <f t="shared" si="217"/>
        <v>1</v>
      </c>
      <c r="J452" s="77" t="str">
        <f t="shared" si="217"/>
        <v>Senecio</v>
      </c>
      <c r="K452" s="77" t="str">
        <f t="shared" si="217"/>
        <v>burtoni</v>
      </c>
      <c r="L452" s="78">
        <f t="shared" si="217"/>
        <v>6</v>
      </c>
      <c r="M452" s="78">
        <f t="shared" si="217"/>
        <v>12</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INDEX([1]!VISITORS[INSECT ORDER], MATCH(X452,[1]!VISITORS[NAME USED],0))</f>
        <v>#REF!</v>
      </c>
      <c r="AB452" s="48" t="e">
        <f t="shared" ref="AB452:AB515" si="228">IF(AA452&lt;&gt;0,"NA","")</f>
        <v>#REF!</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16</v>
      </c>
      <c r="D453" s="75">
        <f t="shared" si="221"/>
        <v>23</v>
      </c>
      <c r="E453" s="76">
        <f t="shared" si="222"/>
        <v>15</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Senbur6_20191116_23_00</v>
      </c>
      <c r="I453" s="70">
        <f t="shared" ref="I453:N468" si="245">I452</f>
        <v>1</v>
      </c>
      <c r="J453" s="77" t="str">
        <f t="shared" si="245"/>
        <v>Senecio</v>
      </c>
      <c r="K453" s="77" t="str">
        <f t="shared" si="245"/>
        <v>burtoni</v>
      </c>
      <c r="L453" s="78">
        <f t="shared" si="245"/>
        <v>6</v>
      </c>
      <c r="M453" s="78">
        <f t="shared" si="245"/>
        <v>12</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INDEX([1]!VISITORS[INSECT ORDER], MATCH(X453,[1]!VISITORS[NAME USED],0))</f>
        <v>#REF!</v>
      </c>
      <c r="AB453" s="48" t="e">
        <f t="shared" si="228"/>
        <v>#REF!</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16</v>
      </c>
      <c r="D454" s="75">
        <f t="shared" si="221"/>
        <v>23</v>
      </c>
      <c r="E454" s="76">
        <f t="shared" si="222"/>
        <v>16</v>
      </c>
      <c r="F454" s="80"/>
      <c r="G454" s="83"/>
      <c r="H454" s="69" t="str">
        <f t="shared" si="244"/>
        <v>Senbur6_20191116_23_00</v>
      </c>
      <c r="I454" s="70">
        <f t="shared" si="245"/>
        <v>1</v>
      </c>
      <c r="J454" s="77" t="str">
        <f t="shared" si="245"/>
        <v>Senecio</v>
      </c>
      <c r="K454" s="77" t="str">
        <f t="shared" si="245"/>
        <v>burtoni</v>
      </c>
      <c r="L454" s="78">
        <f t="shared" si="245"/>
        <v>6</v>
      </c>
      <c r="M454" s="78">
        <f t="shared" si="245"/>
        <v>12</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INDEX([1]!VISITORS[INSECT ORDER], MATCH(X454,[1]!VISITORS[NAME USED],0))</f>
        <v>#REF!</v>
      </c>
      <c r="AB454" s="48" t="e">
        <f t="shared" si="228"/>
        <v>#REF!</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16</v>
      </c>
      <c r="D455" s="75">
        <f t="shared" si="221"/>
        <v>23</v>
      </c>
      <c r="E455" s="76">
        <f t="shared" si="222"/>
        <v>17</v>
      </c>
      <c r="F455" s="80"/>
      <c r="G455" s="83"/>
      <c r="H455" s="69" t="str">
        <f t="shared" si="244"/>
        <v>Senbur6_20191116_23_00</v>
      </c>
      <c r="I455" s="70">
        <f t="shared" si="245"/>
        <v>1</v>
      </c>
      <c r="J455" s="77" t="str">
        <f t="shared" si="245"/>
        <v>Senecio</v>
      </c>
      <c r="K455" s="77" t="str">
        <f t="shared" si="245"/>
        <v>burtoni</v>
      </c>
      <c r="L455" s="78">
        <f t="shared" si="245"/>
        <v>6</v>
      </c>
      <c r="M455" s="78">
        <f t="shared" si="245"/>
        <v>12</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INDEX([1]!VISITORS[INSECT ORDER], MATCH(X455,[1]!VISITORS[NAME USED],0))</f>
        <v>#REF!</v>
      </c>
      <c r="AB455" s="48" t="e">
        <f t="shared" si="228"/>
        <v>#REF!</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16</v>
      </c>
      <c r="D456" s="75">
        <f t="shared" si="221"/>
        <v>23</v>
      </c>
      <c r="E456" s="76">
        <f t="shared" si="222"/>
        <v>18</v>
      </c>
      <c r="F456" s="80"/>
      <c r="G456" s="83"/>
      <c r="H456" s="69" t="str">
        <f t="shared" si="244"/>
        <v>Senbur6_20191116_23_00</v>
      </c>
      <c r="I456" s="70">
        <f t="shared" si="245"/>
        <v>1</v>
      </c>
      <c r="J456" s="77" t="str">
        <f t="shared" si="245"/>
        <v>Senecio</v>
      </c>
      <c r="K456" s="77" t="str">
        <f t="shared" si="245"/>
        <v>burtoni</v>
      </c>
      <c r="L456" s="78">
        <f t="shared" si="245"/>
        <v>6</v>
      </c>
      <c r="M456" s="78">
        <f t="shared" si="245"/>
        <v>12</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INDEX([1]!VISITORS[INSECT ORDER], MATCH(X456,[1]!VISITORS[NAME USED],0))</f>
        <v>#REF!</v>
      </c>
      <c r="AB456" s="48" t="e">
        <f t="shared" si="228"/>
        <v>#REF!</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16</v>
      </c>
      <c r="D457" s="75">
        <f t="shared" si="221"/>
        <v>23</v>
      </c>
      <c r="E457" s="76">
        <f t="shared" si="222"/>
        <v>19</v>
      </c>
      <c r="F457" s="80"/>
      <c r="G457" s="83"/>
      <c r="H457" s="69" t="str">
        <f t="shared" si="244"/>
        <v>Senbur6_20191116_23_00</v>
      </c>
      <c r="I457" s="70">
        <f t="shared" si="245"/>
        <v>1</v>
      </c>
      <c r="J457" s="77" t="str">
        <f t="shared" si="245"/>
        <v>Senecio</v>
      </c>
      <c r="K457" s="77" t="str">
        <f t="shared" si="245"/>
        <v>burtoni</v>
      </c>
      <c r="L457" s="78">
        <f t="shared" si="245"/>
        <v>6</v>
      </c>
      <c r="M457" s="78">
        <f t="shared" si="245"/>
        <v>12</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INDEX([1]!VISITORS[INSECT ORDER], MATCH(X457,[1]!VISITORS[NAME USED],0))</f>
        <v>#REF!</v>
      </c>
      <c r="AB457" s="48" t="e">
        <f t="shared" si="228"/>
        <v>#REF!</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16</v>
      </c>
      <c r="D458" s="75">
        <f t="shared" si="221"/>
        <v>23</v>
      </c>
      <c r="E458" s="76">
        <f t="shared" si="222"/>
        <v>20</v>
      </c>
      <c r="F458" s="80"/>
      <c r="G458" s="83"/>
      <c r="H458" s="69" t="str">
        <f t="shared" si="244"/>
        <v>Senbur6_20191116_23_00</v>
      </c>
      <c r="I458" s="70">
        <f t="shared" si="245"/>
        <v>1</v>
      </c>
      <c r="J458" s="77" t="str">
        <f t="shared" si="245"/>
        <v>Senecio</v>
      </c>
      <c r="K458" s="77" t="str">
        <f t="shared" si="245"/>
        <v>burtoni</v>
      </c>
      <c r="L458" s="78">
        <f t="shared" si="245"/>
        <v>6</v>
      </c>
      <c r="M458" s="78">
        <f t="shared" si="245"/>
        <v>12</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INDEX([1]!VISITORS[INSECT ORDER], MATCH(X458,[1]!VISITORS[NAME USED],0))</f>
        <v>#REF!</v>
      </c>
      <c r="AB458" s="48" t="e">
        <f t="shared" si="228"/>
        <v>#REF!</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16</v>
      </c>
      <c r="D459" s="75">
        <f t="shared" si="221"/>
        <v>23</v>
      </c>
      <c r="E459" s="76">
        <f t="shared" si="222"/>
        <v>21</v>
      </c>
      <c r="F459" s="80"/>
      <c r="G459" s="83"/>
      <c r="H459" s="69" t="str">
        <f t="shared" si="244"/>
        <v>Senbur6_20191116_23_00</v>
      </c>
      <c r="I459" s="70">
        <f t="shared" si="245"/>
        <v>1</v>
      </c>
      <c r="J459" s="77" t="str">
        <f t="shared" si="245"/>
        <v>Senecio</v>
      </c>
      <c r="K459" s="77" t="str">
        <f t="shared" si="245"/>
        <v>burtoni</v>
      </c>
      <c r="L459" s="78">
        <f t="shared" si="245"/>
        <v>6</v>
      </c>
      <c r="M459" s="78">
        <f t="shared" si="245"/>
        <v>12</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INDEX([1]!VISITORS[INSECT ORDER], MATCH(X459,[1]!VISITORS[NAME USED],0))</f>
        <v>#REF!</v>
      </c>
      <c r="AB459" s="48" t="e">
        <f t="shared" si="228"/>
        <v>#REF!</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16</v>
      </c>
      <c r="D460" s="75">
        <f t="shared" si="221"/>
        <v>23</v>
      </c>
      <c r="E460" s="76">
        <f t="shared" si="222"/>
        <v>22</v>
      </c>
      <c r="F460" s="80"/>
      <c r="G460" s="83"/>
      <c r="H460" s="69" t="str">
        <f t="shared" si="244"/>
        <v>Senbur6_20191116_23_00</v>
      </c>
      <c r="I460" s="70">
        <f t="shared" si="245"/>
        <v>1</v>
      </c>
      <c r="J460" s="77" t="str">
        <f t="shared" si="245"/>
        <v>Senecio</v>
      </c>
      <c r="K460" s="77" t="str">
        <f t="shared" si="245"/>
        <v>burtoni</v>
      </c>
      <c r="L460" s="78">
        <f t="shared" si="245"/>
        <v>6</v>
      </c>
      <c r="M460" s="78">
        <f t="shared" si="245"/>
        <v>12</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INDEX([1]!VISITORS[INSECT ORDER], MATCH(X460,[1]!VISITORS[NAME USED],0))</f>
        <v>#REF!</v>
      </c>
      <c r="AB460" s="48" t="e">
        <f t="shared" si="228"/>
        <v>#REF!</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16</v>
      </c>
      <c r="D461" s="75">
        <f t="shared" si="221"/>
        <v>23</v>
      </c>
      <c r="E461" s="76">
        <f t="shared" si="222"/>
        <v>23</v>
      </c>
      <c r="F461" s="80"/>
      <c r="G461" s="83"/>
      <c r="H461" s="69" t="str">
        <f t="shared" si="244"/>
        <v>Senbur6_20191116_23_00</v>
      </c>
      <c r="I461" s="70">
        <f t="shared" si="245"/>
        <v>1</v>
      </c>
      <c r="J461" s="77" t="str">
        <f t="shared" si="245"/>
        <v>Senecio</v>
      </c>
      <c r="K461" s="77" t="str">
        <f t="shared" si="245"/>
        <v>burtoni</v>
      </c>
      <c r="L461" s="78">
        <f t="shared" si="245"/>
        <v>6</v>
      </c>
      <c r="M461" s="78">
        <f t="shared" si="245"/>
        <v>12</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INDEX([1]!VISITORS[INSECT ORDER], MATCH(X461,[1]!VISITORS[NAME USED],0))</f>
        <v>#REF!</v>
      </c>
      <c r="AB461" s="48" t="e">
        <f t="shared" si="228"/>
        <v>#REF!</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16</v>
      </c>
      <c r="D462" s="75">
        <f t="shared" si="221"/>
        <v>23</v>
      </c>
      <c r="E462" s="76">
        <f t="shared" si="222"/>
        <v>24</v>
      </c>
      <c r="F462" s="80"/>
      <c r="G462" s="83"/>
      <c r="H462" s="69" t="str">
        <f t="shared" si="244"/>
        <v>Senbur6_20191116_23_00</v>
      </c>
      <c r="I462" s="70">
        <f t="shared" si="245"/>
        <v>1</v>
      </c>
      <c r="J462" s="77" t="str">
        <f t="shared" si="245"/>
        <v>Senecio</v>
      </c>
      <c r="K462" s="77" t="str">
        <f t="shared" si="245"/>
        <v>burtoni</v>
      </c>
      <c r="L462" s="78">
        <f t="shared" si="245"/>
        <v>6</v>
      </c>
      <c r="M462" s="78">
        <f t="shared" si="245"/>
        <v>12</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INDEX([1]!VISITORS[INSECT ORDER], MATCH(X462,[1]!VISITORS[NAME USED],0))</f>
        <v>#REF!</v>
      </c>
      <c r="AB462" s="48" t="e">
        <f t="shared" si="228"/>
        <v>#REF!</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16</v>
      </c>
      <c r="D463" s="75">
        <f t="shared" si="221"/>
        <v>23</v>
      </c>
      <c r="E463" s="76">
        <f t="shared" si="222"/>
        <v>25</v>
      </c>
      <c r="F463" s="80"/>
      <c r="G463" s="83"/>
      <c r="H463" s="69" t="str">
        <f t="shared" si="244"/>
        <v>Senbur6_20191116_23_00</v>
      </c>
      <c r="I463" s="70">
        <f t="shared" si="245"/>
        <v>1</v>
      </c>
      <c r="J463" s="77" t="str">
        <f t="shared" si="245"/>
        <v>Senecio</v>
      </c>
      <c r="K463" s="77" t="str">
        <f t="shared" si="245"/>
        <v>burtoni</v>
      </c>
      <c r="L463" s="78">
        <f t="shared" si="245"/>
        <v>6</v>
      </c>
      <c r="M463" s="78">
        <f t="shared" si="245"/>
        <v>12</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INDEX([1]!VISITORS[INSECT ORDER], MATCH(X463,[1]!VISITORS[NAME USED],0))</f>
        <v>#REF!</v>
      </c>
      <c r="AB463" s="48" t="e">
        <f t="shared" si="228"/>
        <v>#REF!</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16</v>
      </c>
      <c r="D464" s="75">
        <f t="shared" si="221"/>
        <v>23</v>
      </c>
      <c r="E464" s="76">
        <f t="shared" si="222"/>
        <v>26</v>
      </c>
      <c r="F464" s="80"/>
      <c r="G464" s="83"/>
      <c r="H464" s="69" t="str">
        <f t="shared" si="244"/>
        <v>Senbur6_20191116_23_00</v>
      </c>
      <c r="I464" s="70">
        <f t="shared" si="245"/>
        <v>1</v>
      </c>
      <c r="J464" s="77" t="str">
        <f t="shared" si="245"/>
        <v>Senecio</v>
      </c>
      <c r="K464" s="77" t="str">
        <f t="shared" si="245"/>
        <v>burtoni</v>
      </c>
      <c r="L464" s="78">
        <f t="shared" si="245"/>
        <v>6</v>
      </c>
      <c r="M464" s="78">
        <f t="shared" si="245"/>
        <v>12</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INDEX([1]!VISITORS[INSECT ORDER], MATCH(X464,[1]!VISITORS[NAME USED],0))</f>
        <v>#REF!</v>
      </c>
      <c r="AB464" s="48" t="e">
        <f t="shared" si="228"/>
        <v>#REF!</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16</v>
      </c>
      <c r="D465" s="75">
        <f t="shared" si="221"/>
        <v>23</v>
      </c>
      <c r="E465" s="76">
        <f t="shared" si="222"/>
        <v>27</v>
      </c>
      <c r="F465" s="80"/>
      <c r="G465" s="83"/>
      <c r="H465" s="69" t="str">
        <f t="shared" si="244"/>
        <v>Senbur6_20191116_23_00</v>
      </c>
      <c r="I465" s="70">
        <f t="shared" si="245"/>
        <v>1</v>
      </c>
      <c r="J465" s="77" t="str">
        <f t="shared" si="245"/>
        <v>Senecio</v>
      </c>
      <c r="K465" s="77" t="str">
        <f t="shared" si="245"/>
        <v>burtoni</v>
      </c>
      <c r="L465" s="78">
        <f t="shared" si="245"/>
        <v>6</v>
      </c>
      <c r="M465" s="78">
        <f t="shared" si="245"/>
        <v>12</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INDEX([1]!VISITORS[INSECT ORDER], MATCH(X465,[1]!VISITORS[NAME USED],0))</f>
        <v>#REF!</v>
      </c>
      <c r="AB465" s="48" t="e">
        <f t="shared" si="228"/>
        <v>#REF!</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16</v>
      </c>
      <c r="D466" s="75">
        <f t="shared" si="221"/>
        <v>23</v>
      </c>
      <c r="E466" s="76">
        <f t="shared" si="222"/>
        <v>28</v>
      </c>
      <c r="F466" s="80"/>
      <c r="G466" s="83"/>
      <c r="H466" s="69" t="str">
        <f t="shared" si="244"/>
        <v>Senbur6_20191116_23_00</v>
      </c>
      <c r="I466" s="70">
        <f t="shared" si="245"/>
        <v>1</v>
      </c>
      <c r="J466" s="77" t="str">
        <f t="shared" si="245"/>
        <v>Senecio</v>
      </c>
      <c r="K466" s="77" t="str">
        <f t="shared" si="245"/>
        <v>burtoni</v>
      </c>
      <c r="L466" s="78">
        <f t="shared" si="245"/>
        <v>6</v>
      </c>
      <c r="M466" s="78">
        <f t="shared" si="245"/>
        <v>12</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INDEX([1]!VISITORS[INSECT ORDER], MATCH(X466,[1]!VISITORS[NAME USED],0))</f>
        <v>#REF!</v>
      </c>
      <c r="AB466" s="48" t="e">
        <f t="shared" si="228"/>
        <v>#REF!</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16</v>
      </c>
      <c r="D467" s="75">
        <f t="shared" si="221"/>
        <v>23</v>
      </c>
      <c r="E467" s="76">
        <f t="shared" si="222"/>
        <v>29</v>
      </c>
      <c r="F467" s="80"/>
      <c r="G467" s="83"/>
      <c r="H467" s="69" t="str">
        <f t="shared" si="244"/>
        <v>Senbur6_20191116_23_00</v>
      </c>
      <c r="I467" s="70">
        <f t="shared" si="245"/>
        <v>1</v>
      </c>
      <c r="J467" s="77" t="str">
        <f t="shared" si="245"/>
        <v>Senecio</v>
      </c>
      <c r="K467" s="77" t="str">
        <f t="shared" si="245"/>
        <v>burtoni</v>
      </c>
      <c r="L467" s="78">
        <f t="shared" si="245"/>
        <v>6</v>
      </c>
      <c r="M467" s="78">
        <f t="shared" si="245"/>
        <v>12</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INDEX([1]!VISITORS[INSECT ORDER], MATCH(X467,[1]!VISITORS[NAME USED],0))</f>
        <v>#REF!</v>
      </c>
      <c r="AB467" s="48" t="e">
        <f t="shared" si="228"/>
        <v>#REF!</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16</v>
      </c>
      <c r="D468" s="75">
        <f t="shared" si="221"/>
        <v>23</v>
      </c>
      <c r="E468" s="76">
        <f t="shared" si="222"/>
        <v>30</v>
      </c>
      <c r="F468" s="80"/>
      <c r="G468" s="83"/>
      <c r="H468" s="69" t="str">
        <f t="shared" si="244"/>
        <v>Senbur6_20191116_23_00</v>
      </c>
      <c r="I468" s="70">
        <f t="shared" si="245"/>
        <v>1</v>
      </c>
      <c r="J468" s="77" t="str">
        <f t="shared" si="245"/>
        <v>Senecio</v>
      </c>
      <c r="K468" s="77" t="str">
        <f t="shared" si="245"/>
        <v>burtoni</v>
      </c>
      <c r="L468" s="78">
        <f t="shared" si="245"/>
        <v>6</v>
      </c>
      <c r="M468" s="78">
        <f t="shared" si="245"/>
        <v>12</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INDEX([1]!VISITORS[INSECT ORDER], MATCH(X468,[1]!VISITORS[NAME USED],0))</f>
        <v>#REF!</v>
      </c>
      <c r="AB468" s="48" t="e">
        <f t="shared" si="228"/>
        <v>#REF!</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16</v>
      </c>
      <c r="D469" s="75">
        <f t="shared" si="221"/>
        <v>23</v>
      </c>
      <c r="E469" s="76">
        <f t="shared" si="222"/>
        <v>31</v>
      </c>
      <c r="F469" s="80"/>
      <c r="G469" s="83"/>
      <c r="H469" s="69" t="str">
        <f t="shared" si="244"/>
        <v>Senbur6_20191116_23_00</v>
      </c>
      <c r="I469" s="70">
        <f t="shared" ref="I469:N484" si="246">I468</f>
        <v>1</v>
      </c>
      <c r="J469" s="77" t="str">
        <f t="shared" si="246"/>
        <v>Senecio</v>
      </c>
      <c r="K469" s="77" t="str">
        <f t="shared" si="246"/>
        <v>burtoni</v>
      </c>
      <c r="L469" s="78">
        <f t="shared" si="246"/>
        <v>6</v>
      </c>
      <c r="M469" s="78">
        <f t="shared" si="246"/>
        <v>12</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INDEX([1]!VISITORS[INSECT ORDER], MATCH(X469,[1]!VISITORS[NAME USED],0))</f>
        <v>#REF!</v>
      </c>
      <c r="AB469" s="48" t="e">
        <f t="shared" si="228"/>
        <v>#REF!</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16</v>
      </c>
      <c r="D470" s="75">
        <f t="shared" si="221"/>
        <v>23</v>
      </c>
      <c r="E470" s="76">
        <f t="shared" si="222"/>
        <v>32</v>
      </c>
      <c r="F470" s="80"/>
      <c r="G470" s="83"/>
      <c r="H470" s="69" t="str">
        <f t="shared" si="244"/>
        <v>Senbur6_20191116_23_00</v>
      </c>
      <c r="I470" s="70">
        <f t="shared" si="246"/>
        <v>1</v>
      </c>
      <c r="J470" s="77" t="str">
        <f t="shared" si="246"/>
        <v>Senecio</v>
      </c>
      <c r="K470" s="77" t="str">
        <f t="shared" si="246"/>
        <v>burtoni</v>
      </c>
      <c r="L470" s="78">
        <f t="shared" si="246"/>
        <v>6</v>
      </c>
      <c r="M470" s="78">
        <f t="shared" si="246"/>
        <v>12</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INDEX([1]!VISITORS[INSECT ORDER], MATCH(X470,[1]!VISITORS[NAME USED],0))</f>
        <v>#REF!</v>
      </c>
      <c r="AB470" s="48" t="e">
        <f t="shared" si="228"/>
        <v>#REF!</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16</v>
      </c>
      <c r="D471" s="75">
        <f t="shared" si="221"/>
        <v>23</v>
      </c>
      <c r="E471" s="76">
        <f t="shared" si="222"/>
        <v>33</v>
      </c>
      <c r="F471" s="80"/>
      <c r="G471" s="83"/>
      <c r="H471" s="69" t="str">
        <f t="shared" si="244"/>
        <v>Senbur6_20191116_23_00</v>
      </c>
      <c r="I471" s="70">
        <f t="shared" si="246"/>
        <v>1</v>
      </c>
      <c r="J471" s="77" t="str">
        <f t="shared" si="246"/>
        <v>Senecio</v>
      </c>
      <c r="K471" s="77" t="str">
        <f t="shared" si="246"/>
        <v>burtoni</v>
      </c>
      <c r="L471" s="78">
        <f t="shared" si="246"/>
        <v>6</v>
      </c>
      <c r="M471" s="78">
        <f t="shared" si="246"/>
        <v>12</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INDEX([1]!VISITORS[INSECT ORDER], MATCH(X471,[1]!VISITORS[NAME USED],0))</f>
        <v>#REF!</v>
      </c>
      <c r="AB471" s="48" t="e">
        <f t="shared" si="228"/>
        <v>#REF!</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16</v>
      </c>
      <c r="D472" s="75">
        <f t="shared" si="221"/>
        <v>23</v>
      </c>
      <c r="E472" s="76">
        <f t="shared" si="222"/>
        <v>34</v>
      </c>
      <c r="F472" s="80"/>
      <c r="G472" s="83"/>
      <c r="H472" s="69" t="str">
        <f t="shared" si="244"/>
        <v>Senbur6_20191116_23_00</v>
      </c>
      <c r="I472" s="70">
        <f t="shared" si="246"/>
        <v>1</v>
      </c>
      <c r="J472" s="77" t="str">
        <f t="shared" si="246"/>
        <v>Senecio</v>
      </c>
      <c r="K472" s="77" t="str">
        <f t="shared" si="246"/>
        <v>burtoni</v>
      </c>
      <c r="L472" s="78">
        <f t="shared" si="246"/>
        <v>6</v>
      </c>
      <c r="M472" s="78">
        <f t="shared" si="246"/>
        <v>12</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INDEX([1]!VISITORS[INSECT ORDER], MATCH(X472,[1]!VISITORS[NAME USED],0))</f>
        <v>#REF!</v>
      </c>
      <c r="AB472" s="48" t="e">
        <f t="shared" si="228"/>
        <v>#REF!</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16</v>
      </c>
      <c r="D473" s="75">
        <f t="shared" si="221"/>
        <v>23</v>
      </c>
      <c r="E473" s="76">
        <f t="shared" si="222"/>
        <v>35</v>
      </c>
      <c r="F473" s="80"/>
      <c r="G473" s="83"/>
      <c r="H473" s="69" t="str">
        <f t="shared" si="244"/>
        <v>Senbur6_20191116_23_00</v>
      </c>
      <c r="I473" s="70">
        <f t="shared" si="246"/>
        <v>1</v>
      </c>
      <c r="J473" s="77" t="str">
        <f t="shared" si="246"/>
        <v>Senecio</v>
      </c>
      <c r="K473" s="77" t="str">
        <f t="shared" si="246"/>
        <v>burtoni</v>
      </c>
      <c r="L473" s="78">
        <f t="shared" si="246"/>
        <v>6</v>
      </c>
      <c r="M473" s="78">
        <f t="shared" si="246"/>
        <v>12</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INDEX([1]!VISITORS[INSECT ORDER], MATCH(X473,[1]!VISITORS[NAME USED],0))</f>
        <v>#REF!</v>
      </c>
      <c r="AB473" s="48" t="e">
        <f t="shared" si="228"/>
        <v>#REF!</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16</v>
      </c>
      <c r="D474" s="75">
        <f t="shared" si="221"/>
        <v>23</v>
      </c>
      <c r="E474" s="76">
        <f t="shared" si="222"/>
        <v>36</v>
      </c>
      <c r="F474" s="80"/>
      <c r="G474" s="83"/>
      <c r="H474" s="69" t="str">
        <f t="shared" si="244"/>
        <v>Senbur6_20191116_23_00</v>
      </c>
      <c r="I474" s="70">
        <f t="shared" si="246"/>
        <v>1</v>
      </c>
      <c r="J474" s="77" t="str">
        <f t="shared" si="246"/>
        <v>Senecio</v>
      </c>
      <c r="K474" s="77" t="str">
        <f t="shared" si="246"/>
        <v>burtoni</v>
      </c>
      <c r="L474" s="78">
        <f t="shared" si="246"/>
        <v>6</v>
      </c>
      <c r="M474" s="78">
        <f t="shared" si="246"/>
        <v>12</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INDEX([1]!VISITORS[INSECT ORDER], MATCH(X474,[1]!VISITORS[NAME USED],0))</f>
        <v>#REF!</v>
      </c>
      <c r="AB474" s="48" t="e">
        <f t="shared" si="228"/>
        <v>#REF!</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16</v>
      </c>
      <c r="D475" s="75">
        <f t="shared" si="221"/>
        <v>23</v>
      </c>
      <c r="E475" s="76">
        <f t="shared" si="222"/>
        <v>37</v>
      </c>
      <c r="F475" s="80"/>
      <c r="G475" s="83"/>
      <c r="H475" s="69" t="str">
        <f t="shared" si="244"/>
        <v>Senbur6_20191116_23_00</v>
      </c>
      <c r="I475" s="70">
        <f t="shared" si="246"/>
        <v>1</v>
      </c>
      <c r="J475" s="77" t="str">
        <f t="shared" si="246"/>
        <v>Senecio</v>
      </c>
      <c r="K475" s="77" t="str">
        <f t="shared" si="246"/>
        <v>burtoni</v>
      </c>
      <c r="L475" s="78">
        <f t="shared" si="246"/>
        <v>6</v>
      </c>
      <c r="M475" s="78">
        <f t="shared" si="246"/>
        <v>12</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INDEX([1]!VISITORS[INSECT ORDER], MATCH(X475,[1]!VISITORS[NAME USED],0))</f>
        <v>#REF!</v>
      </c>
      <c r="AB475" s="48" t="e">
        <f t="shared" si="228"/>
        <v>#REF!</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16</v>
      </c>
      <c r="D476" s="75">
        <f t="shared" si="221"/>
        <v>23</v>
      </c>
      <c r="E476" s="76">
        <f t="shared" si="222"/>
        <v>38</v>
      </c>
      <c r="F476" s="80"/>
      <c r="G476" s="83"/>
      <c r="H476" s="69" t="str">
        <f t="shared" si="244"/>
        <v>Senbur6_20191116_23_00</v>
      </c>
      <c r="I476" s="70">
        <f t="shared" si="246"/>
        <v>1</v>
      </c>
      <c r="J476" s="77" t="str">
        <f t="shared" si="246"/>
        <v>Senecio</v>
      </c>
      <c r="K476" s="77" t="str">
        <f t="shared" si="246"/>
        <v>burtoni</v>
      </c>
      <c r="L476" s="78">
        <f t="shared" si="246"/>
        <v>6</v>
      </c>
      <c r="M476" s="78">
        <f t="shared" si="246"/>
        <v>12</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INDEX([1]!VISITORS[INSECT ORDER], MATCH(X476,[1]!VISITORS[NAME USED],0))</f>
        <v>#REF!</v>
      </c>
      <c r="AB476" s="48" t="e">
        <f t="shared" si="228"/>
        <v>#REF!</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16</v>
      </c>
      <c r="D477" s="75">
        <f t="shared" si="221"/>
        <v>23</v>
      </c>
      <c r="E477" s="76">
        <f t="shared" si="222"/>
        <v>39</v>
      </c>
      <c r="F477" s="80"/>
      <c r="G477" s="83"/>
      <c r="H477" s="69" t="str">
        <f t="shared" si="244"/>
        <v>Senbur6_20191116_23_00</v>
      </c>
      <c r="I477" s="70">
        <f t="shared" si="246"/>
        <v>1</v>
      </c>
      <c r="J477" s="77" t="str">
        <f t="shared" si="246"/>
        <v>Senecio</v>
      </c>
      <c r="K477" s="77" t="str">
        <f t="shared" si="246"/>
        <v>burtoni</v>
      </c>
      <c r="L477" s="78">
        <f t="shared" si="246"/>
        <v>6</v>
      </c>
      <c r="M477" s="78">
        <f t="shared" si="246"/>
        <v>12</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INDEX([1]!VISITORS[INSECT ORDER], MATCH(X477,[1]!VISITORS[NAME USED],0))</f>
        <v>#REF!</v>
      </c>
      <c r="AB477" s="48" t="e">
        <f t="shared" si="228"/>
        <v>#REF!</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16</v>
      </c>
      <c r="D478" s="75">
        <f t="shared" si="221"/>
        <v>23</v>
      </c>
      <c r="E478" s="76">
        <f t="shared" si="222"/>
        <v>40</v>
      </c>
      <c r="F478" s="80"/>
      <c r="G478" s="83"/>
      <c r="H478" s="69" t="str">
        <f t="shared" si="244"/>
        <v>Senbur6_20191116_23_00</v>
      </c>
      <c r="I478" s="70">
        <f t="shared" si="246"/>
        <v>1</v>
      </c>
      <c r="J478" s="77" t="str">
        <f t="shared" si="246"/>
        <v>Senecio</v>
      </c>
      <c r="K478" s="77" t="str">
        <f t="shared" si="246"/>
        <v>burtoni</v>
      </c>
      <c r="L478" s="78">
        <f t="shared" si="246"/>
        <v>6</v>
      </c>
      <c r="M478" s="78">
        <f t="shared" si="246"/>
        <v>12</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INDEX([1]!VISITORS[INSECT ORDER], MATCH(X478,[1]!VISITORS[NAME USED],0))</f>
        <v>#REF!</v>
      </c>
      <c r="AB478" s="48" t="e">
        <f t="shared" si="228"/>
        <v>#REF!</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16</v>
      </c>
      <c r="D479" s="75">
        <f t="shared" si="221"/>
        <v>23</v>
      </c>
      <c r="E479" s="76">
        <f t="shared" si="222"/>
        <v>41</v>
      </c>
      <c r="F479" s="80"/>
      <c r="G479" s="83"/>
      <c r="H479" s="69" t="str">
        <f t="shared" si="244"/>
        <v>Senbur6_20191116_23_00</v>
      </c>
      <c r="I479" s="70">
        <f t="shared" si="246"/>
        <v>1</v>
      </c>
      <c r="J479" s="77" t="str">
        <f t="shared" si="246"/>
        <v>Senecio</v>
      </c>
      <c r="K479" s="77" t="str">
        <f t="shared" si="246"/>
        <v>burtoni</v>
      </c>
      <c r="L479" s="78">
        <f t="shared" si="246"/>
        <v>6</v>
      </c>
      <c r="M479" s="78">
        <f t="shared" si="246"/>
        <v>12</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INDEX([1]!VISITORS[INSECT ORDER], MATCH(X479,[1]!VISITORS[NAME USED],0))</f>
        <v>#REF!</v>
      </c>
      <c r="AB479" s="48" t="e">
        <f t="shared" si="228"/>
        <v>#REF!</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16</v>
      </c>
      <c r="D480" s="75">
        <f t="shared" si="221"/>
        <v>23</v>
      </c>
      <c r="E480" s="76">
        <f t="shared" si="222"/>
        <v>42</v>
      </c>
      <c r="F480" s="80"/>
      <c r="G480" s="83"/>
      <c r="H480" s="69" t="str">
        <f t="shared" si="244"/>
        <v>Senbur6_20191116_23_00</v>
      </c>
      <c r="I480" s="70">
        <f t="shared" si="246"/>
        <v>1</v>
      </c>
      <c r="J480" s="77" t="str">
        <f t="shared" si="246"/>
        <v>Senecio</v>
      </c>
      <c r="K480" s="77" t="str">
        <f t="shared" si="246"/>
        <v>burtoni</v>
      </c>
      <c r="L480" s="78">
        <f t="shared" si="246"/>
        <v>6</v>
      </c>
      <c r="M480" s="78">
        <f t="shared" si="246"/>
        <v>12</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INDEX([1]!VISITORS[INSECT ORDER], MATCH(X480,[1]!VISITORS[NAME USED],0))</f>
        <v>#REF!</v>
      </c>
      <c r="AB480" s="48" t="e">
        <f t="shared" si="228"/>
        <v>#REF!</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16</v>
      </c>
      <c r="D481" s="75">
        <f t="shared" si="221"/>
        <v>23</v>
      </c>
      <c r="E481" s="76">
        <f t="shared" si="222"/>
        <v>43</v>
      </c>
      <c r="F481" s="80"/>
      <c r="G481" s="83"/>
      <c r="H481" s="69" t="str">
        <f t="shared" si="244"/>
        <v>Senbur6_20191116_23_00</v>
      </c>
      <c r="I481" s="70">
        <f t="shared" si="246"/>
        <v>1</v>
      </c>
      <c r="J481" s="77" t="str">
        <f t="shared" si="246"/>
        <v>Senecio</v>
      </c>
      <c r="K481" s="77" t="str">
        <f t="shared" si="246"/>
        <v>burtoni</v>
      </c>
      <c r="L481" s="78">
        <f t="shared" si="246"/>
        <v>6</v>
      </c>
      <c r="M481" s="78">
        <f t="shared" si="246"/>
        <v>12</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INDEX([1]!VISITORS[INSECT ORDER], MATCH(X481,[1]!VISITORS[NAME USED],0))</f>
        <v>#REF!</v>
      </c>
      <c r="AB481" s="48" t="e">
        <f t="shared" si="228"/>
        <v>#REF!</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16</v>
      </c>
      <c r="D482" s="75">
        <f t="shared" si="221"/>
        <v>23</v>
      </c>
      <c r="E482" s="76">
        <f t="shared" si="222"/>
        <v>44</v>
      </c>
      <c r="F482" s="80"/>
      <c r="G482" s="83"/>
      <c r="H482" s="69" t="str">
        <f t="shared" si="244"/>
        <v>Senbur6_20191116_23_00</v>
      </c>
      <c r="I482" s="70">
        <f t="shared" si="246"/>
        <v>1</v>
      </c>
      <c r="J482" s="77" t="str">
        <f t="shared" si="246"/>
        <v>Senecio</v>
      </c>
      <c r="K482" s="77" t="str">
        <f t="shared" si="246"/>
        <v>burtoni</v>
      </c>
      <c r="L482" s="78">
        <f t="shared" si="246"/>
        <v>6</v>
      </c>
      <c r="M482" s="78">
        <f t="shared" si="246"/>
        <v>12</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INDEX([1]!VISITORS[INSECT ORDER], MATCH(X482,[1]!VISITORS[NAME USED],0))</f>
        <v>#REF!</v>
      </c>
      <c r="AB482" s="48" t="e">
        <f t="shared" si="228"/>
        <v>#REF!</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16</v>
      </c>
      <c r="D483" s="75">
        <f t="shared" si="221"/>
        <v>23</v>
      </c>
      <c r="E483" s="76">
        <f t="shared" si="222"/>
        <v>45</v>
      </c>
      <c r="F483" s="80"/>
      <c r="G483" s="83"/>
      <c r="H483" s="69" t="str">
        <f t="shared" si="244"/>
        <v>Senbur6_20191116_23_00</v>
      </c>
      <c r="I483" s="70">
        <f t="shared" si="246"/>
        <v>1</v>
      </c>
      <c r="J483" s="77" t="str">
        <f t="shared" si="246"/>
        <v>Senecio</v>
      </c>
      <c r="K483" s="77" t="str">
        <f t="shared" si="246"/>
        <v>burtoni</v>
      </c>
      <c r="L483" s="78">
        <f t="shared" si="246"/>
        <v>6</v>
      </c>
      <c r="M483" s="78">
        <f t="shared" si="246"/>
        <v>12</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INDEX([1]!VISITORS[INSECT ORDER], MATCH(X483,[1]!VISITORS[NAME USED],0))</f>
        <v>#REF!</v>
      </c>
      <c r="AB483" s="48" t="e">
        <f t="shared" si="228"/>
        <v>#REF!</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16</v>
      </c>
      <c r="D484" s="75">
        <f t="shared" si="221"/>
        <v>23</v>
      </c>
      <c r="E484" s="76">
        <f t="shared" si="222"/>
        <v>46</v>
      </c>
      <c r="F484" s="80"/>
      <c r="G484" s="83"/>
      <c r="H484" s="69" t="str">
        <f t="shared" si="244"/>
        <v>Senbur6_20191116_23_00</v>
      </c>
      <c r="I484" s="70">
        <f t="shared" si="246"/>
        <v>1</v>
      </c>
      <c r="J484" s="77" t="str">
        <f t="shared" si="246"/>
        <v>Senecio</v>
      </c>
      <c r="K484" s="77" t="str">
        <f t="shared" si="246"/>
        <v>burtoni</v>
      </c>
      <c r="L484" s="78">
        <f t="shared" si="246"/>
        <v>6</v>
      </c>
      <c r="M484" s="78">
        <f t="shared" si="246"/>
        <v>12</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INDEX([1]!VISITORS[INSECT ORDER], MATCH(X484,[1]!VISITORS[NAME USED],0))</f>
        <v>#REF!</v>
      </c>
      <c r="AB484" s="48" t="e">
        <f t="shared" si="228"/>
        <v>#REF!</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16</v>
      </c>
      <c r="D485" s="75">
        <f t="shared" si="221"/>
        <v>23</v>
      </c>
      <c r="E485" s="76">
        <f t="shared" si="222"/>
        <v>47</v>
      </c>
      <c r="F485" s="80"/>
      <c r="G485" s="83"/>
      <c r="H485" s="69" t="str">
        <f t="shared" si="244"/>
        <v>Senbur6_20191116_23_00</v>
      </c>
      <c r="I485" s="70">
        <f t="shared" ref="I485:N500" si="247">I484</f>
        <v>1</v>
      </c>
      <c r="J485" s="77" t="str">
        <f t="shared" si="247"/>
        <v>Senecio</v>
      </c>
      <c r="K485" s="77" t="str">
        <f t="shared" si="247"/>
        <v>burtoni</v>
      </c>
      <c r="L485" s="78">
        <f t="shared" si="247"/>
        <v>6</v>
      </c>
      <c r="M485" s="78">
        <f t="shared" si="247"/>
        <v>12</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INDEX([1]!VISITORS[INSECT ORDER], MATCH(X485,[1]!VISITORS[NAME USED],0))</f>
        <v>#REF!</v>
      </c>
      <c r="AB485" s="48" t="e">
        <f t="shared" si="228"/>
        <v>#REF!</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16</v>
      </c>
      <c r="D486" s="75">
        <f t="shared" si="221"/>
        <v>23</v>
      </c>
      <c r="E486" s="76">
        <f t="shared" si="222"/>
        <v>48</v>
      </c>
      <c r="F486" s="80"/>
      <c r="G486" s="83"/>
      <c r="H486" s="69" t="str">
        <f t="shared" si="244"/>
        <v>Senbur6_20191116_23_00</v>
      </c>
      <c r="I486" s="70">
        <f t="shared" si="247"/>
        <v>1</v>
      </c>
      <c r="J486" s="77" t="str">
        <f t="shared" si="247"/>
        <v>Senecio</v>
      </c>
      <c r="K486" s="77" t="str">
        <f t="shared" si="247"/>
        <v>burtoni</v>
      </c>
      <c r="L486" s="78">
        <f t="shared" si="247"/>
        <v>6</v>
      </c>
      <c r="M486" s="78">
        <f t="shared" si="247"/>
        <v>12</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INDEX([1]!VISITORS[INSECT ORDER], MATCH(X486,[1]!VISITORS[NAME USED],0))</f>
        <v>#REF!</v>
      </c>
      <c r="AB486" s="48" t="e">
        <f t="shared" si="228"/>
        <v>#REF!</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16</v>
      </c>
      <c r="D487" s="75">
        <f t="shared" si="221"/>
        <v>23</v>
      </c>
      <c r="E487" s="76">
        <f t="shared" si="222"/>
        <v>49</v>
      </c>
      <c r="F487" s="80"/>
      <c r="G487" s="83"/>
      <c r="H487" s="69" t="str">
        <f t="shared" si="244"/>
        <v>Senbur6_20191116_23_00</v>
      </c>
      <c r="I487" s="70">
        <f t="shared" si="247"/>
        <v>1</v>
      </c>
      <c r="J487" s="77" t="str">
        <f t="shared" si="247"/>
        <v>Senecio</v>
      </c>
      <c r="K487" s="77" t="str">
        <f t="shared" si="247"/>
        <v>burtoni</v>
      </c>
      <c r="L487" s="78">
        <f t="shared" si="247"/>
        <v>6</v>
      </c>
      <c r="M487" s="78">
        <f t="shared" si="247"/>
        <v>12</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INDEX([1]!VISITORS[INSECT ORDER], MATCH(X487,[1]!VISITORS[NAME USED],0))</f>
        <v>#REF!</v>
      </c>
      <c r="AB487" s="48" t="e">
        <f t="shared" si="228"/>
        <v>#REF!</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16</v>
      </c>
      <c r="D488" s="75">
        <f t="shared" si="221"/>
        <v>23</v>
      </c>
      <c r="E488" s="76">
        <f t="shared" si="222"/>
        <v>50</v>
      </c>
      <c r="F488" s="80"/>
      <c r="G488" s="83"/>
      <c r="H488" s="69" t="str">
        <f t="shared" si="244"/>
        <v>Senbur6_20191116_23_00</v>
      </c>
      <c r="I488" s="70">
        <f t="shared" si="247"/>
        <v>1</v>
      </c>
      <c r="J488" s="77" t="str">
        <f t="shared" si="247"/>
        <v>Senecio</v>
      </c>
      <c r="K488" s="77" t="str">
        <f t="shared" si="247"/>
        <v>burtoni</v>
      </c>
      <c r="L488" s="78">
        <f t="shared" si="247"/>
        <v>6</v>
      </c>
      <c r="M488" s="78">
        <f t="shared" si="247"/>
        <v>12</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INDEX([1]!VISITORS[INSECT ORDER], MATCH(X488,[1]!VISITORS[NAME USED],0))</f>
        <v>#REF!</v>
      </c>
      <c r="AB488" s="48" t="e">
        <f t="shared" si="228"/>
        <v>#REF!</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16</v>
      </c>
      <c r="D489" s="75">
        <f t="shared" si="221"/>
        <v>23</v>
      </c>
      <c r="E489" s="76">
        <f t="shared" si="222"/>
        <v>51</v>
      </c>
      <c r="F489" s="80"/>
      <c r="G489" s="83"/>
      <c r="H489" s="69" t="str">
        <f t="shared" si="244"/>
        <v>Senbur6_20191116_23_00</v>
      </c>
      <c r="I489" s="70">
        <f t="shared" si="247"/>
        <v>1</v>
      </c>
      <c r="J489" s="77" t="str">
        <f t="shared" si="247"/>
        <v>Senecio</v>
      </c>
      <c r="K489" s="77" t="str">
        <f t="shared" si="247"/>
        <v>burtoni</v>
      </c>
      <c r="L489" s="78">
        <f t="shared" si="247"/>
        <v>6</v>
      </c>
      <c r="M489" s="78">
        <f t="shared" si="247"/>
        <v>12</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INDEX([1]!VISITORS[INSECT ORDER], MATCH(X489,[1]!VISITORS[NAME USED],0))</f>
        <v>#REF!</v>
      </c>
      <c r="AB489" s="48" t="e">
        <f t="shared" si="228"/>
        <v>#REF!</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16</v>
      </c>
      <c r="D490" s="75">
        <f t="shared" si="221"/>
        <v>23</v>
      </c>
      <c r="E490" s="76">
        <f t="shared" si="222"/>
        <v>52</v>
      </c>
      <c r="F490" s="80"/>
      <c r="G490" s="83"/>
      <c r="H490" s="69" t="str">
        <f t="shared" si="244"/>
        <v>Senbur6_20191116_23_00</v>
      </c>
      <c r="I490" s="70">
        <f t="shared" si="247"/>
        <v>1</v>
      </c>
      <c r="J490" s="77" t="str">
        <f t="shared" si="247"/>
        <v>Senecio</v>
      </c>
      <c r="K490" s="77" t="str">
        <f t="shared" si="247"/>
        <v>burtoni</v>
      </c>
      <c r="L490" s="78">
        <f t="shared" si="247"/>
        <v>6</v>
      </c>
      <c r="M490" s="78">
        <f t="shared" si="247"/>
        <v>12</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INDEX([1]!VISITORS[INSECT ORDER], MATCH(X490,[1]!VISITORS[NAME USED],0))</f>
        <v>#REF!</v>
      </c>
      <c r="AB490" s="48" t="e">
        <f t="shared" si="228"/>
        <v>#REF!</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16</v>
      </c>
      <c r="D491" s="75">
        <f t="shared" si="221"/>
        <v>23</v>
      </c>
      <c r="E491" s="76">
        <f t="shared" si="222"/>
        <v>53</v>
      </c>
      <c r="F491" s="80"/>
      <c r="G491" s="83"/>
      <c r="H491" s="69" t="str">
        <f t="shared" si="244"/>
        <v>Senbur6_20191116_23_00</v>
      </c>
      <c r="I491" s="70">
        <f t="shared" si="247"/>
        <v>1</v>
      </c>
      <c r="J491" s="77" t="str">
        <f t="shared" si="247"/>
        <v>Senecio</v>
      </c>
      <c r="K491" s="77" t="str">
        <f t="shared" si="247"/>
        <v>burtoni</v>
      </c>
      <c r="L491" s="78">
        <f t="shared" si="247"/>
        <v>6</v>
      </c>
      <c r="M491" s="78">
        <f t="shared" si="247"/>
        <v>12</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INDEX([1]!VISITORS[INSECT ORDER], MATCH(X491,[1]!VISITORS[NAME USED],0))</f>
        <v>#REF!</v>
      </c>
      <c r="AB491" s="48" t="e">
        <f t="shared" si="228"/>
        <v>#REF!</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16</v>
      </c>
      <c r="D492" s="75">
        <f t="shared" si="221"/>
        <v>23</v>
      </c>
      <c r="E492" s="76">
        <f t="shared" si="222"/>
        <v>54</v>
      </c>
      <c r="F492" s="80"/>
      <c r="G492" s="83"/>
      <c r="H492" s="69" t="str">
        <f t="shared" si="244"/>
        <v>Senbur6_20191116_23_00</v>
      </c>
      <c r="I492" s="70">
        <f t="shared" si="247"/>
        <v>1</v>
      </c>
      <c r="J492" s="77" t="str">
        <f t="shared" si="247"/>
        <v>Senecio</v>
      </c>
      <c r="K492" s="77" t="str">
        <f t="shared" si="247"/>
        <v>burtoni</v>
      </c>
      <c r="L492" s="78">
        <f t="shared" si="247"/>
        <v>6</v>
      </c>
      <c r="M492" s="78">
        <f t="shared" si="247"/>
        <v>12</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INDEX([1]!VISITORS[INSECT ORDER], MATCH(X492,[1]!VISITORS[NAME USED],0))</f>
        <v>#REF!</v>
      </c>
      <c r="AB492" s="48" t="e">
        <f t="shared" si="228"/>
        <v>#REF!</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16</v>
      </c>
      <c r="D493" s="75">
        <f t="shared" si="221"/>
        <v>23</v>
      </c>
      <c r="E493" s="76">
        <f t="shared" si="222"/>
        <v>55</v>
      </c>
      <c r="F493" s="80"/>
      <c r="G493" s="83"/>
      <c r="H493" s="69" t="str">
        <f t="shared" si="244"/>
        <v>Senbur6_20191116_23_00</v>
      </c>
      <c r="I493" s="70">
        <f t="shared" si="247"/>
        <v>1</v>
      </c>
      <c r="J493" s="77" t="str">
        <f t="shared" si="247"/>
        <v>Senecio</v>
      </c>
      <c r="K493" s="77" t="str">
        <f t="shared" si="247"/>
        <v>burtoni</v>
      </c>
      <c r="L493" s="78">
        <f t="shared" si="247"/>
        <v>6</v>
      </c>
      <c r="M493" s="78">
        <f t="shared" si="247"/>
        <v>12</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INDEX([1]!VISITORS[INSECT ORDER], MATCH(X493,[1]!VISITORS[NAME USED],0))</f>
        <v>#REF!</v>
      </c>
      <c r="AB493" s="48" t="e">
        <f t="shared" si="228"/>
        <v>#REF!</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16</v>
      </c>
      <c r="D494" s="75">
        <f t="shared" si="221"/>
        <v>23</v>
      </c>
      <c r="E494" s="76">
        <f t="shared" si="222"/>
        <v>56</v>
      </c>
      <c r="F494" s="80"/>
      <c r="G494" s="83"/>
      <c r="H494" s="69" t="str">
        <f t="shared" si="244"/>
        <v>Senbur6_20191116_23_00</v>
      </c>
      <c r="I494" s="70">
        <f t="shared" si="247"/>
        <v>1</v>
      </c>
      <c r="J494" s="77" t="str">
        <f t="shared" si="247"/>
        <v>Senecio</v>
      </c>
      <c r="K494" s="77" t="str">
        <f t="shared" si="247"/>
        <v>burtoni</v>
      </c>
      <c r="L494" s="78">
        <f t="shared" si="247"/>
        <v>6</v>
      </c>
      <c r="M494" s="78">
        <f t="shared" si="247"/>
        <v>12</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INDEX([1]!VISITORS[INSECT ORDER], MATCH(X494,[1]!VISITORS[NAME USED],0))</f>
        <v>#REF!</v>
      </c>
      <c r="AB494" s="48" t="e">
        <f t="shared" si="228"/>
        <v>#REF!</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16</v>
      </c>
      <c r="D495" s="75">
        <f t="shared" si="221"/>
        <v>23</v>
      </c>
      <c r="E495" s="76">
        <f t="shared" si="222"/>
        <v>57</v>
      </c>
      <c r="F495" s="80"/>
      <c r="G495" s="83"/>
      <c r="H495" s="69" t="str">
        <f t="shared" si="244"/>
        <v>Senbur6_20191116_23_00</v>
      </c>
      <c r="I495" s="70">
        <f t="shared" si="247"/>
        <v>1</v>
      </c>
      <c r="J495" s="77" t="str">
        <f t="shared" si="247"/>
        <v>Senecio</v>
      </c>
      <c r="K495" s="77" t="str">
        <f t="shared" si="247"/>
        <v>burtoni</v>
      </c>
      <c r="L495" s="78">
        <f t="shared" si="247"/>
        <v>6</v>
      </c>
      <c r="M495" s="78">
        <f t="shared" si="247"/>
        <v>12</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INDEX([1]!VISITORS[INSECT ORDER], MATCH(X495,[1]!VISITORS[NAME USED],0))</f>
        <v>#REF!</v>
      </c>
      <c r="AB495" s="48" t="e">
        <f t="shared" si="228"/>
        <v>#REF!</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16</v>
      </c>
      <c r="D496" s="75">
        <f t="shared" si="221"/>
        <v>23</v>
      </c>
      <c r="E496" s="76">
        <f t="shared" si="222"/>
        <v>58</v>
      </c>
      <c r="F496" s="80"/>
      <c r="G496" s="83"/>
      <c r="H496" s="69" t="str">
        <f t="shared" si="244"/>
        <v>Senbur6_20191116_23_00</v>
      </c>
      <c r="I496" s="70">
        <f t="shared" si="247"/>
        <v>1</v>
      </c>
      <c r="J496" s="77" t="str">
        <f t="shared" si="247"/>
        <v>Senecio</v>
      </c>
      <c r="K496" s="77" t="str">
        <f t="shared" si="247"/>
        <v>burtoni</v>
      </c>
      <c r="L496" s="78">
        <f t="shared" si="247"/>
        <v>6</v>
      </c>
      <c r="M496" s="78">
        <f t="shared" si="247"/>
        <v>12</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INDEX([1]!VISITORS[INSECT ORDER], MATCH(X496,[1]!VISITORS[NAME USED],0))</f>
        <v>#REF!</v>
      </c>
      <c r="AB496" s="48" t="e">
        <f t="shared" si="228"/>
        <v>#REF!</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16</v>
      </c>
      <c r="D497" s="75">
        <f t="shared" si="221"/>
        <v>23</v>
      </c>
      <c r="E497" s="76">
        <f t="shared" si="222"/>
        <v>59</v>
      </c>
      <c r="F497" s="80"/>
      <c r="G497" s="83"/>
      <c r="H497" s="69" t="str">
        <f t="shared" si="244"/>
        <v>Senbur6_20191116_23_00</v>
      </c>
      <c r="I497" s="70">
        <f t="shared" si="247"/>
        <v>1</v>
      </c>
      <c r="J497" s="77" t="str">
        <f t="shared" si="247"/>
        <v>Senecio</v>
      </c>
      <c r="K497" s="77" t="str">
        <f t="shared" si="247"/>
        <v>burtoni</v>
      </c>
      <c r="L497" s="78">
        <f t="shared" si="247"/>
        <v>6</v>
      </c>
      <c r="M497" s="78">
        <f t="shared" si="247"/>
        <v>12</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INDEX([1]!VISITORS[INSECT ORDER], MATCH(X497,[1]!VISITORS[NAME USED],0))</f>
        <v>#REF!</v>
      </c>
      <c r="AB497" s="48" t="e">
        <f t="shared" si="228"/>
        <v>#REF!</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17</v>
      </c>
      <c r="D498" s="75">
        <f t="shared" si="221"/>
        <v>0</v>
      </c>
      <c r="E498" s="76">
        <f t="shared" si="222"/>
        <v>0</v>
      </c>
      <c r="F498" s="80"/>
      <c r="G498" s="83"/>
      <c r="H498" s="69" t="str">
        <f t="shared" si="244"/>
        <v>Senbur6_20191117_00_00</v>
      </c>
      <c r="I498" s="70">
        <f t="shared" si="247"/>
        <v>1</v>
      </c>
      <c r="J498" s="77" t="str">
        <f t="shared" si="247"/>
        <v>Senecio</v>
      </c>
      <c r="K498" s="77" t="str">
        <f t="shared" si="247"/>
        <v>burtoni</v>
      </c>
      <c r="L498" s="78">
        <f t="shared" si="247"/>
        <v>6</v>
      </c>
      <c r="M498" s="78">
        <f t="shared" si="247"/>
        <v>12</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INDEX([1]!VISITORS[INSECT ORDER], MATCH(X498,[1]!VISITORS[NAME USED],0))</f>
        <v>#REF!</v>
      </c>
      <c r="AB498" s="48" t="e">
        <f t="shared" si="228"/>
        <v>#REF!</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17</v>
      </c>
      <c r="D499" s="75">
        <f t="shared" si="221"/>
        <v>0</v>
      </c>
      <c r="E499" s="76">
        <f t="shared" si="222"/>
        <v>1</v>
      </c>
      <c r="F499" s="80"/>
      <c r="G499" s="83"/>
      <c r="H499" s="69" t="str">
        <f t="shared" si="244"/>
        <v>Senbur6_20191117_00_00</v>
      </c>
      <c r="I499" s="70">
        <f t="shared" si="247"/>
        <v>1</v>
      </c>
      <c r="J499" s="77" t="str">
        <f t="shared" si="247"/>
        <v>Senecio</v>
      </c>
      <c r="K499" s="77" t="str">
        <f t="shared" si="247"/>
        <v>burtoni</v>
      </c>
      <c r="L499" s="78">
        <f t="shared" si="247"/>
        <v>6</v>
      </c>
      <c r="M499" s="78">
        <f t="shared" si="247"/>
        <v>12</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INDEX([1]!VISITORS[INSECT ORDER], MATCH(X499,[1]!VISITORS[NAME USED],0))</f>
        <v>#REF!</v>
      </c>
      <c r="AB499" s="48" t="e">
        <f t="shared" si="228"/>
        <v>#REF!</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17</v>
      </c>
      <c r="D500" s="75">
        <f t="shared" si="221"/>
        <v>0</v>
      </c>
      <c r="E500" s="76">
        <f t="shared" si="222"/>
        <v>2</v>
      </c>
      <c r="F500" s="80"/>
      <c r="G500" s="83"/>
      <c r="H500" s="69" t="str">
        <f t="shared" si="244"/>
        <v>Senbur6_20191117_00_00</v>
      </c>
      <c r="I500" s="70">
        <f t="shared" si="247"/>
        <v>1</v>
      </c>
      <c r="J500" s="77" t="str">
        <f t="shared" si="247"/>
        <v>Senecio</v>
      </c>
      <c r="K500" s="77" t="str">
        <f t="shared" si="247"/>
        <v>burtoni</v>
      </c>
      <c r="L500" s="78">
        <f t="shared" si="247"/>
        <v>6</v>
      </c>
      <c r="M500" s="78">
        <f t="shared" si="247"/>
        <v>12</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INDEX([1]!VISITORS[INSECT ORDER], MATCH(X500,[1]!VISITORS[NAME USED],0))</f>
        <v>#REF!</v>
      </c>
      <c r="AB500" s="48" t="e">
        <f t="shared" si="228"/>
        <v>#REF!</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17</v>
      </c>
      <c r="D501" s="75">
        <f t="shared" si="221"/>
        <v>0</v>
      </c>
      <c r="E501" s="76">
        <f t="shared" si="222"/>
        <v>3</v>
      </c>
      <c r="F501" s="80"/>
      <c r="G501" s="83"/>
      <c r="H501" s="69" t="str">
        <f t="shared" si="244"/>
        <v>Senbur6_20191117_00_00</v>
      </c>
      <c r="I501" s="70">
        <f t="shared" ref="I501:N516" si="248">I500</f>
        <v>1</v>
      </c>
      <c r="J501" s="77" t="str">
        <f t="shared" si="248"/>
        <v>Senecio</v>
      </c>
      <c r="K501" s="77" t="str">
        <f t="shared" si="248"/>
        <v>burtoni</v>
      </c>
      <c r="L501" s="78">
        <f t="shared" si="248"/>
        <v>6</v>
      </c>
      <c r="M501" s="78">
        <f t="shared" si="248"/>
        <v>12</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INDEX([1]!VISITORS[INSECT ORDER], MATCH(X501,[1]!VISITORS[NAME USED],0))</f>
        <v>#REF!</v>
      </c>
      <c r="AB501" s="48" t="e">
        <f t="shared" si="228"/>
        <v>#REF!</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17</v>
      </c>
      <c r="D502" s="75">
        <f t="shared" si="221"/>
        <v>0</v>
      </c>
      <c r="E502" s="76">
        <f t="shared" si="222"/>
        <v>4</v>
      </c>
      <c r="F502" s="80"/>
      <c r="G502" s="83"/>
      <c r="H502" s="69" t="str">
        <f t="shared" si="244"/>
        <v>Senbur6_20191117_00_00</v>
      </c>
      <c r="I502" s="70">
        <f t="shared" si="248"/>
        <v>1</v>
      </c>
      <c r="J502" s="77" t="str">
        <f t="shared" si="248"/>
        <v>Senecio</v>
      </c>
      <c r="K502" s="77" t="str">
        <f t="shared" si="248"/>
        <v>burtoni</v>
      </c>
      <c r="L502" s="78">
        <f t="shared" si="248"/>
        <v>6</v>
      </c>
      <c r="M502" s="78">
        <f t="shared" si="248"/>
        <v>12</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INDEX([1]!VISITORS[INSECT ORDER], MATCH(X502,[1]!VISITORS[NAME USED],0))</f>
        <v>#REF!</v>
      </c>
      <c r="AB502" s="48" t="e">
        <f t="shared" si="228"/>
        <v>#REF!</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17</v>
      </c>
      <c r="D503" s="75">
        <f t="shared" si="221"/>
        <v>0</v>
      </c>
      <c r="E503" s="76">
        <f t="shared" si="222"/>
        <v>5</v>
      </c>
      <c r="F503" s="80"/>
      <c r="G503" s="83"/>
      <c r="H503" s="69" t="str">
        <f t="shared" si="244"/>
        <v>Senbur6_20191117_00_00</v>
      </c>
      <c r="I503" s="70">
        <f t="shared" si="248"/>
        <v>1</v>
      </c>
      <c r="J503" s="77" t="str">
        <f t="shared" si="248"/>
        <v>Senecio</v>
      </c>
      <c r="K503" s="77" t="str">
        <f t="shared" si="248"/>
        <v>burtoni</v>
      </c>
      <c r="L503" s="78">
        <f t="shared" si="248"/>
        <v>6</v>
      </c>
      <c r="M503" s="78">
        <f t="shared" si="248"/>
        <v>12</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INDEX([1]!VISITORS[INSECT ORDER], MATCH(X503,[1]!VISITORS[NAME USED],0))</f>
        <v>#REF!</v>
      </c>
      <c r="AB503" s="48" t="e">
        <f t="shared" si="228"/>
        <v>#REF!</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17</v>
      </c>
      <c r="D504" s="75">
        <f t="shared" si="221"/>
        <v>0</v>
      </c>
      <c r="E504" s="76">
        <f t="shared" si="222"/>
        <v>6</v>
      </c>
      <c r="F504" s="80"/>
      <c r="G504" s="83"/>
      <c r="H504" s="69" t="str">
        <f t="shared" si="244"/>
        <v>Senbur6_20191117_00_00</v>
      </c>
      <c r="I504" s="70">
        <f t="shared" si="248"/>
        <v>1</v>
      </c>
      <c r="J504" s="77" t="str">
        <f t="shared" si="248"/>
        <v>Senecio</v>
      </c>
      <c r="K504" s="77" t="str">
        <f t="shared" si="248"/>
        <v>burtoni</v>
      </c>
      <c r="L504" s="78">
        <f t="shared" si="248"/>
        <v>6</v>
      </c>
      <c r="M504" s="78">
        <f t="shared" si="248"/>
        <v>12</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INDEX([1]!VISITORS[INSECT ORDER], MATCH(X504,[1]!VISITORS[NAME USED],0))</f>
        <v>#REF!</v>
      </c>
      <c r="AB504" s="48" t="e">
        <f t="shared" si="228"/>
        <v>#REF!</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17</v>
      </c>
      <c r="D505" s="75">
        <f t="shared" si="221"/>
        <v>0</v>
      </c>
      <c r="E505" s="76">
        <f t="shared" si="222"/>
        <v>7</v>
      </c>
      <c r="F505" s="80"/>
      <c r="G505" s="83"/>
      <c r="H505" s="69" t="str">
        <f t="shared" si="244"/>
        <v>Senbur6_20191117_00_00</v>
      </c>
      <c r="I505" s="70">
        <f t="shared" si="248"/>
        <v>1</v>
      </c>
      <c r="J505" s="77" t="str">
        <f t="shared" si="248"/>
        <v>Senecio</v>
      </c>
      <c r="K505" s="77" t="str">
        <f t="shared" si="248"/>
        <v>burtoni</v>
      </c>
      <c r="L505" s="78">
        <f t="shared" si="248"/>
        <v>6</v>
      </c>
      <c r="M505" s="78">
        <f t="shared" si="248"/>
        <v>12</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INDEX([1]!VISITORS[INSECT ORDER], MATCH(X505,[1]!VISITORS[NAME USED],0))</f>
        <v>#REF!</v>
      </c>
      <c r="AB505" s="48" t="e">
        <f t="shared" si="228"/>
        <v>#REF!</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17</v>
      </c>
      <c r="D506" s="75">
        <f t="shared" si="221"/>
        <v>0</v>
      </c>
      <c r="E506" s="76">
        <f t="shared" si="222"/>
        <v>8</v>
      </c>
      <c r="F506" s="80"/>
      <c r="G506" s="83"/>
      <c r="H506" s="69" t="str">
        <f t="shared" si="244"/>
        <v>Senbur6_20191117_00_00</v>
      </c>
      <c r="I506" s="70">
        <f t="shared" si="248"/>
        <v>1</v>
      </c>
      <c r="J506" s="77" t="str">
        <f t="shared" si="248"/>
        <v>Senecio</v>
      </c>
      <c r="K506" s="77" t="str">
        <f t="shared" si="248"/>
        <v>burtoni</v>
      </c>
      <c r="L506" s="78">
        <f t="shared" si="248"/>
        <v>6</v>
      </c>
      <c r="M506" s="78">
        <f t="shared" si="248"/>
        <v>12</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INDEX([1]!VISITORS[INSECT ORDER], MATCH(X506,[1]!VISITORS[NAME USED],0))</f>
        <v>#REF!</v>
      </c>
      <c r="AB506" s="48" t="e">
        <f t="shared" si="228"/>
        <v>#REF!</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17</v>
      </c>
      <c r="D507" s="75">
        <f t="shared" si="221"/>
        <v>0</v>
      </c>
      <c r="E507" s="76">
        <f t="shared" si="222"/>
        <v>9</v>
      </c>
      <c r="F507" s="80"/>
      <c r="G507" s="83"/>
      <c r="H507" s="69" t="str">
        <f t="shared" si="244"/>
        <v>Senbur6_20191117_00_00</v>
      </c>
      <c r="I507" s="70">
        <f t="shared" si="248"/>
        <v>1</v>
      </c>
      <c r="J507" s="77" t="str">
        <f t="shared" si="248"/>
        <v>Senecio</v>
      </c>
      <c r="K507" s="77" t="str">
        <f t="shared" si="248"/>
        <v>burtoni</v>
      </c>
      <c r="L507" s="78">
        <f t="shared" si="248"/>
        <v>6</v>
      </c>
      <c r="M507" s="78">
        <f t="shared" si="248"/>
        <v>12</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INDEX([1]!VISITORS[INSECT ORDER], MATCH(X507,[1]!VISITORS[NAME USED],0))</f>
        <v>#REF!</v>
      </c>
      <c r="AB507" s="48" t="e">
        <f t="shared" si="228"/>
        <v>#REF!</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17</v>
      </c>
      <c r="D508" s="75">
        <f t="shared" si="221"/>
        <v>0</v>
      </c>
      <c r="E508" s="76">
        <f t="shared" si="222"/>
        <v>10</v>
      </c>
      <c r="F508" s="80"/>
      <c r="G508" s="83"/>
      <c r="H508" s="69" t="str">
        <f t="shared" si="244"/>
        <v>Senbur6_20191117_00_00</v>
      </c>
      <c r="I508" s="70">
        <f t="shared" si="248"/>
        <v>1</v>
      </c>
      <c r="J508" s="77" t="str">
        <f t="shared" si="248"/>
        <v>Senecio</v>
      </c>
      <c r="K508" s="77" t="str">
        <f t="shared" si="248"/>
        <v>burtoni</v>
      </c>
      <c r="L508" s="78">
        <f t="shared" si="248"/>
        <v>6</v>
      </c>
      <c r="M508" s="78">
        <f t="shared" si="248"/>
        <v>12</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INDEX([1]!VISITORS[INSECT ORDER], MATCH(X508,[1]!VISITORS[NAME USED],0))</f>
        <v>#REF!</v>
      </c>
      <c r="AB508" s="48" t="e">
        <f t="shared" si="228"/>
        <v>#REF!</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17</v>
      </c>
      <c r="D509" s="75">
        <f t="shared" si="221"/>
        <v>0</v>
      </c>
      <c r="E509" s="76">
        <f t="shared" si="222"/>
        <v>11</v>
      </c>
      <c r="F509" s="80"/>
      <c r="G509" s="83"/>
      <c r="H509" s="69" t="str">
        <f t="shared" si="244"/>
        <v>Senbur6_20191117_00_00</v>
      </c>
      <c r="I509" s="70">
        <f t="shared" si="248"/>
        <v>1</v>
      </c>
      <c r="J509" s="77" t="str">
        <f t="shared" si="248"/>
        <v>Senecio</v>
      </c>
      <c r="K509" s="77" t="str">
        <f t="shared" si="248"/>
        <v>burtoni</v>
      </c>
      <c r="L509" s="78">
        <f t="shared" si="248"/>
        <v>6</v>
      </c>
      <c r="M509" s="78">
        <f t="shared" si="248"/>
        <v>12</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INDEX([1]!VISITORS[INSECT ORDER], MATCH(X509,[1]!VISITORS[NAME USED],0))</f>
        <v>#REF!</v>
      </c>
      <c r="AB509" s="48" t="e">
        <f t="shared" si="228"/>
        <v>#REF!</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17</v>
      </c>
      <c r="D510" s="75">
        <f t="shared" si="221"/>
        <v>0</v>
      </c>
      <c r="E510" s="76">
        <f t="shared" si="222"/>
        <v>12</v>
      </c>
      <c r="F510" s="80"/>
      <c r="G510" s="83"/>
      <c r="H510" s="69" t="str">
        <f t="shared" si="244"/>
        <v>Senbur6_20191117_00_00</v>
      </c>
      <c r="I510" s="70">
        <f t="shared" si="248"/>
        <v>1</v>
      </c>
      <c r="J510" s="77" t="str">
        <f t="shared" si="248"/>
        <v>Senecio</v>
      </c>
      <c r="K510" s="77" t="str">
        <f t="shared" si="248"/>
        <v>burtoni</v>
      </c>
      <c r="L510" s="78">
        <f t="shared" si="248"/>
        <v>6</v>
      </c>
      <c r="M510" s="78">
        <f t="shared" si="248"/>
        <v>12</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INDEX([1]!VISITORS[INSECT ORDER], MATCH(X510,[1]!VISITORS[NAME USED],0))</f>
        <v>#REF!</v>
      </c>
      <c r="AB510" s="48" t="e">
        <f t="shared" si="228"/>
        <v>#REF!</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17</v>
      </c>
      <c r="D511" s="75">
        <f t="shared" si="221"/>
        <v>0</v>
      </c>
      <c r="E511" s="76">
        <f t="shared" si="222"/>
        <v>13</v>
      </c>
      <c r="F511" s="80"/>
      <c r="G511" s="83"/>
      <c r="H511" s="69" t="str">
        <f t="shared" si="244"/>
        <v>Senbur6_20191117_00_00</v>
      </c>
      <c r="I511" s="70">
        <f t="shared" si="248"/>
        <v>1</v>
      </c>
      <c r="J511" s="77" t="str">
        <f t="shared" si="248"/>
        <v>Senecio</v>
      </c>
      <c r="K511" s="77" t="str">
        <f t="shared" si="248"/>
        <v>burtoni</v>
      </c>
      <c r="L511" s="78">
        <f t="shared" si="248"/>
        <v>6</v>
      </c>
      <c r="M511" s="78">
        <f t="shared" si="248"/>
        <v>12</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INDEX([1]!VISITORS[INSECT ORDER], MATCH(X511,[1]!VISITORS[NAME USED],0))</f>
        <v>#REF!</v>
      </c>
      <c r="AB511" s="48" t="e">
        <f t="shared" si="228"/>
        <v>#REF!</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17</v>
      </c>
      <c r="D512" s="75">
        <f t="shared" si="221"/>
        <v>0</v>
      </c>
      <c r="E512" s="76">
        <f t="shared" si="222"/>
        <v>14</v>
      </c>
      <c r="F512" s="80"/>
      <c r="G512" s="83"/>
      <c r="H512" s="69" t="str">
        <f t="shared" si="244"/>
        <v>Senbur6_20191117_00_00</v>
      </c>
      <c r="I512" s="70">
        <f t="shared" si="248"/>
        <v>1</v>
      </c>
      <c r="J512" s="77" t="str">
        <f t="shared" si="248"/>
        <v>Senecio</v>
      </c>
      <c r="K512" s="77" t="str">
        <f t="shared" si="248"/>
        <v>burtoni</v>
      </c>
      <c r="L512" s="78">
        <f t="shared" si="248"/>
        <v>6</v>
      </c>
      <c r="M512" s="78">
        <f t="shared" si="248"/>
        <v>12</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INDEX([1]!VISITORS[INSECT ORDER], MATCH(X512,[1]!VISITORS[NAME USED],0))</f>
        <v>#REF!</v>
      </c>
      <c r="AB512" s="48" t="e">
        <f t="shared" si="228"/>
        <v>#REF!</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17</v>
      </c>
      <c r="D513" s="75">
        <f t="shared" si="221"/>
        <v>0</v>
      </c>
      <c r="E513" s="76">
        <f t="shared" si="222"/>
        <v>15</v>
      </c>
      <c r="F513" s="80"/>
      <c r="G513" s="83"/>
      <c r="H513" s="69" t="str">
        <f t="shared" si="244"/>
        <v>Senbur6_20191117_00_00</v>
      </c>
      <c r="I513" s="70">
        <f t="shared" si="248"/>
        <v>1</v>
      </c>
      <c r="J513" s="77" t="str">
        <f t="shared" si="248"/>
        <v>Senecio</v>
      </c>
      <c r="K513" s="77" t="str">
        <f t="shared" si="248"/>
        <v>burtoni</v>
      </c>
      <c r="L513" s="78">
        <f t="shared" si="248"/>
        <v>6</v>
      </c>
      <c r="M513" s="78">
        <f t="shared" si="248"/>
        <v>12</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INDEX([1]!VISITORS[INSECT ORDER], MATCH(X513,[1]!VISITORS[NAME USED],0))</f>
        <v>#REF!</v>
      </c>
      <c r="AB513" s="48" t="e">
        <f t="shared" si="228"/>
        <v>#REF!</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17</v>
      </c>
      <c r="D514" s="75">
        <f t="shared" si="221"/>
        <v>0</v>
      </c>
      <c r="E514" s="76">
        <f t="shared" si="222"/>
        <v>16</v>
      </c>
      <c r="F514" s="80"/>
      <c r="G514" s="83"/>
      <c r="H514" s="69" t="str">
        <f t="shared" si="244"/>
        <v>Senbur6_20191117_00_00</v>
      </c>
      <c r="I514" s="70">
        <f t="shared" si="248"/>
        <v>1</v>
      </c>
      <c r="J514" s="77" t="str">
        <f t="shared" si="248"/>
        <v>Senecio</v>
      </c>
      <c r="K514" s="77" t="str">
        <f t="shared" si="248"/>
        <v>burtoni</v>
      </c>
      <c r="L514" s="78">
        <f t="shared" si="248"/>
        <v>6</v>
      </c>
      <c r="M514" s="78">
        <f t="shared" si="248"/>
        <v>12</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INDEX([1]!VISITORS[INSECT ORDER], MATCH(X514,[1]!VISITORS[NAME USED],0))</f>
        <v>#REF!</v>
      </c>
      <c r="AB514" s="48" t="e">
        <f t="shared" si="228"/>
        <v>#REF!</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17</v>
      </c>
      <c r="D515" s="75">
        <f t="shared" si="221"/>
        <v>0</v>
      </c>
      <c r="E515" s="76">
        <f t="shared" si="222"/>
        <v>17</v>
      </c>
      <c r="F515" s="80"/>
      <c r="G515" s="83"/>
      <c r="H515" s="69" t="str">
        <f t="shared" si="244"/>
        <v>Senbur6_20191117_00_00</v>
      </c>
      <c r="I515" s="70">
        <f t="shared" si="248"/>
        <v>1</v>
      </c>
      <c r="J515" s="77" t="str">
        <f t="shared" si="248"/>
        <v>Senecio</v>
      </c>
      <c r="K515" s="77" t="str">
        <f t="shared" si="248"/>
        <v>burtoni</v>
      </c>
      <c r="L515" s="78">
        <f t="shared" si="248"/>
        <v>6</v>
      </c>
      <c r="M515" s="78">
        <f t="shared" si="248"/>
        <v>12</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INDEX([1]!VISITORS[INSECT ORDER], MATCH(X515,[1]!VISITORS[NAME USED],0))</f>
        <v>#REF!</v>
      </c>
      <c r="AB515" s="48" t="e">
        <f t="shared" si="228"/>
        <v>#REF!</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17</v>
      </c>
      <c r="D516" s="75">
        <f t="shared" ref="D516:D579" si="252">IF(IF(E515=59,D515+1,D515)=24,0,IF(E515=59,D515+1,D515))</f>
        <v>0</v>
      </c>
      <c r="E516" s="76">
        <f t="shared" ref="E516:E579" si="253">IF(E515&lt;59,E515+1,0)</f>
        <v>18</v>
      </c>
      <c r="F516" s="80"/>
      <c r="G516" s="83"/>
      <c r="H516" s="69" t="str">
        <f t="shared" si="244"/>
        <v>Senbur6_20191117_00_00</v>
      </c>
      <c r="I516" s="70">
        <f t="shared" si="248"/>
        <v>1</v>
      </c>
      <c r="J516" s="77" t="str">
        <f t="shared" si="248"/>
        <v>Senecio</v>
      </c>
      <c r="K516" s="77" t="str">
        <f t="shared" si="248"/>
        <v>burtoni</v>
      </c>
      <c r="L516" s="78">
        <f t="shared" si="248"/>
        <v>6</v>
      </c>
      <c r="M516" s="78">
        <f t="shared" si="248"/>
        <v>12</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INDEX([1]!VISITORS[INSECT ORDER], MATCH(X516,[1]!VISITORS[NAME USED],0))</f>
        <v>#REF!</v>
      </c>
      <c r="AB516" s="48" t="e">
        <f t="shared" ref="AB516:AB579" si="259">IF(AA516&lt;&gt;0,"NA","")</f>
        <v>#REF!</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17</v>
      </c>
      <c r="D517" s="75">
        <f t="shared" si="252"/>
        <v>0</v>
      </c>
      <c r="E517" s="76">
        <f t="shared" si="253"/>
        <v>19</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Senbur6_20191117_00_00</v>
      </c>
      <c r="I517" s="70">
        <f t="shared" ref="I517:N532" si="276">I516</f>
        <v>1</v>
      </c>
      <c r="J517" s="77" t="str">
        <f t="shared" si="276"/>
        <v>Senecio</v>
      </c>
      <c r="K517" s="77" t="str">
        <f t="shared" si="276"/>
        <v>burtoni</v>
      </c>
      <c r="L517" s="78">
        <f t="shared" si="276"/>
        <v>6</v>
      </c>
      <c r="M517" s="78">
        <f t="shared" si="276"/>
        <v>12</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INDEX([1]!VISITORS[INSECT ORDER], MATCH(X517,[1]!VISITORS[NAME USED],0))</f>
        <v>#REF!</v>
      </c>
      <c r="AB517" s="48" t="e">
        <f t="shared" si="259"/>
        <v>#REF!</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17</v>
      </c>
      <c r="D518" s="75">
        <f t="shared" si="252"/>
        <v>0</v>
      </c>
      <c r="E518" s="76">
        <f t="shared" si="253"/>
        <v>20</v>
      </c>
      <c r="F518" s="80"/>
      <c r="G518" s="83"/>
      <c r="H518" s="69" t="str">
        <f t="shared" si="275"/>
        <v>Senbur6_20191117_00_00</v>
      </c>
      <c r="I518" s="70">
        <f t="shared" si="276"/>
        <v>1</v>
      </c>
      <c r="J518" s="77" t="str">
        <f t="shared" si="276"/>
        <v>Senecio</v>
      </c>
      <c r="K518" s="77" t="str">
        <f t="shared" si="276"/>
        <v>burtoni</v>
      </c>
      <c r="L518" s="78">
        <f t="shared" si="276"/>
        <v>6</v>
      </c>
      <c r="M518" s="78">
        <f t="shared" si="276"/>
        <v>12</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INDEX([1]!VISITORS[INSECT ORDER], MATCH(X518,[1]!VISITORS[NAME USED],0))</f>
        <v>#REF!</v>
      </c>
      <c r="AB518" s="48" t="e">
        <f t="shared" si="259"/>
        <v>#REF!</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17</v>
      </c>
      <c r="D519" s="75">
        <f t="shared" si="252"/>
        <v>0</v>
      </c>
      <c r="E519" s="76">
        <f t="shared" si="253"/>
        <v>21</v>
      </c>
      <c r="F519" s="80"/>
      <c r="G519" s="83"/>
      <c r="H519" s="69" t="str">
        <f t="shared" si="275"/>
        <v>Senbur6_20191117_00_00</v>
      </c>
      <c r="I519" s="70">
        <f t="shared" si="276"/>
        <v>1</v>
      </c>
      <c r="J519" s="77" t="str">
        <f t="shared" si="276"/>
        <v>Senecio</v>
      </c>
      <c r="K519" s="77" t="str">
        <f t="shared" si="276"/>
        <v>burtoni</v>
      </c>
      <c r="L519" s="78">
        <f t="shared" si="276"/>
        <v>6</v>
      </c>
      <c r="M519" s="78">
        <f t="shared" si="276"/>
        <v>12</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INDEX([1]!VISITORS[INSECT ORDER], MATCH(X519,[1]!VISITORS[NAME USED],0))</f>
        <v>#REF!</v>
      </c>
      <c r="AB519" s="48" t="e">
        <f t="shared" si="259"/>
        <v>#REF!</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17</v>
      </c>
      <c r="D520" s="75">
        <f t="shared" si="252"/>
        <v>0</v>
      </c>
      <c r="E520" s="76">
        <f t="shared" si="253"/>
        <v>22</v>
      </c>
      <c r="F520" s="80"/>
      <c r="G520" s="83"/>
      <c r="H520" s="69" t="str">
        <f t="shared" si="275"/>
        <v>Senbur6_20191117_00_00</v>
      </c>
      <c r="I520" s="70">
        <f t="shared" si="276"/>
        <v>1</v>
      </c>
      <c r="J520" s="77" t="str">
        <f t="shared" si="276"/>
        <v>Senecio</v>
      </c>
      <c r="K520" s="77" t="str">
        <f t="shared" si="276"/>
        <v>burtoni</v>
      </c>
      <c r="L520" s="78">
        <f t="shared" si="276"/>
        <v>6</v>
      </c>
      <c r="M520" s="78">
        <f t="shared" si="276"/>
        <v>12</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INDEX([1]!VISITORS[INSECT ORDER], MATCH(X520,[1]!VISITORS[NAME USED],0))</f>
        <v>#REF!</v>
      </c>
      <c r="AB520" s="48" t="e">
        <f t="shared" si="259"/>
        <v>#REF!</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17</v>
      </c>
      <c r="D521" s="75">
        <f t="shared" si="252"/>
        <v>0</v>
      </c>
      <c r="E521" s="76">
        <f t="shared" si="253"/>
        <v>23</v>
      </c>
      <c r="F521" s="80"/>
      <c r="G521" s="83"/>
      <c r="H521" s="69" t="str">
        <f t="shared" si="275"/>
        <v>Senbur6_20191117_00_00</v>
      </c>
      <c r="I521" s="70">
        <f t="shared" si="276"/>
        <v>1</v>
      </c>
      <c r="J521" s="77" t="str">
        <f t="shared" si="276"/>
        <v>Senecio</v>
      </c>
      <c r="K521" s="77" t="str">
        <f t="shared" si="276"/>
        <v>burtoni</v>
      </c>
      <c r="L521" s="78">
        <f t="shared" si="276"/>
        <v>6</v>
      </c>
      <c r="M521" s="78">
        <f t="shared" si="276"/>
        <v>12</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INDEX([1]!VISITORS[INSECT ORDER], MATCH(X521,[1]!VISITORS[NAME USED],0))</f>
        <v>#REF!</v>
      </c>
      <c r="AB521" s="48" t="e">
        <f t="shared" si="259"/>
        <v>#REF!</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17</v>
      </c>
      <c r="D522" s="75">
        <f t="shared" si="252"/>
        <v>0</v>
      </c>
      <c r="E522" s="76">
        <f t="shared" si="253"/>
        <v>24</v>
      </c>
      <c r="F522" s="80"/>
      <c r="G522" s="83"/>
      <c r="H522" s="69" t="str">
        <f t="shared" si="275"/>
        <v>Senbur6_20191117_00_00</v>
      </c>
      <c r="I522" s="70">
        <f t="shared" si="276"/>
        <v>1</v>
      </c>
      <c r="J522" s="77" t="str">
        <f t="shared" si="276"/>
        <v>Senecio</v>
      </c>
      <c r="K522" s="77" t="str">
        <f t="shared" si="276"/>
        <v>burtoni</v>
      </c>
      <c r="L522" s="78">
        <f t="shared" si="276"/>
        <v>6</v>
      </c>
      <c r="M522" s="78">
        <f t="shared" si="276"/>
        <v>12</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INDEX([1]!VISITORS[INSECT ORDER], MATCH(X522,[1]!VISITORS[NAME USED],0))</f>
        <v>#REF!</v>
      </c>
      <c r="AB522" s="48" t="e">
        <f t="shared" si="259"/>
        <v>#REF!</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17</v>
      </c>
      <c r="D523" s="75">
        <f t="shared" si="252"/>
        <v>0</v>
      </c>
      <c r="E523" s="76">
        <f t="shared" si="253"/>
        <v>25</v>
      </c>
      <c r="F523" s="80"/>
      <c r="G523" s="83"/>
      <c r="H523" s="69" t="str">
        <f t="shared" si="275"/>
        <v>Senbur6_20191117_00_00</v>
      </c>
      <c r="I523" s="70">
        <f t="shared" si="276"/>
        <v>1</v>
      </c>
      <c r="J523" s="77" t="str">
        <f t="shared" si="276"/>
        <v>Senecio</v>
      </c>
      <c r="K523" s="77" t="str">
        <f t="shared" si="276"/>
        <v>burtoni</v>
      </c>
      <c r="L523" s="78">
        <f t="shared" si="276"/>
        <v>6</v>
      </c>
      <c r="M523" s="78">
        <f t="shared" si="276"/>
        <v>12</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INDEX([1]!VISITORS[INSECT ORDER], MATCH(X523,[1]!VISITORS[NAME USED],0))</f>
        <v>#REF!</v>
      </c>
      <c r="AB523" s="48" t="e">
        <f t="shared" si="259"/>
        <v>#REF!</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17</v>
      </c>
      <c r="D524" s="75">
        <f t="shared" si="252"/>
        <v>0</v>
      </c>
      <c r="E524" s="76">
        <f t="shared" si="253"/>
        <v>26</v>
      </c>
      <c r="F524" s="80"/>
      <c r="G524" s="83"/>
      <c r="H524" s="69" t="str">
        <f t="shared" si="275"/>
        <v>Senbur6_20191117_00_00</v>
      </c>
      <c r="I524" s="70">
        <f t="shared" si="276"/>
        <v>1</v>
      </c>
      <c r="J524" s="77" t="str">
        <f t="shared" si="276"/>
        <v>Senecio</v>
      </c>
      <c r="K524" s="77" t="str">
        <f t="shared" si="276"/>
        <v>burtoni</v>
      </c>
      <c r="L524" s="78">
        <f t="shared" si="276"/>
        <v>6</v>
      </c>
      <c r="M524" s="78">
        <f t="shared" si="276"/>
        <v>12</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INDEX([1]!VISITORS[INSECT ORDER], MATCH(X524,[1]!VISITORS[NAME USED],0))</f>
        <v>#REF!</v>
      </c>
      <c r="AB524" s="48" t="e">
        <f t="shared" si="259"/>
        <v>#REF!</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17</v>
      </c>
      <c r="D525" s="75">
        <f t="shared" si="252"/>
        <v>0</v>
      </c>
      <c r="E525" s="76">
        <f t="shared" si="253"/>
        <v>27</v>
      </c>
      <c r="F525" s="80"/>
      <c r="G525" s="83"/>
      <c r="H525" s="69" t="str">
        <f t="shared" si="275"/>
        <v>Senbur6_20191117_00_00</v>
      </c>
      <c r="I525" s="70">
        <f t="shared" si="276"/>
        <v>1</v>
      </c>
      <c r="J525" s="77" t="str">
        <f t="shared" si="276"/>
        <v>Senecio</v>
      </c>
      <c r="K525" s="77" t="str">
        <f t="shared" si="276"/>
        <v>burtoni</v>
      </c>
      <c r="L525" s="78">
        <f t="shared" si="276"/>
        <v>6</v>
      </c>
      <c r="M525" s="78">
        <f t="shared" si="276"/>
        <v>12</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INDEX([1]!VISITORS[INSECT ORDER], MATCH(X525,[1]!VISITORS[NAME USED],0))</f>
        <v>#REF!</v>
      </c>
      <c r="AB525" s="48" t="e">
        <f t="shared" si="259"/>
        <v>#REF!</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17</v>
      </c>
      <c r="D526" s="75">
        <f t="shared" si="252"/>
        <v>0</v>
      </c>
      <c r="E526" s="76">
        <f t="shared" si="253"/>
        <v>28</v>
      </c>
      <c r="F526" s="80"/>
      <c r="G526" s="83"/>
      <c r="H526" s="69" t="str">
        <f t="shared" si="275"/>
        <v>Senbur6_20191117_00_00</v>
      </c>
      <c r="I526" s="70">
        <f t="shared" si="276"/>
        <v>1</v>
      </c>
      <c r="J526" s="77" t="str">
        <f t="shared" si="276"/>
        <v>Senecio</v>
      </c>
      <c r="K526" s="77" t="str">
        <f t="shared" si="276"/>
        <v>burtoni</v>
      </c>
      <c r="L526" s="78">
        <f t="shared" si="276"/>
        <v>6</v>
      </c>
      <c r="M526" s="78">
        <f t="shared" si="276"/>
        <v>12</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INDEX([1]!VISITORS[INSECT ORDER], MATCH(X526,[1]!VISITORS[NAME USED],0))</f>
        <v>#REF!</v>
      </c>
      <c r="AB526" s="48" t="e">
        <f t="shared" si="259"/>
        <v>#REF!</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17</v>
      </c>
      <c r="D527" s="75">
        <f t="shared" si="252"/>
        <v>0</v>
      </c>
      <c r="E527" s="76">
        <f t="shared" si="253"/>
        <v>29</v>
      </c>
      <c r="F527" s="80"/>
      <c r="G527" s="83"/>
      <c r="H527" s="69" t="str">
        <f t="shared" si="275"/>
        <v>Senbur6_20191117_00_00</v>
      </c>
      <c r="I527" s="70">
        <f t="shared" si="276"/>
        <v>1</v>
      </c>
      <c r="J527" s="77" t="str">
        <f t="shared" si="276"/>
        <v>Senecio</v>
      </c>
      <c r="K527" s="77" t="str">
        <f t="shared" si="276"/>
        <v>burtoni</v>
      </c>
      <c r="L527" s="78">
        <f t="shared" si="276"/>
        <v>6</v>
      </c>
      <c r="M527" s="78">
        <f t="shared" si="276"/>
        <v>12</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INDEX([1]!VISITORS[INSECT ORDER], MATCH(X527,[1]!VISITORS[NAME USED],0))</f>
        <v>#REF!</v>
      </c>
      <c r="AB527" s="48" t="e">
        <f t="shared" si="259"/>
        <v>#REF!</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17</v>
      </c>
      <c r="D528" s="75">
        <f t="shared" si="252"/>
        <v>0</v>
      </c>
      <c r="E528" s="76">
        <f t="shared" si="253"/>
        <v>30</v>
      </c>
      <c r="F528" s="80"/>
      <c r="G528" s="83"/>
      <c r="H528" s="69" t="str">
        <f t="shared" si="275"/>
        <v>Senbur6_20191117_00_00</v>
      </c>
      <c r="I528" s="70">
        <f t="shared" si="276"/>
        <v>1</v>
      </c>
      <c r="J528" s="77" t="str">
        <f t="shared" si="276"/>
        <v>Senecio</v>
      </c>
      <c r="K528" s="77" t="str">
        <f t="shared" si="276"/>
        <v>burtoni</v>
      </c>
      <c r="L528" s="78">
        <f t="shared" si="276"/>
        <v>6</v>
      </c>
      <c r="M528" s="78">
        <f t="shared" si="276"/>
        <v>12</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INDEX([1]!VISITORS[INSECT ORDER], MATCH(X528,[1]!VISITORS[NAME USED],0))</f>
        <v>#REF!</v>
      </c>
      <c r="AB528" s="48" t="e">
        <f t="shared" si="259"/>
        <v>#REF!</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17</v>
      </c>
      <c r="D529" s="75">
        <f t="shared" si="252"/>
        <v>0</v>
      </c>
      <c r="E529" s="76">
        <f t="shared" si="253"/>
        <v>31</v>
      </c>
      <c r="F529" s="80"/>
      <c r="G529" s="83"/>
      <c r="H529" s="69" t="str">
        <f t="shared" si="275"/>
        <v>Senbur6_20191117_00_00</v>
      </c>
      <c r="I529" s="70">
        <f t="shared" si="276"/>
        <v>1</v>
      </c>
      <c r="J529" s="77" t="str">
        <f t="shared" si="276"/>
        <v>Senecio</v>
      </c>
      <c r="K529" s="77" t="str">
        <f t="shared" si="276"/>
        <v>burtoni</v>
      </c>
      <c r="L529" s="78">
        <f t="shared" si="276"/>
        <v>6</v>
      </c>
      <c r="M529" s="78">
        <f t="shared" si="276"/>
        <v>12</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INDEX([1]!VISITORS[INSECT ORDER], MATCH(X529,[1]!VISITORS[NAME USED],0))</f>
        <v>#REF!</v>
      </c>
      <c r="AB529" s="48" t="e">
        <f t="shared" si="259"/>
        <v>#REF!</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17</v>
      </c>
      <c r="D530" s="75">
        <f t="shared" si="252"/>
        <v>0</v>
      </c>
      <c r="E530" s="76">
        <f t="shared" si="253"/>
        <v>32</v>
      </c>
      <c r="F530" s="80"/>
      <c r="G530" s="83"/>
      <c r="H530" s="69" t="str">
        <f t="shared" si="275"/>
        <v>Senbur6_20191117_00_00</v>
      </c>
      <c r="I530" s="70">
        <f t="shared" si="276"/>
        <v>1</v>
      </c>
      <c r="J530" s="77" t="str">
        <f t="shared" si="276"/>
        <v>Senecio</v>
      </c>
      <c r="K530" s="77" t="str">
        <f t="shared" si="276"/>
        <v>burtoni</v>
      </c>
      <c r="L530" s="78">
        <f t="shared" si="276"/>
        <v>6</v>
      </c>
      <c r="M530" s="78">
        <f t="shared" si="276"/>
        <v>12</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INDEX([1]!VISITORS[INSECT ORDER], MATCH(X530,[1]!VISITORS[NAME USED],0))</f>
        <v>#REF!</v>
      </c>
      <c r="AB530" s="48" t="e">
        <f t="shared" si="259"/>
        <v>#REF!</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17</v>
      </c>
      <c r="D531" s="75">
        <f t="shared" si="252"/>
        <v>0</v>
      </c>
      <c r="E531" s="76">
        <f t="shared" si="253"/>
        <v>33</v>
      </c>
      <c r="F531" s="80"/>
      <c r="G531" s="83"/>
      <c r="H531" s="69" t="str">
        <f t="shared" si="275"/>
        <v>Senbur6_20191117_00_00</v>
      </c>
      <c r="I531" s="70">
        <f t="shared" si="276"/>
        <v>1</v>
      </c>
      <c r="J531" s="77" t="str">
        <f t="shared" si="276"/>
        <v>Senecio</v>
      </c>
      <c r="K531" s="77" t="str">
        <f t="shared" si="276"/>
        <v>burtoni</v>
      </c>
      <c r="L531" s="78">
        <f t="shared" si="276"/>
        <v>6</v>
      </c>
      <c r="M531" s="78">
        <f t="shared" si="276"/>
        <v>12</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INDEX([1]!VISITORS[INSECT ORDER], MATCH(X531,[1]!VISITORS[NAME USED],0))</f>
        <v>#REF!</v>
      </c>
      <c r="AB531" s="48" t="e">
        <f t="shared" si="259"/>
        <v>#REF!</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17</v>
      </c>
      <c r="D532" s="75">
        <f t="shared" si="252"/>
        <v>0</v>
      </c>
      <c r="E532" s="76">
        <f t="shared" si="253"/>
        <v>34</v>
      </c>
      <c r="F532" s="80"/>
      <c r="G532" s="83"/>
      <c r="H532" s="69" t="str">
        <f t="shared" si="275"/>
        <v>Senbur6_20191117_00_00</v>
      </c>
      <c r="I532" s="70">
        <f t="shared" si="276"/>
        <v>1</v>
      </c>
      <c r="J532" s="77" t="str">
        <f t="shared" si="276"/>
        <v>Senecio</v>
      </c>
      <c r="K532" s="77" t="str">
        <f t="shared" si="276"/>
        <v>burtoni</v>
      </c>
      <c r="L532" s="78">
        <f t="shared" si="276"/>
        <v>6</v>
      </c>
      <c r="M532" s="78">
        <f t="shared" si="276"/>
        <v>12</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INDEX([1]!VISITORS[INSECT ORDER], MATCH(X532,[1]!VISITORS[NAME USED],0))</f>
        <v>#REF!</v>
      </c>
      <c r="AB532" s="48" t="e">
        <f t="shared" si="259"/>
        <v>#REF!</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17</v>
      </c>
      <c r="D533" s="75">
        <f t="shared" si="252"/>
        <v>0</v>
      </c>
      <c r="E533" s="76">
        <f t="shared" si="253"/>
        <v>35</v>
      </c>
      <c r="F533" s="80"/>
      <c r="G533" s="83"/>
      <c r="H533" s="69" t="str">
        <f t="shared" si="275"/>
        <v>Senbur6_20191117_00_00</v>
      </c>
      <c r="I533" s="70">
        <f t="shared" ref="I533:N548" si="277">I532</f>
        <v>1</v>
      </c>
      <c r="J533" s="77" t="str">
        <f t="shared" si="277"/>
        <v>Senecio</v>
      </c>
      <c r="K533" s="77" t="str">
        <f t="shared" si="277"/>
        <v>burtoni</v>
      </c>
      <c r="L533" s="78">
        <f t="shared" si="277"/>
        <v>6</v>
      </c>
      <c r="M533" s="78">
        <f t="shared" si="277"/>
        <v>12</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INDEX([1]!VISITORS[INSECT ORDER], MATCH(X533,[1]!VISITORS[NAME USED],0))</f>
        <v>#REF!</v>
      </c>
      <c r="AB533" s="48" t="e">
        <f t="shared" si="259"/>
        <v>#REF!</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17</v>
      </c>
      <c r="D534" s="75">
        <f t="shared" si="252"/>
        <v>0</v>
      </c>
      <c r="E534" s="76">
        <f t="shared" si="253"/>
        <v>36</v>
      </c>
      <c r="F534" s="80"/>
      <c r="G534" s="83"/>
      <c r="H534" s="69" t="str">
        <f t="shared" si="275"/>
        <v>Senbur6_20191117_00_00</v>
      </c>
      <c r="I534" s="70">
        <f t="shared" si="277"/>
        <v>1</v>
      </c>
      <c r="J534" s="77" t="str">
        <f t="shared" si="277"/>
        <v>Senecio</v>
      </c>
      <c r="K534" s="77" t="str">
        <f t="shared" si="277"/>
        <v>burtoni</v>
      </c>
      <c r="L534" s="78">
        <f t="shared" si="277"/>
        <v>6</v>
      </c>
      <c r="M534" s="78">
        <f t="shared" si="277"/>
        <v>12</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INDEX([1]!VISITORS[INSECT ORDER], MATCH(X534,[1]!VISITORS[NAME USED],0))</f>
        <v>#REF!</v>
      </c>
      <c r="AB534" s="48" t="e">
        <f t="shared" si="259"/>
        <v>#REF!</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17</v>
      </c>
      <c r="D535" s="75">
        <f t="shared" si="252"/>
        <v>0</v>
      </c>
      <c r="E535" s="76">
        <f t="shared" si="253"/>
        <v>37</v>
      </c>
      <c r="F535" s="80"/>
      <c r="G535" s="83"/>
      <c r="H535" s="69" t="str">
        <f t="shared" si="275"/>
        <v>Senbur6_20191117_00_00</v>
      </c>
      <c r="I535" s="70">
        <f t="shared" si="277"/>
        <v>1</v>
      </c>
      <c r="J535" s="77" t="str">
        <f t="shared" si="277"/>
        <v>Senecio</v>
      </c>
      <c r="K535" s="77" t="str">
        <f t="shared" si="277"/>
        <v>burtoni</v>
      </c>
      <c r="L535" s="78">
        <f t="shared" si="277"/>
        <v>6</v>
      </c>
      <c r="M535" s="78">
        <f t="shared" si="277"/>
        <v>12</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INDEX([1]!VISITORS[INSECT ORDER], MATCH(X535,[1]!VISITORS[NAME USED],0))</f>
        <v>#REF!</v>
      </c>
      <c r="AB535" s="48" t="e">
        <f t="shared" si="259"/>
        <v>#REF!</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17</v>
      </c>
      <c r="D536" s="75">
        <f t="shared" si="252"/>
        <v>0</v>
      </c>
      <c r="E536" s="76">
        <f t="shared" si="253"/>
        <v>38</v>
      </c>
      <c r="F536" s="80"/>
      <c r="G536" s="83"/>
      <c r="H536" s="69" t="str">
        <f t="shared" si="275"/>
        <v>Senbur6_20191117_00_00</v>
      </c>
      <c r="I536" s="70">
        <f t="shared" si="277"/>
        <v>1</v>
      </c>
      <c r="J536" s="77" t="str">
        <f t="shared" si="277"/>
        <v>Senecio</v>
      </c>
      <c r="K536" s="77" t="str">
        <f t="shared" si="277"/>
        <v>burtoni</v>
      </c>
      <c r="L536" s="78">
        <f t="shared" si="277"/>
        <v>6</v>
      </c>
      <c r="M536" s="78">
        <f t="shared" si="277"/>
        <v>12</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INDEX([1]!VISITORS[INSECT ORDER], MATCH(X536,[1]!VISITORS[NAME USED],0))</f>
        <v>#REF!</v>
      </c>
      <c r="AB536" s="48" t="e">
        <f t="shared" si="259"/>
        <v>#REF!</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17</v>
      </c>
      <c r="D537" s="75">
        <f t="shared" si="252"/>
        <v>0</v>
      </c>
      <c r="E537" s="76">
        <f t="shared" si="253"/>
        <v>39</v>
      </c>
      <c r="F537" s="80"/>
      <c r="G537" s="83"/>
      <c r="H537" s="69" t="str">
        <f t="shared" si="275"/>
        <v>Senbur6_20191117_00_00</v>
      </c>
      <c r="I537" s="70">
        <f t="shared" si="277"/>
        <v>1</v>
      </c>
      <c r="J537" s="77" t="str">
        <f t="shared" si="277"/>
        <v>Senecio</v>
      </c>
      <c r="K537" s="77" t="str">
        <f t="shared" si="277"/>
        <v>burtoni</v>
      </c>
      <c r="L537" s="78">
        <f t="shared" si="277"/>
        <v>6</v>
      </c>
      <c r="M537" s="78">
        <f t="shared" si="277"/>
        <v>12</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INDEX([1]!VISITORS[INSECT ORDER], MATCH(X537,[1]!VISITORS[NAME USED],0))</f>
        <v>#REF!</v>
      </c>
      <c r="AB537" s="48" t="e">
        <f t="shared" si="259"/>
        <v>#REF!</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17</v>
      </c>
      <c r="D538" s="75">
        <f t="shared" si="252"/>
        <v>0</v>
      </c>
      <c r="E538" s="76">
        <f t="shared" si="253"/>
        <v>40</v>
      </c>
      <c r="F538" s="80"/>
      <c r="G538" s="83"/>
      <c r="H538" s="69" t="str">
        <f t="shared" si="275"/>
        <v>Senbur6_20191117_00_00</v>
      </c>
      <c r="I538" s="70">
        <f t="shared" si="277"/>
        <v>1</v>
      </c>
      <c r="J538" s="77" t="str">
        <f t="shared" si="277"/>
        <v>Senecio</v>
      </c>
      <c r="K538" s="77" t="str">
        <f t="shared" si="277"/>
        <v>burtoni</v>
      </c>
      <c r="L538" s="78">
        <f t="shared" si="277"/>
        <v>6</v>
      </c>
      <c r="M538" s="78">
        <f t="shared" si="277"/>
        <v>12</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INDEX([1]!VISITORS[INSECT ORDER], MATCH(X538,[1]!VISITORS[NAME USED],0))</f>
        <v>#REF!</v>
      </c>
      <c r="AB538" s="48" t="e">
        <f t="shared" si="259"/>
        <v>#REF!</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17</v>
      </c>
      <c r="D539" s="75">
        <f t="shared" si="252"/>
        <v>0</v>
      </c>
      <c r="E539" s="76">
        <f t="shared" si="253"/>
        <v>41</v>
      </c>
      <c r="F539" s="80"/>
      <c r="G539" s="83"/>
      <c r="H539" s="69" t="str">
        <f t="shared" si="275"/>
        <v>Senbur6_20191117_00_00</v>
      </c>
      <c r="I539" s="70">
        <f t="shared" si="277"/>
        <v>1</v>
      </c>
      <c r="J539" s="77" t="str">
        <f t="shared" si="277"/>
        <v>Senecio</v>
      </c>
      <c r="K539" s="77" t="str">
        <f t="shared" si="277"/>
        <v>burtoni</v>
      </c>
      <c r="L539" s="78">
        <f t="shared" si="277"/>
        <v>6</v>
      </c>
      <c r="M539" s="78">
        <f t="shared" si="277"/>
        <v>12</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INDEX([1]!VISITORS[INSECT ORDER], MATCH(X539,[1]!VISITORS[NAME USED],0))</f>
        <v>#REF!</v>
      </c>
      <c r="AB539" s="48" t="e">
        <f t="shared" si="259"/>
        <v>#REF!</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17</v>
      </c>
      <c r="D540" s="75">
        <f t="shared" si="252"/>
        <v>0</v>
      </c>
      <c r="E540" s="76">
        <f t="shared" si="253"/>
        <v>42</v>
      </c>
      <c r="F540" s="80"/>
      <c r="G540" s="83"/>
      <c r="H540" s="69" t="str">
        <f t="shared" si="275"/>
        <v>Senbur6_20191117_00_00</v>
      </c>
      <c r="I540" s="70">
        <f t="shared" si="277"/>
        <v>1</v>
      </c>
      <c r="J540" s="77" t="str">
        <f t="shared" si="277"/>
        <v>Senecio</v>
      </c>
      <c r="K540" s="77" t="str">
        <f t="shared" si="277"/>
        <v>burtoni</v>
      </c>
      <c r="L540" s="78">
        <f t="shared" si="277"/>
        <v>6</v>
      </c>
      <c r="M540" s="78">
        <f t="shared" si="277"/>
        <v>12</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INDEX([1]!VISITORS[INSECT ORDER], MATCH(X540,[1]!VISITORS[NAME USED],0))</f>
        <v>#REF!</v>
      </c>
      <c r="AB540" s="48" t="e">
        <f t="shared" si="259"/>
        <v>#REF!</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17</v>
      </c>
      <c r="D541" s="75">
        <f t="shared" si="252"/>
        <v>0</v>
      </c>
      <c r="E541" s="76">
        <f t="shared" si="253"/>
        <v>43</v>
      </c>
      <c r="F541" s="80"/>
      <c r="G541" s="83"/>
      <c r="H541" s="69" t="str">
        <f t="shared" si="275"/>
        <v>Senbur6_20191117_00_00</v>
      </c>
      <c r="I541" s="70">
        <f t="shared" si="277"/>
        <v>1</v>
      </c>
      <c r="J541" s="77" t="str">
        <f t="shared" si="277"/>
        <v>Senecio</v>
      </c>
      <c r="K541" s="77" t="str">
        <f t="shared" si="277"/>
        <v>burtoni</v>
      </c>
      <c r="L541" s="78">
        <f t="shared" si="277"/>
        <v>6</v>
      </c>
      <c r="M541" s="78">
        <f t="shared" si="277"/>
        <v>12</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INDEX([1]!VISITORS[INSECT ORDER], MATCH(X541,[1]!VISITORS[NAME USED],0))</f>
        <v>#REF!</v>
      </c>
      <c r="AB541" s="48" t="e">
        <f t="shared" si="259"/>
        <v>#REF!</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17</v>
      </c>
      <c r="D542" s="75">
        <f t="shared" si="252"/>
        <v>0</v>
      </c>
      <c r="E542" s="76">
        <f t="shared" si="253"/>
        <v>44</v>
      </c>
      <c r="F542" s="80"/>
      <c r="G542" s="83"/>
      <c r="H542" s="69" t="str">
        <f t="shared" si="275"/>
        <v>Senbur6_20191117_00_00</v>
      </c>
      <c r="I542" s="70">
        <f t="shared" si="277"/>
        <v>1</v>
      </c>
      <c r="J542" s="77" t="str">
        <f t="shared" si="277"/>
        <v>Senecio</v>
      </c>
      <c r="K542" s="77" t="str">
        <f t="shared" si="277"/>
        <v>burtoni</v>
      </c>
      <c r="L542" s="78">
        <f t="shared" si="277"/>
        <v>6</v>
      </c>
      <c r="M542" s="78">
        <f t="shared" si="277"/>
        <v>12</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INDEX([1]!VISITORS[INSECT ORDER], MATCH(X542,[1]!VISITORS[NAME USED],0))</f>
        <v>#REF!</v>
      </c>
      <c r="AB542" s="48" t="e">
        <f t="shared" si="259"/>
        <v>#REF!</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17</v>
      </c>
      <c r="D543" s="75">
        <f t="shared" si="252"/>
        <v>0</v>
      </c>
      <c r="E543" s="76">
        <f t="shared" si="253"/>
        <v>45</v>
      </c>
      <c r="F543" s="80"/>
      <c r="G543" s="83"/>
      <c r="H543" s="69" t="str">
        <f t="shared" si="275"/>
        <v>Senbur6_20191117_00_00</v>
      </c>
      <c r="I543" s="70">
        <f t="shared" si="277"/>
        <v>1</v>
      </c>
      <c r="J543" s="77" t="str">
        <f t="shared" si="277"/>
        <v>Senecio</v>
      </c>
      <c r="K543" s="77" t="str">
        <f t="shared" si="277"/>
        <v>burtoni</v>
      </c>
      <c r="L543" s="78">
        <f t="shared" si="277"/>
        <v>6</v>
      </c>
      <c r="M543" s="78">
        <f t="shared" si="277"/>
        <v>12</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INDEX([1]!VISITORS[INSECT ORDER], MATCH(X543,[1]!VISITORS[NAME USED],0))</f>
        <v>#REF!</v>
      </c>
      <c r="AB543" s="48" t="e">
        <f t="shared" si="259"/>
        <v>#REF!</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17</v>
      </c>
      <c r="D544" s="75">
        <f t="shared" si="252"/>
        <v>0</v>
      </c>
      <c r="E544" s="76">
        <f t="shared" si="253"/>
        <v>46</v>
      </c>
      <c r="F544" s="80"/>
      <c r="G544" s="83"/>
      <c r="H544" s="69" t="str">
        <f t="shared" si="275"/>
        <v>Senbur6_20191117_00_00</v>
      </c>
      <c r="I544" s="70">
        <f t="shared" si="277"/>
        <v>1</v>
      </c>
      <c r="J544" s="77" t="str">
        <f t="shared" si="277"/>
        <v>Senecio</v>
      </c>
      <c r="K544" s="77" t="str">
        <f t="shared" si="277"/>
        <v>burtoni</v>
      </c>
      <c r="L544" s="78">
        <f t="shared" si="277"/>
        <v>6</v>
      </c>
      <c r="M544" s="78">
        <f t="shared" si="277"/>
        <v>12</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INDEX([1]!VISITORS[INSECT ORDER], MATCH(X544,[1]!VISITORS[NAME USED],0))</f>
        <v>#REF!</v>
      </c>
      <c r="AB544" s="48" t="e">
        <f t="shared" si="259"/>
        <v>#REF!</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17</v>
      </c>
      <c r="D545" s="75">
        <f t="shared" si="252"/>
        <v>0</v>
      </c>
      <c r="E545" s="76">
        <f t="shared" si="253"/>
        <v>47</v>
      </c>
      <c r="F545" s="80"/>
      <c r="G545" s="83"/>
      <c r="H545" s="69" t="str">
        <f t="shared" si="275"/>
        <v>Senbur6_20191117_00_00</v>
      </c>
      <c r="I545" s="70">
        <f t="shared" si="277"/>
        <v>1</v>
      </c>
      <c r="J545" s="77" t="str">
        <f t="shared" si="277"/>
        <v>Senecio</v>
      </c>
      <c r="K545" s="77" t="str">
        <f t="shared" si="277"/>
        <v>burtoni</v>
      </c>
      <c r="L545" s="78">
        <f t="shared" si="277"/>
        <v>6</v>
      </c>
      <c r="M545" s="78">
        <f t="shared" si="277"/>
        <v>12</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INDEX([1]!VISITORS[INSECT ORDER], MATCH(X545,[1]!VISITORS[NAME USED],0))</f>
        <v>#REF!</v>
      </c>
      <c r="AB545" s="48" t="e">
        <f t="shared" si="259"/>
        <v>#REF!</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17</v>
      </c>
      <c r="D546" s="75">
        <f t="shared" si="252"/>
        <v>0</v>
      </c>
      <c r="E546" s="76">
        <f t="shared" si="253"/>
        <v>48</v>
      </c>
      <c r="F546" s="80"/>
      <c r="G546" s="83"/>
      <c r="H546" s="69" t="str">
        <f t="shared" si="275"/>
        <v>Senbur6_20191117_00_00</v>
      </c>
      <c r="I546" s="70">
        <f t="shared" si="277"/>
        <v>1</v>
      </c>
      <c r="J546" s="77" t="str">
        <f t="shared" si="277"/>
        <v>Senecio</v>
      </c>
      <c r="K546" s="77" t="str">
        <f t="shared" si="277"/>
        <v>burtoni</v>
      </c>
      <c r="L546" s="78">
        <f t="shared" si="277"/>
        <v>6</v>
      </c>
      <c r="M546" s="78">
        <f t="shared" si="277"/>
        <v>12</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INDEX([1]!VISITORS[INSECT ORDER], MATCH(X546,[1]!VISITORS[NAME USED],0))</f>
        <v>#REF!</v>
      </c>
      <c r="AB546" s="48" t="e">
        <f t="shared" si="259"/>
        <v>#REF!</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17</v>
      </c>
      <c r="D547" s="75">
        <f t="shared" si="252"/>
        <v>0</v>
      </c>
      <c r="E547" s="76">
        <f t="shared" si="253"/>
        <v>49</v>
      </c>
      <c r="F547" s="80"/>
      <c r="G547" s="83"/>
      <c r="H547" s="69" t="str">
        <f t="shared" si="275"/>
        <v>Senbur6_20191117_00_00</v>
      </c>
      <c r="I547" s="70">
        <f t="shared" si="277"/>
        <v>1</v>
      </c>
      <c r="J547" s="77" t="str">
        <f t="shared" si="277"/>
        <v>Senecio</v>
      </c>
      <c r="K547" s="77" t="str">
        <f t="shared" si="277"/>
        <v>burtoni</v>
      </c>
      <c r="L547" s="78">
        <f t="shared" si="277"/>
        <v>6</v>
      </c>
      <c r="M547" s="78">
        <f t="shared" si="277"/>
        <v>12</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INDEX([1]!VISITORS[INSECT ORDER], MATCH(X547,[1]!VISITORS[NAME USED],0))</f>
        <v>#REF!</v>
      </c>
      <c r="AB547" s="48" t="e">
        <f t="shared" si="259"/>
        <v>#REF!</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17</v>
      </c>
      <c r="D548" s="75">
        <f t="shared" si="252"/>
        <v>0</v>
      </c>
      <c r="E548" s="76">
        <f t="shared" si="253"/>
        <v>50</v>
      </c>
      <c r="F548" s="80"/>
      <c r="G548" s="83"/>
      <c r="H548" s="69" t="str">
        <f t="shared" si="275"/>
        <v>Senbur6_20191117_00_00</v>
      </c>
      <c r="I548" s="70">
        <f t="shared" si="277"/>
        <v>1</v>
      </c>
      <c r="J548" s="77" t="str">
        <f t="shared" si="277"/>
        <v>Senecio</v>
      </c>
      <c r="K548" s="77" t="str">
        <f t="shared" si="277"/>
        <v>burtoni</v>
      </c>
      <c r="L548" s="78">
        <f t="shared" si="277"/>
        <v>6</v>
      </c>
      <c r="M548" s="78">
        <f t="shared" si="277"/>
        <v>12</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INDEX([1]!VISITORS[INSECT ORDER], MATCH(X548,[1]!VISITORS[NAME USED],0))</f>
        <v>#REF!</v>
      </c>
      <c r="AB548" s="48" t="e">
        <f t="shared" si="259"/>
        <v>#REF!</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17</v>
      </c>
      <c r="D549" s="75">
        <f t="shared" si="252"/>
        <v>0</v>
      </c>
      <c r="E549" s="76">
        <f t="shared" si="253"/>
        <v>51</v>
      </c>
      <c r="F549" s="80"/>
      <c r="G549" s="83"/>
      <c r="H549" s="69" t="str">
        <f t="shared" si="275"/>
        <v>Senbur6_20191117_00_00</v>
      </c>
      <c r="I549" s="70">
        <f t="shared" ref="I549:N564" si="278">I548</f>
        <v>1</v>
      </c>
      <c r="J549" s="77" t="str">
        <f t="shared" si="278"/>
        <v>Senecio</v>
      </c>
      <c r="K549" s="77" t="str">
        <f t="shared" si="278"/>
        <v>burtoni</v>
      </c>
      <c r="L549" s="78">
        <f t="shared" si="278"/>
        <v>6</v>
      </c>
      <c r="M549" s="78">
        <f t="shared" si="278"/>
        <v>12</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INDEX([1]!VISITORS[INSECT ORDER], MATCH(X549,[1]!VISITORS[NAME USED],0))</f>
        <v>#REF!</v>
      </c>
      <c r="AB549" s="48" t="e">
        <f t="shared" si="259"/>
        <v>#REF!</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17</v>
      </c>
      <c r="D550" s="75">
        <f t="shared" si="252"/>
        <v>0</v>
      </c>
      <c r="E550" s="76">
        <f t="shared" si="253"/>
        <v>52</v>
      </c>
      <c r="F550" s="80"/>
      <c r="G550" s="83"/>
      <c r="H550" s="69" t="str">
        <f t="shared" si="275"/>
        <v>Senbur6_20191117_00_00</v>
      </c>
      <c r="I550" s="70">
        <f t="shared" si="278"/>
        <v>1</v>
      </c>
      <c r="J550" s="77" t="str">
        <f t="shared" si="278"/>
        <v>Senecio</v>
      </c>
      <c r="K550" s="77" t="str">
        <f t="shared" si="278"/>
        <v>burtoni</v>
      </c>
      <c r="L550" s="78">
        <f t="shared" si="278"/>
        <v>6</v>
      </c>
      <c r="M550" s="78">
        <f t="shared" si="278"/>
        <v>12</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INDEX([1]!VISITORS[INSECT ORDER], MATCH(X550,[1]!VISITORS[NAME USED],0))</f>
        <v>#REF!</v>
      </c>
      <c r="AB550" s="48" t="e">
        <f t="shared" si="259"/>
        <v>#REF!</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17</v>
      </c>
      <c r="D551" s="75">
        <f t="shared" si="252"/>
        <v>0</v>
      </c>
      <c r="E551" s="76">
        <f t="shared" si="253"/>
        <v>53</v>
      </c>
      <c r="F551" s="80"/>
      <c r="G551" s="83"/>
      <c r="H551" s="69" t="str">
        <f t="shared" si="275"/>
        <v>Senbur6_20191117_00_00</v>
      </c>
      <c r="I551" s="70">
        <f t="shared" si="278"/>
        <v>1</v>
      </c>
      <c r="J551" s="77" t="str">
        <f t="shared" si="278"/>
        <v>Senecio</v>
      </c>
      <c r="K551" s="77" t="str">
        <f t="shared" si="278"/>
        <v>burtoni</v>
      </c>
      <c r="L551" s="78">
        <f t="shared" si="278"/>
        <v>6</v>
      </c>
      <c r="M551" s="78">
        <f t="shared" si="278"/>
        <v>12</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INDEX([1]!VISITORS[INSECT ORDER], MATCH(X551,[1]!VISITORS[NAME USED],0))</f>
        <v>#REF!</v>
      </c>
      <c r="AB551" s="48" t="e">
        <f t="shared" si="259"/>
        <v>#REF!</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17</v>
      </c>
      <c r="D552" s="75">
        <f t="shared" si="252"/>
        <v>0</v>
      </c>
      <c r="E552" s="76">
        <f t="shared" si="253"/>
        <v>54</v>
      </c>
      <c r="F552" s="80"/>
      <c r="G552" s="83"/>
      <c r="H552" s="69" t="str">
        <f t="shared" si="275"/>
        <v>Senbur6_20191117_00_00</v>
      </c>
      <c r="I552" s="70">
        <f t="shared" si="278"/>
        <v>1</v>
      </c>
      <c r="J552" s="77" t="str">
        <f t="shared" si="278"/>
        <v>Senecio</v>
      </c>
      <c r="K552" s="77" t="str">
        <f t="shared" si="278"/>
        <v>burtoni</v>
      </c>
      <c r="L552" s="78">
        <f t="shared" si="278"/>
        <v>6</v>
      </c>
      <c r="M552" s="78">
        <f t="shared" si="278"/>
        <v>12</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INDEX([1]!VISITORS[INSECT ORDER], MATCH(X552,[1]!VISITORS[NAME USED],0))</f>
        <v>#REF!</v>
      </c>
      <c r="AB552" s="48" t="e">
        <f t="shared" si="259"/>
        <v>#REF!</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17</v>
      </c>
      <c r="D553" s="75">
        <f t="shared" si="252"/>
        <v>0</v>
      </c>
      <c r="E553" s="76">
        <f t="shared" si="253"/>
        <v>55</v>
      </c>
      <c r="F553" s="80"/>
      <c r="G553" s="83"/>
      <c r="H553" s="69" t="str">
        <f t="shared" si="275"/>
        <v>Senbur6_20191117_00_00</v>
      </c>
      <c r="I553" s="70">
        <f t="shared" si="278"/>
        <v>1</v>
      </c>
      <c r="J553" s="77" t="str">
        <f t="shared" si="278"/>
        <v>Senecio</v>
      </c>
      <c r="K553" s="77" t="str">
        <f t="shared" si="278"/>
        <v>burtoni</v>
      </c>
      <c r="L553" s="78">
        <f t="shared" si="278"/>
        <v>6</v>
      </c>
      <c r="M553" s="78">
        <f t="shared" si="278"/>
        <v>12</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INDEX([1]!VISITORS[INSECT ORDER], MATCH(X553,[1]!VISITORS[NAME USED],0))</f>
        <v>#REF!</v>
      </c>
      <c r="AB553" s="48" t="e">
        <f t="shared" si="259"/>
        <v>#REF!</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17</v>
      </c>
      <c r="D554" s="75">
        <f t="shared" si="252"/>
        <v>0</v>
      </c>
      <c r="E554" s="76">
        <f t="shared" si="253"/>
        <v>56</v>
      </c>
      <c r="F554" s="80"/>
      <c r="G554" s="83"/>
      <c r="H554" s="69" t="str">
        <f t="shared" si="275"/>
        <v>Senbur6_20191117_00_00</v>
      </c>
      <c r="I554" s="70">
        <f t="shared" si="278"/>
        <v>1</v>
      </c>
      <c r="J554" s="77" t="str">
        <f t="shared" si="278"/>
        <v>Senecio</v>
      </c>
      <c r="K554" s="77" t="str">
        <f t="shared" si="278"/>
        <v>burtoni</v>
      </c>
      <c r="L554" s="78">
        <f t="shared" si="278"/>
        <v>6</v>
      </c>
      <c r="M554" s="78">
        <f t="shared" si="278"/>
        <v>12</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INDEX([1]!VISITORS[INSECT ORDER], MATCH(X554,[1]!VISITORS[NAME USED],0))</f>
        <v>#REF!</v>
      </c>
      <c r="AB554" s="48" t="e">
        <f t="shared" si="259"/>
        <v>#REF!</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17</v>
      </c>
      <c r="D555" s="75">
        <f t="shared" si="252"/>
        <v>0</v>
      </c>
      <c r="E555" s="76">
        <f t="shared" si="253"/>
        <v>57</v>
      </c>
      <c r="F555" s="80"/>
      <c r="G555" s="83"/>
      <c r="H555" s="69" t="str">
        <f t="shared" si="275"/>
        <v>Senbur6_20191117_00_00</v>
      </c>
      <c r="I555" s="70">
        <f t="shared" si="278"/>
        <v>1</v>
      </c>
      <c r="J555" s="77" t="str">
        <f t="shared" si="278"/>
        <v>Senecio</v>
      </c>
      <c r="K555" s="77" t="str">
        <f t="shared" si="278"/>
        <v>burtoni</v>
      </c>
      <c r="L555" s="78">
        <f t="shared" si="278"/>
        <v>6</v>
      </c>
      <c r="M555" s="78">
        <f t="shared" si="278"/>
        <v>12</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INDEX([1]!VISITORS[INSECT ORDER], MATCH(X555,[1]!VISITORS[NAME USED],0))</f>
        <v>#REF!</v>
      </c>
      <c r="AB555" s="48" t="e">
        <f t="shared" si="259"/>
        <v>#REF!</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17</v>
      </c>
      <c r="D556" s="75">
        <f t="shared" si="252"/>
        <v>0</v>
      </c>
      <c r="E556" s="76">
        <f t="shared" si="253"/>
        <v>58</v>
      </c>
      <c r="F556" s="80"/>
      <c r="G556" s="83"/>
      <c r="H556" s="69" t="str">
        <f t="shared" si="275"/>
        <v>Senbur6_20191117_00_00</v>
      </c>
      <c r="I556" s="70">
        <f t="shared" si="278"/>
        <v>1</v>
      </c>
      <c r="J556" s="77" t="str">
        <f t="shared" si="278"/>
        <v>Senecio</v>
      </c>
      <c r="K556" s="77" t="str">
        <f t="shared" si="278"/>
        <v>burtoni</v>
      </c>
      <c r="L556" s="78">
        <f t="shared" si="278"/>
        <v>6</v>
      </c>
      <c r="M556" s="78">
        <f t="shared" si="278"/>
        <v>12</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INDEX([1]!VISITORS[INSECT ORDER], MATCH(X556,[1]!VISITORS[NAME USED],0))</f>
        <v>#REF!</v>
      </c>
      <c r="AB556" s="48" t="e">
        <f t="shared" si="259"/>
        <v>#REF!</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17</v>
      </c>
      <c r="D557" s="75">
        <f t="shared" si="252"/>
        <v>0</v>
      </c>
      <c r="E557" s="76">
        <f t="shared" si="253"/>
        <v>59</v>
      </c>
      <c r="F557" s="80"/>
      <c r="G557" s="83"/>
      <c r="H557" s="69" t="str">
        <f t="shared" si="275"/>
        <v>Senbur6_20191117_00_00</v>
      </c>
      <c r="I557" s="70">
        <f t="shared" si="278"/>
        <v>1</v>
      </c>
      <c r="J557" s="77" t="str">
        <f t="shared" si="278"/>
        <v>Senecio</v>
      </c>
      <c r="K557" s="77" t="str">
        <f t="shared" si="278"/>
        <v>burtoni</v>
      </c>
      <c r="L557" s="78">
        <f t="shared" si="278"/>
        <v>6</v>
      </c>
      <c r="M557" s="78">
        <f t="shared" si="278"/>
        <v>12</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INDEX([1]!VISITORS[INSECT ORDER], MATCH(X557,[1]!VISITORS[NAME USED],0))</f>
        <v>#REF!</v>
      </c>
      <c r="AB557" s="48" t="e">
        <f t="shared" si="259"/>
        <v>#REF!</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17</v>
      </c>
      <c r="D558" s="75">
        <f t="shared" si="252"/>
        <v>1</v>
      </c>
      <c r="E558" s="76">
        <f t="shared" si="253"/>
        <v>0</v>
      </c>
      <c r="F558" s="80"/>
      <c r="G558" s="83"/>
      <c r="H558" s="69" t="str">
        <f t="shared" si="275"/>
        <v>Senbur6_20191117_01_00</v>
      </c>
      <c r="I558" s="70">
        <f t="shared" si="278"/>
        <v>1</v>
      </c>
      <c r="J558" s="77" t="str">
        <f t="shared" si="278"/>
        <v>Senecio</v>
      </c>
      <c r="K558" s="77" t="str">
        <f t="shared" si="278"/>
        <v>burtoni</v>
      </c>
      <c r="L558" s="78">
        <f t="shared" si="278"/>
        <v>6</v>
      </c>
      <c r="M558" s="78">
        <f t="shared" si="278"/>
        <v>12</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INDEX([1]!VISITORS[INSECT ORDER], MATCH(X558,[1]!VISITORS[NAME USED],0))</f>
        <v>#REF!</v>
      </c>
      <c r="AB558" s="48" t="e">
        <f t="shared" si="259"/>
        <v>#REF!</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17</v>
      </c>
      <c r="D559" s="75">
        <f t="shared" si="252"/>
        <v>1</v>
      </c>
      <c r="E559" s="76">
        <f t="shared" si="253"/>
        <v>1</v>
      </c>
      <c r="F559" s="80"/>
      <c r="G559" s="83"/>
      <c r="H559" s="69" t="str">
        <f t="shared" si="275"/>
        <v>Senbur6_20191117_01_00</v>
      </c>
      <c r="I559" s="70">
        <f t="shared" si="278"/>
        <v>1</v>
      </c>
      <c r="J559" s="77" t="str">
        <f t="shared" si="278"/>
        <v>Senecio</v>
      </c>
      <c r="K559" s="77" t="str">
        <f t="shared" si="278"/>
        <v>burtoni</v>
      </c>
      <c r="L559" s="78">
        <f t="shared" si="278"/>
        <v>6</v>
      </c>
      <c r="M559" s="78">
        <f t="shared" si="278"/>
        <v>12</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INDEX([1]!VISITORS[INSECT ORDER], MATCH(X559,[1]!VISITORS[NAME USED],0))</f>
        <v>#REF!</v>
      </c>
      <c r="AB559" s="48" t="e">
        <f t="shared" si="259"/>
        <v>#REF!</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17</v>
      </c>
      <c r="D560" s="75">
        <f t="shared" si="252"/>
        <v>1</v>
      </c>
      <c r="E560" s="76">
        <f t="shared" si="253"/>
        <v>2</v>
      </c>
      <c r="F560" s="80"/>
      <c r="G560" s="83"/>
      <c r="H560" s="69" t="str">
        <f t="shared" si="275"/>
        <v>Senbur6_20191117_01_00</v>
      </c>
      <c r="I560" s="70">
        <f t="shared" si="278"/>
        <v>1</v>
      </c>
      <c r="J560" s="77" t="str">
        <f t="shared" si="278"/>
        <v>Senecio</v>
      </c>
      <c r="K560" s="77" t="str">
        <f t="shared" si="278"/>
        <v>burtoni</v>
      </c>
      <c r="L560" s="78">
        <f t="shared" si="278"/>
        <v>6</v>
      </c>
      <c r="M560" s="78">
        <f t="shared" si="278"/>
        <v>12</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INDEX([1]!VISITORS[INSECT ORDER], MATCH(X560,[1]!VISITORS[NAME USED],0))</f>
        <v>#REF!</v>
      </c>
      <c r="AB560" s="48" t="e">
        <f t="shared" si="259"/>
        <v>#REF!</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17</v>
      </c>
      <c r="D561" s="75">
        <f t="shared" si="252"/>
        <v>1</v>
      </c>
      <c r="E561" s="76">
        <f t="shared" si="253"/>
        <v>3</v>
      </c>
      <c r="F561" s="80"/>
      <c r="G561" s="83"/>
      <c r="H561" s="69" t="str">
        <f t="shared" si="275"/>
        <v>Senbur6_20191117_01_00</v>
      </c>
      <c r="I561" s="70">
        <f t="shared" si="278"/>
        <v>1</v>
      </c>
      <c r="J561" s="77" t="str">
        <f t="shared" si="278"/>
        <v>Senecio</v>
      </c>
      <c r="K561" s="77" t="str">
        <f t="shared" si="278"/>
        <v>burtoni</v>
      </c>
      <c r="L561" s="78">
        <f t="shared" si="278"/>
        <v>6</v>
      </c>
      <c r="M561" s="78">
        <f t="shared" si="278"/>
        <v>12</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INDEX([1]!VISITORS[INSECT ORDER], MATCH(X561,[1]!VISITORS[NAME USED],0))</f>
        <v>#REF!</v>
      </c>
      <c r="AB561" s="48" t="e">
        <f t="shared" si="259"/>
        <v>#REF!</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17</v>
      </c>
      <c r="D562" s="75">
        <f t="shared" si="252"/>
        <v>1</v>
      </c>
      <c r="E562" s="76">
        <f t="shared" si="253"/>
        <v>4</v>
      </c>
      <c r="F562" s="80"/>
      <c r="G562" s="83"/>
      <c r="H562" s="69" t="str">
        <f t="shared" si="275"/>
        <v>Senbur6_20191117_01_00</v>
      </c>
      <c r="I562" s="70">
        <f t="shared" si="278"/>
        <v>1</v>
      </c>
      <c r="J562" s="77" t="str">
        <f t="shared" si="278"/>
        <v>Senecio</v>
      </c>
      <c r="K562" s="77" t="str">
        <f t="shared" si="278"/>
        <v>burtoni</v>
      </c>
      <c r="L562" s="78">
        <f t="shared" si="278"/>
        <v>6</v>
      </c>
      <c r="M562" s="78">
        <f t="shared" si="278"/>
        <v>12</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INDEX([1]!VISITORS[INSECT ORDER], MATCH(X562,[1]!VISITORS[NAME USED],0))</f>
        <v>#REF!</v>
      </c>
      <c r="AB562" s="48" t="e">
        <f t="shared" si="259"/>
        <v>#REF!</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17</v>
      </c>
      <c r="D563" s="75">
        <f t="shared" si="252"/>
        <v>1</v>
      </c>
      <c r="E563" s="76">
        <f t="shared" si="253"/>
        <v>5</v>
      </c>
      <c r="F563" s="80"/>
      <c r="G563" s="83"/>
      <c r="H563" s="69" t="str">
        <f t="shared" si="275"/>
        <v>Senbur6_20191117_01_00</v>
      </c>
      <c r="I563" s="70">
        <f t="shared" si="278"/>
        <v>1</v>
      </c>
      <c r="J563" s="77" t="str">
        <f t="shared" si="278"/>
        <v>Senecio</v>
      </c>
      <c r="K563" s="77" t="str">
        <f t="shared" si="278"/>
        <v>burtoni</v>
      </c>
      <c r="L563" s="78">
        <f t="shared" si="278"/>
        <v>6</v>
      </c>
      <c r="M563" s="78">
        <f t="shared" si="278"/>
        <v>12</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INDEX([1]!VISITORS[INSECT ORDER], MATCH(X563,[1]!VISITORS[NAME USED],0))</f>
        <v>#REF!</v>
      </c>
      <c r="AB563" s="48" t="e">
        <f t="shared" si="259"/>
        <v>#REF!</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17</v>
      </c>
      <c r="D564" s="75">
        <f t="shared" si="252"/>
        <v>1</v>
      </c>
      <c r="E564" s="76">
        <f t="shared" si="253"/>
        <v>6</v>
      </c>
      <c r="F564" s="80"/>
      <c r="G564" s="83"/>
      <c r="H564" s="69" t="str">
        <f t="shared" si="275"/>
        <v>Senbur6_20191117_01_00</v>
      </c>
      <c r="I564" s="70">
        <f t="shared" si="278"/>
        <v>1</v>
      </c>
      <c r="J564" s="77" t="str">
        <f t="shared" si="278"/>
        <v>Senecio</v>
      </c>
      <c r="K564" s="77" t="str">
        <f t="shared" si="278"/>
        <v>burtoni</v>
      </c>
      <c r="L564" s="78">
        <f t="shared" si="278"/>
        <v>6</v>
      </c>
      <c r="M564" s="78">
        <f t="shared" si="278"/>
        <v>12</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INDEX([1]!VISITORS[INSECT ORDER], MATCH(X564,[1]!VISITORS[NAME USED],0))</f>
        <v>#REF!</v>
      </c>
      <c r="AB564" s="48" t="e">
        <f t="shared" si="259"/>
        <v>#REF!</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17</v>
      </c>
      <c r="D565" s="75">
        <f t="shared" si="252"/>
        <v>1</v>
      </c>
      <c r="E565" s="76">
        <f t="shared" si="253"/>
        <v>7</v>
      </c>
      <c r="F565" s="80"/>
      <c r="G565" s="83"/>
      <c r="H565" s="69" t="str">
        <f t="shared" si="275"/>
        <v>Senbur6_20191117_01_00</v>
      </c>
      <c r="I565" s="70">
        <f t="shared" ref="I565:N580" si="279">I564</f>
        <v>1</v>
      </c>
      <c r="J565" s="77" t="str">
        <f t="shared" si="279"/>
        <v>Senecio</v>
      </c>
      <c r="K565" s="77" t="str">
        <f t="shared" si="279"/>
        <v>burtoni</v>
      </c>
      <c r="L565" s="78">
        <f t="shared" si="279"/>
        <v>6</v>
      </c>
      <c r="M565" s="78">
        <f t="shared" si="279"/>
        <v>12</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INDEX([1]!VISITORS[INSECT ORDER], MATCH(X565,[1]!VISITORS[NAME USED],0))</f>
        <v>#REF!</v>
      </c>
      <c r="AB565" s="48" t="e">
        <f t="shared" si="259"/>
        <v>#REF!</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17</v>
      </c>
      <c r="D566" s="75">
        <f t="shared" si="252"/>
        <v>1</v>
      </c>
      <c r="E566" s="76">
        <f t="shared" si="253"/>
        <v>8</v>
      </c>
      <c r="F566" s="80"/>
      <c r="G566" s="83"/>
      <c r="H566" s="69" t="str">
        <f t="shared" si="275"/>
        <v>Senbur6_20191117_01_00</v>
      </c>
      <c r="I566" s="70">
        <f t="shared" si="279"/>
        <v>1</v>
      </c>
      <c r="J566" s="77" t="str">
        <f t="shared" si="279"/>
        <v>Senecio</v>
      </c>
      <c r="K566" s="77" t="str">
        <f t="shared" si="279"/>
        <v>burtoni</v>
      </c>
      <c r="L566" s="78">
        <f t="shared" si="279"/>
        <v>6</v>
      </c>
      <c r="M566" s="78">
        <f t="shared" si="279"/>
        <v>12</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INDEX([1]!VISITORS[INSECT ORDER], MATCH(X566,[1]!VISITORS[NAME USED],0))</f>
        <v>#REF!</v>
      </c>
      <c r="AB566" s="48" t="e">
        <f t="shared" si="259"/>
        <v>#REF!</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17</v>
      </c>
      <c r="D567" s="75">
        <f t="shared" si="252"/>
        <v>1</v>
      </c>
      <c r="E567" s="76">
        <f t="shared" si="253"/>
        <v>9</v>
      </c>
      <c r="F567" s="80"/>
      <c r="G567" s="83"/>
      <c r="H567" s="69" t="str">
        <f t="shared" si="275"/>
        <v>Senbur6_20191117_01_00</v>
      </c>
      <c r="I567" s="70">
        <f t="shared" si="279"/>
        <v>1</v>
      </c>
      <c r="J567" s="77" t="str">
        <f t="shared" si="279"/>
        <v>Senecio</v>
      </c>
      <c r="K567" s="77" t="str">
        <f t="shared" si="279"/>
        <v>burtoni</v>
      </c>
      <c r="L567" s="78">
        <f t="shared" si="279"/>
        <v>6</v>
      </c>
      <c r="M567" s="78">
        <f t="shared" si="279"/>
        <v>12</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INDEX([1]!VISITORS[INSECT ORDER], MATCH(X567,[1]!VISITORS[NAME USED],0))</f>
        <v>#REF!</v>
      </c>
      <c r="AB567" s="48" t="e">
        <f t="shared" si="259"/>
        <v>#REF!</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17</v>
      </c>
      <c r="D568" s="75">
        <f t="shared" si="252"/>
        <v>1</v>
      </c>
      <c r="E568" s="76">
        <f t="shared" si="253"/>
        <v>10</v>
      </c>
      <c r="F568" s="80"/>
      <c r="G568" s="83"/>
      <c r="H568" s="69" t="str">
        <f t="shared" si="275"/>
        <v>Senbur6_20191117_01_00</v>
      </c>
      <c r="I568" s="70">
        <f t="shared" si="279"/>
        <v>1</v>
      </c>
      <c r="J568" s="77" t="str">
        <f t="shared" si="279"/>
        <v>Senecio</v>
      </c>
      <c r="K568" s="77" t="str">
        <f t="shared" si="279"/>
        <v>burtoni</v>
      </c>
      <c r="L568" s="78">
        <f t="shared" si="279"/>
        <v>6</v>
      </c>
      <c r="M568" s="78">
        <f t="shared" si="279"/>
        <v>12</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INDEX([1]!VISITORS[INSECT ORDER], MATCH(X568,[1]!VISITORS[NAME USED],0))</f>
        <v>#REF!</v>
      </c>
      <c r="AB568" s="48" t="e">
        <f t="shared" si="259"/>
        <v>#REF!</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17</v>
      </c>
      <c r="D569" s="75">
        <f t="shared" si="252"/>
        <v>1</v>
      </c>
      <c r="E569" s="76">
        <f t="shared" si="253"/>
        <v>11</v>
      </c>
      <c r="F569" s="80"/>
      <c r="G569" s="83"/>
      <c r="H569" s="69" t="str">
        <f t="shared" si="275"/>
        <v>Senbur6_20191117_01_00</v>
      </c>
      <c r="I569" s="70">
        <f t="shared" si="279"/>
        <v>1</v>
      </c>
      <c r="J569" s="77" t="str">
        <f t="shared" si="279"/>
        <v>Senecio</v>
      </c>
      <c r="K569" s="77" t="str">
        <f t="shared" si="279"/>
        <v>burtoni</v>
      </c>
      <c r="L569" s="78">
        <f t="shared" si="279"/>
        <v>6</v>
      </c>
      <c r="M569" s="78">
        <f t="shared" si="279"/>
        <v>12</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INDEX([1]!VISITORS[INSECT ORDER], MATCH(X569,[1]!VISITORS[NAME USED],0))</f>
        <v>#REF!</v>
      </c>
      <c r="AB569" s="48" t="e">
        <f t="shared" si="259"/>
        <v>#REF!</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17</v>
      </c>
      <c r="D570" s="75">
        <f t="shared" si="252"/>
        <v>1</v>
      </c>
      <c r="E570" s="76">
        <f t="shared" si="253"/>
        <v>12</v>
      </c>
      <c r="F570" s="80"/>
      <c r="G570" s="83"/>
      <c r="H570" s="69" t="str">
        <f t="shared" si="275"/>
        <v>Senbur6_20191117_01_00</v>
      </c>
      <c r="I570" s="70">
        <f t="shared" si="279"/>
        <v>1</v>
      </c>
      <c r="J570" s="77" t="str">
        <f t="shared" si="279"/>
        <v>Senecio</v>
      </c>
      <c r="K570" s="77" t="str">
        <f t="shared" si="279"/>
        <v>burtoni</v>
      </c>
      <c r="L570" s="78">
        <f t="shared" si="279"/>
        <v>6</v>
      </c>
      <c r="M570" s="78">
        <f t="shared" si="279"/>
        <v>12</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INDEX([1]!VISITORS[INSECT ORDER], MATCH(X570,[1]!VISITORS[NAME USED],0))</f>
        <v>#REF!</v>
      </c>
      <c r="AB570" s="48" t="e">
        <f t="shared" si="259"/>
        <v>#REF!</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17</v>
      </c>
      <c r="D571" s="75">
        <f t="shared" si="252"/>
        <v>1</v>
      </c>
      <c r="E571" s="76">
        <f t="shared" si="253"/>
        <v>13</v>
      </c>
      <c r="F571" s="80"/>
      <c r="G571" s="83"/>
      <c r="H571" s="69" t="str">
        <f t="shared" si="275"/>
        <v>Senbur6_20191117_01_00</v>
      </c>
      <c r="I571" s="70">
        <f t="shared" si="279"/>
        <v>1</v>
      </c>
      <c r="J571" s="77" t="str">
        <f t="shared" si="279"/>
        <v>Senecio</v>
      </c>
      <c r="K571" s="77" t="str">
        <f t="shared" si="279"/>
        <v>burtoni</v>
      </c>
      <c r="L571" s="78">
        <f t="shared" si="279"/>
        <v>6</v>
      </c>
      <c r="M571" s="78">
        <f t="shared" si="279"/>
        <v>12</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INDEX([1]!VISITORS[INSECT ORDER], MATCH(X571,[1]!VISITORS[NAME USED],0))</f>
        <v>#REF!</v>
      </c>
      <c r="AB571" s="48" t="e">
        <f t="shared" si="259"/>
        <v>#REF!</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17</v>
      </c>
      <c r="D572" s="75">
        <f t="shared" si="252"/>
        <v>1</v>
      </c>
      <c r="E572" s="76">
        <f t="shared" si="253"/>
        <v>14</v>
      </c>
      <c r="F572" s="80"/>
      <c r="G572" s="83"/>
      <c r="H572" s="69" t="str">
        <f t="shared" si="275"/>
        <v>Senbur6_20191117_01_00</v>
      </c>
      <c r="I572" s="70">
        <f t="shared" si="279"/>
        <v>1</v>
      </c>
      <c r="J572" s="77" t="str">
        <f t="shared" si="279"/>
        <v>Senecio</v>
      </c>
      <c r="K572" s="77" t="str">
        <f t="shared" si="279"/>
        <v>burtoni</v>
      </c>
      <c r="L572" s="78">
        <f t="shared" si="279"/>
        <v>6</v>
      </c>
      <c r="M572" s="78">
        <f t="shared" si="279"/>
        <v>12</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INDEX([1]!VISITORS[INSECT ORDER], MATCH(X572,[1]!VISITORS[NAME USED],0))</f>
        <v>#REF!</v>
      </c>
      <c r="AB572" s="48" t="e">
        <f t="shared" si="259"/>
        <v>#REF!</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17</v>
      </c>
      <c r="D573" s="75">
        <f t="shared" si="252"/>
        <v>1</v>
      </c>
      <c r="E573" s="76">
        <f t="shared" si="253"/>
        <v>15</v>
      </c>
      <c r="F573" s="80"/>
      <c r="G573" s="83"/>
      <c r="H573" s="69" t="str">
        <f t="shared" si="275"/>
        <v>Senbur6_20191117_01_00</v>
      </c>
      <c r="I573" s="70">
        <f t="shared" si="279"/>
        <v>1</v>
      </c>
      <c r="J573" s="77" t="str">
        <f t="shared" si="279"/>
        <v>Senecio</v>
      </c>
      <c r="K573" s="77" t="str">
        <f t="shared" si="279"/>
        <v>burtoni</v>
      </c>
      <c r="L573" s="78">
        <f t="shared" si="279"/>
        <v>6</v>
      </c>
      <c r="M573" s="78">
        <f t="shared" si="279"/>
        <v>12</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INDEX([1]!VISITORS[INSECT ORDER], MATCH(X573,[1]!VISITORS[NAME USED],0))</f>
        <v>#REF!</v>
      </c>
      <c r="AB573" s="48" t="e">
        <f t="shared" si="259"/>
        <v>#REF!</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17</v>
      </c>
      <c r="D574" s="75">
        <f t="shared" si="252"/>
        <v>1</v>
      </c>
      <c r="E574" s="76">
        <f t="shared" si="253"/>
        <v>16</v>
      </c>
      <c r="F574" s="80"/>
      <c r="G574" s="83"/>
      <c r="H574" s="69" t="str">
        <f t="shared" si="275"/>
        <v>Senbur6_20191117_01_00</v>
      </c>
      <c r="I574" s="70">
        <f t="shared" si="279"/>
        <v>1</v>
      </c>
      <c r="J574" s="77" t="str">
        <f t="shared" si="279"/>
        <v>Senecio</v>
      </c>
      <c r="K574" s="77" t="str">
        <f t="shared" si="279"/>
        <v>burtoni</v>
      </c>
      <c r="L574" s="78">
        <f t="shared" si="279"/>
        <v>6</v>
      </c>
      <c r="M574" s="78">
        <f t="shared" si="279"/>
        <v>12</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INDEX([1]!VISITORS[INSECT ORDER], MATCH(X574,[1]!VISITORS[NAME USED],0))</f>
        <v>#REF!</v>
      </c>
      <c r="AB574" s="48" t="e">
        <f t="shared" si="259"/>
        <v>#REF!</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17</v>
      </c>
      <c r="D575" s="75">
        <f t="shared" si="252"/>
        <v>1</v>
      </c>
      <c r="E575" s="76">
        <f t="shared" si="253"/>
        <v>17</v>
      </c>
      <c r="F575" s="80"/>
      <c r="G575" s="83"/>
      <c r="H575" s="69" t="str">
        <f t="shared" si="275"/>
        <v>Senbur6_20191117_01_00</v>
      </c>
      <c r="I575" s="70">
        <f t="shared" si="279"/>
        <v>1</v>
      </c>
      <c r="J575" s="77" t="str">
        <f t="shared" si="279"/>
        <v>Senecio</v>
      </c>
      <c r="K575" s="77" t="str">
        <f t="shared" si="279"/>
        <v>burtoni</v>
      </c>
      <c r="L575" s="78">
        <f t="shared" si="279"/>
        <v>6</v>
      </c>
      <c r="M575" s="78">
        <f t="shared" si="279"/>
        <v>12</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INDEX([1]!VISITORS[INSECT ORDER], MATCH(X575,[1]!VISITORS[NAME USED],0))</f>
        <v>#REF!</v>
      </c>
      <c r="AB575" s="48" t="e">
        <f t="shared" si="259"/>
        <v>#REF!</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17</v>
      </c>
      <c r="D576" s="75">
        <f t="shared" si="252"/>
        <v>1</v>
      </c>
      <c r="E576" s="76">
        <f t="shared" si="253"/>
        <v>18</v>
      </c>
      <c r="F576" s="80"/>
      <c r="G576" s="83"/>
      <c r="H576" s="69" t="str">
        <f t="shared" si="275"/>
        <v>Senbur6_20191117_01_00</v>
      </c>
      <c r="I576" s="70">
        <f t="shared" si="279"/>
        <v>1</v>
      </c>
      <c r="J576" s="77" t="str">
        <f t="shared" si="279"/>
        <v>Senecio</v>
      </c>
      <c r="K576" s="77" t="str">
        <f t="shared" si="279"/>
        <v>burtoni</v>
      </c>
      <c r="L576" s="78">
        <f t="shared" si="279"/>
        <v>6</v>
      </c>
      <c r="M576" s="78">
        <f t="shared" si="279"/>
        <v>12</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INDEX([1]!VISITORS[INSECT ORDER], MATCH(X576,[1]!VISITORS[NAME USED],0))</f>
        <v>#REF!</v>
      </c>
      <c r="AB576" s="48" t="e">
        <f t="shared" si="259"/>
        <v>#REF!</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17</v>
      </c>
      <c r="D577" s="75">
        <f t="shared" si="252"/>
        <v>1</v>
      </c>
      <c r="E577" s="76">
        <f t="shared" si="253"/>
        <v>19</v>
      </c>
      <c r="F577" s="80"/>
      <c r="G577" s="83"/>
      <c r="H577" s="69" t="str">
        <f t="shared" si="275"/>
        <v>Senbur6_20191117_01_00</v>
      </c>
      <c r="I577" s="70">
        <f t="shared" si="279"/>
        <v>1</v>
      </c>
      <c r="J577" s="77" t="str">
        <f t="shared" si="279"/>
        <v>Senecio</v>
      </c>
      <c r="K577" s="77" t="str">
        <f t="shared" si="279"/>
        <v>burtoni</v>
      </c>
      <c r="L577" s="78">
        <f t="shared" si="279"/>
        <v>6</v>
      </c>
      <c r="M577" s="78">
        <f t="shared" si="279"/>
        <v>12</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INDEX([1]!VISITORS[INSECT ORDER], MATCH(X577,[1]!VISITORS[NAME USED],0))</f>
        <v>#REF!</v>
      </c>
      <c r="AB577" s="48" t="e">
        <f t="shared" si="259"/>
        <v>#REF!</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17</v>
      </c>
      <c r="D578" s="75">
        <f t="shared" si="252"/>
        <v>1</v>
      </c>
      <c r="E578" s="76">
        <f t="shared" si="253"/>
        <v>20</v>
      </c>
      <c r="F578" s="80"/>
      <c r="G578" s="83"/>
      <c r="H578" s="69" t="str">
        <f t="shared" si="275"/>
        <v>Senbur6_20191117_01_00</v>
      </c>
      <c r="I578" s="70">
        <f t="shared" si="279"/>
        <v>1</v>
      </c>
      <c r="J578" s="77" t="str">
        <f t="shared" si="279"/>
        <v>Senecio</v>
      </c>
      <c r="K578" s="77" t="str">
        <f t="shared" si="279"/>
        <v>burtoni</v>
      </c>
      <c r="L578" s="78">
        <f t="shared" si="279"/>
        <v>6</v>
      </c>
      <c r="M578" s="78">
        <f t="shared" si="279"/>
        <v>12</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INDEX([1]!VISITORS[INSECT ORDER], MATCH(X578,[1]!VISITORS[NAME USED],0))</f>
        <v>#REF!</v>
      </c>
      <c r="AB578" s="48" t="e">
        <f t="shared" si="259"/>
        <v>#REF!</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17</v>
      </c>
      <c r="D579" s="75">
        <f t="shared" si="252"/>
        <v>1</v>
      </c>
      <c r="E579" s="76">
        <f t="shared" si="253"/>
        <v>21</v>
      </c>
      <c r="F579" s="80"/>
      <c r="G579" s="83"/>
      <c r="H579" s="69" t="str">
        <f t="shared" si="275"/>
        <v>Senbur6_20191117_01_00</v>
      </c>
      <c r="I579" s="70">
        <f t="shared" si="279"/>
        <v>1</v>
      </c>
      <c r="J579" s="77" t="str">
        <f t="shared" si="279"/>
        <v>Senecio</v>
      </c>
      <c r="K579" s="77" t="str">
        <f t="shared" si="279"/>
        <v>burtoni</v>
      </c>
      <c r="L579" s="78">
        <f t="shared" si="279"/>
        <v>6</v>
      </c>
      <c r="M579" s="78">
        <f t="shared" si="279"/>
        <v>12</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INDEX([1]!VISITORS[INSECT ORDER], MATCH(X579,[1]!VISITORS[NAME USED],0))</f>
        <v>#REF!</v>
      </c>
      <c r="AB579" s="48" t="e">
        <f t="shared" si="259"/>
        <v>#REF!</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17</v>
      </c>
      <c r="D580" s="75">
        <f t="shared" ref="D580:D643" si="283">IF(IF(E579=59,D579+1,D579)=24,0,IF(E579=59,D579+1,D579))</f>
        <v>1</v>
      </c>
      <c r="E580" s="76">
        <f t="shared" ref="E580:E643" si="284">IF(E579&lt;59,E579+1,0)</f>
        <v>22</v>
      </c>
      <c r="F580" s="80"/>
      <c r="G580" s="83"/>
      <c r="H580" s="69" t="str">
        <f t="shared" si="275"/>
        <v>Senbur6_20191117_01_00</v>
      </c>
      <c r="I580" s="70">
        <f t="shared" si="279"/>
        <v>1</v>
      </c>
      <c r="J580" s="77" t="str">
        <f t="shared" si="279"/>
        <v>Senecio</v>
      </c>
      <c r="K580" s="77" t="str">
        <f t="shared" si="279"/>
        <v>burtoni</v>
      </c>
      <c r="L580" s="78">
        <f t="shared" si="279"/>
        <v>6</v>
      </c>
      <c r="M580" s="78">
        <f t="shared" si="279"/>
        <v>12</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INDEX([1]!VISITORS[INSECT ORDER], MATCH(X580,[1]!VISITORS[NAME USED],0))</f>
        <v>#REF!</v>
      </c>
      <c r="AB580" s="48" t="e">
        <f t="shared" ref="AB580:AB643" si="290">IF(AA580&lt;&gt;0,"NA","")</f>
        <v>#REF!</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17</v>
      </c>
      <c r="D581" s="75">
        <f t="shared" si="283"/>
        <v>1</v>
      </c>
      <c r="E581" s="76">
        <f t="shared" si="284"/>
        <v>23</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Senbur6_20191117_01_00</v>
      </c>
      <c r="I581" s="70">
        <f t="shared" ref="I581:N596" si="307">I580</f>
        <v>1</v>
      </c>
      <c r="J581" s="77" t="str">
        <f t="shared" si="307"/>
        <v>Senecio</v>
      </c>
      <c r="K581" s="77" t="str">
        <f t="shared" si="307"/>
        <v>burtoni</v>
      </c>
      <c r="L581" s="78">
        <f t="shared" si="307"/>
        <v>6</v>
      </c>
      <c r="M581" s="78">
        <f t="shared" si="307"/>
        <v>12</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INDEX([1]!VISITORS[INSECT ORDER], MATCH(X581,[1]!VISITORS[NAME USED],0))</f>
        <v>#REF!</v>
      </c>
      <c r="AB581" s="48" t="e">
        <f t="shared" si="290"/>
        <v>#REF!</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17</v>
      </c>
      <c r="D582" s="75">
        <f t="shared" si="283"/>
        <v>1</v>
      </c>
      <c r="E582" s="76">
        <f t="shared" si="284"/>
        <v>24</v>
      </c>
      <c r="F582" s="80"/>
      <c r="G582" s="83"/>
      <c r="H582" s="69" t="str">
        <f t="shared" si="306"/>
        <v>Senbur6_20191117_01_00</v>
      </c>
      <c r="I582" s="70">
        <f t="shared" si="307"/>
        <v>1</v>
      </c>
      <c r="J582" s="77" t="str">
        <f t="shared" si="307"/>
        <v>Senecio</v>
      </c>
      <c r="K582" s="77" t="str">
        <f t="shared" si="307"/>
        <v>burtoni</v>
      </c>
      <c r="L582" s="78">
        <f t="shared" si="307"/>
        <v>6</v>
      </c>
      <c r="M582" s="78">
        <f t="shared" si="307"/>
        <v>12</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INDEX([1]!VISITORS[INSECT ORDER], MATCH(X582,[1]!VISITORS[NAME USED],0))</f>
        <v>#REF!</v>
      </c>
      <c r="AB582" s="48" t="e">
        <f t="shared" si="290"/>
        <v>#REF!</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17</v>
      </c>
      <c r="D583" s="75">
        <f t="shared" si="283"/>
        <v>1</v>
      </c>
      <c r="E583" s="76">
        <f t="shared" si="284"/>
        <v>25</v>
      </c>
      <c r="F583" s="80"/>
      <c r="G583" s="83"/>
      <c r="H583" s="69" t="str">
        <f t="shared" si="306"/>
        <v>Senbur6_20191117_01_00</v>
      </c>
      <c r="I583" s="70">
        <f t="shared" si="307"/>
        <v>1</v>
      </c>
      <c r="J583" s="77" t="str">
        <f t="shared" si="307"/>
        <v>Senecio</v>
      </c>
      <c r="K583" s="77" t="str">
        <f t="shared" si="307"/>
        <v>burtoni</v>
      </c>
      <c r="L583" s="78">
        <f t="shared" si="307"/>
        <v>6</v>
      </c>
      <c r="M583" s="78">
        <f t="shared" si="307"/>
        <v>12</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INDEX([1]!VISITORS[INSECT ORDER], MATCH(X583,[1]!VISITORS[NAME USED],0))</f>
        <v>#REF!</v>
      </c>
      <c r="AB583" s="48" t="e">
        <f t="shared" si="290"/>
        <v>#REF!</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17</v>
      </c>
      <c r="D584" s="75">
        <f t="shared" si="283"/>
        <v>1</v>
      </c>
      <c r="E584" s="76">
        <f t="shared" si="284"/>
        <v>26</v>
      </c>
      <c r="F584" s="80"/>
      <c r="G584" s="83"/>
      <c r="H584" s="69" t="str">
        <f t="shared" si="306"/>
        <v>Senbur6_20191117_01_00</v>
      </c>
      <c r="I584" s="70">
        <f t="shared" si="307"/>
        <v>1</v>
      </c>
      <c r="J584" s="77" t="str">
        <f t="shared" si="307"/>
        <v>Senecio</v>
      </c>
      <c r="K584" s="77" t="str">
        <f t="shared" si="307"/>
        <v>burtoni</v>
      </c>
      <c r="L584" s="78">
        <f t="shared" si="307"/>
        <v>6</v>
      </c>
      <c r="M584" s="78">
        <f t="shared" si="307"/>
        <v>12</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INDEX([1]!VISITORS[INSECT ORDER], MATCH(X584,[1]!VISITORS[NAME USED],0))</f>
        <v>#REF!</v>
      </c>
      <c r="AB584" s="48" t="e">
        <f t="shared" si="290"/>
        <v>#REF!</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17</v>
      </c>
      <c r="D585" s="75">
        <f t="shared" si="283"/>
        <v>1</v>
      </c>
      <c r="E585" s="76">
        <f t="shared" si="284"/>
        <v>27</v>
      </c>
      <c r="F585" s="80"/>
      <c r="G585" s="83"/>
      <c r="H585" s="69" t="str">
        <f t="shared" si="306"/>
        <v>Senbur6_20191117_01_00</v>
      </c>
      <c r="I585" s="70">
        <f t="shared" si="307"/>
        <v>1</v>
      </c>
      <c r="J585" s="77" t="str">
        <f t="shared" si="307"/>
        <v>Senecio</v>
      </c>
      <c r="K585" s="77" t="str">
        <f t="shared" si="307"/>
        <v>burtoni</v>
      </c>
      <c r="L585" s="78">
        <f t="shared" si="307"/>
        <v>6</v>
      </c>
      <c r="M585" s="78">
        <f t="shared" si="307"/>
        <v>12</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INDEX([1]!VISITORS[INSECT ORDER], MATCH(X585,[1]!VISITORS[NAME USED],0))</f>
        <v>#REF!</v>
      </c>
      <c r="AB585" s="48" t="e">
        <f t="shared" si="290"/>
        <v>#REF!</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17</v>
      </c>
      <c r="D586" s="75">
        <f t="shared" si="283"/>
        <v>1</v>
      </c>
      <c r="E586" s="76">
        <f t="shared" si="284"/>
        <v>28</v>
      </c>
      <c r="F586" s="80"/>
      <c r="G586" s="83"/>
      <c r="H586" s="69" t="str">
        <f t="shared" si="306"/>
        <v>Senbur6_20191117_01_00</v>
      </c>
      <c r="I586" s="70">
        <f t="shared" si="307"/>
        <v>1</v>
      </c>
      <c r="J586" s="77" t="str">
        <f t="shared" si="307"/>
        <v>Senecio</v>
      </c>
      <c r="K586" s="77" t="str">
        <f t="shared" si="307"/>
        <v>burtoni</v>
      </c>
      <c r="L586" s="78">
        <f t="shared" si="307"/>
        <v>6</v>
      </c>
      <c r="M586" s="78">
        <f t="shared" si="307"/>
        <v>12</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INDEX([1]!VISITORS[INSECT ORDER], MATCH(X586,[1]!VISITORS[NAME USED],0))</f>
        <v>#REF!</v>
      </c>
      <c r="AB586" s="48" t="e">
        <f t="shared" si="290"/>
        <v>#REF!</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17</v>
      </c>
      <c r="D587" s="75">
        <f t="shared" si="283"/>
        <v>1</v>
      </c>
      <c r="E587" s="76">
        <f t="shared" si="284"/>
        <v>29</v>
      </c>
      <c r="F587" s="80"/>
      <c r="G587" s="83"/>
      <c r="H587" s="69" t="str">
        <f t="shared" si="306"/>
        <v>Senbur6_20191117_01_00</v>
      </c>
      <c r="I587" s="70">
        <f t="shared" si="307"/>
        <v>1</v>
      </c>
      <c r="J587" s="77" t="str">
        <f t="shared" si="307"/>
        <v>Senecio</v>
      </c>
      <c r="K587" s="77" t="str">
        <f t="shared" si="307"/>
        <v>burtoni</v>
      </c>
      <c r="L587" s="78">
        <f t="shared" si="307"/>
        <v>6</v>
      </c>
      <c r="M587" s="78">
        <f t="shared" si="307"/>
        <v>12</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INDEX([1]!VISITORS[INSECT ORDER], MATCH(X587,[1]!VISITORS[NAME USED],0))</f>
        <v>#REF!</v>
      </c>
      <c r="AB587" s="48" t="e">
        <f t="shared" si="290"/>
        <v>#REF!</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17</v>
      </c>
      <c r="D588" s="75">
        <f t="shared" si="283"/>
        <v>1</v>
      </c>
      <c r="E588" s="76">
        <f t="shared" si="284"/>
        <v>30</v>
      </c>
      <c r="F588" s="80"/>
      <c r="G588" s="83"/>
      <c r="H588" s="69" t="str">
        <f t="shared" si="306"/>
        <v>Senbur6_20191117_01_00</v>
      </c>
      <c r="I588" s="70">
        <f t="shared" si="307"/>
        <v>1</v>
      </c>
      <c r="J588" s="77" t="str">
        <f t="shared" si="307"/>
        <v>Senecio</v>
      </c>
      <c r="K588" s="77" t="str">
        <f t="shared" si="307"/>
        <v>burtoni</v>
      </c>
      <c r="L588" s="78">
        <f t="shared" si="307"/>
        <v>6</v>
      </c>
      <c r="M588" s="78">
        <f t="shared" si="307"/>
        <v>12</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INDEX([1]!VISITORS[INSECT ORDER], MATCH(X588,[1]!VISITORS[NAME USED],0))</f>
        <v>#REF!</v>
      </c>
      <c r="AB588" s="48" t="e">
        <f t="shared" si="290"/>
        <v>#REF!</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17</v>
      </c>
      <c r="D589" s="75">
        <f t="shared" si="283"/>
        <v>1</v>
      </c>
      <c r="E589" s="76">
        <f t="shared" si="284"/>
        <v>31</v>
      </c>
      <c r="F589" s="80"/>
      <c r="G589" s="83"/>
      <c r="H589" s="69" t="str">
        <f t="shared" si="306"/>
        <v>Senbur6_20191117_01_00</v>
      </c>
      <c r="I589" s="70">
        <f t="shared" si="307"/>
        <v>1</v>
      </c>
      <c r="J589" s="77" t="str">
        <f t="shared" si="307"/>
        <v>Senecio</v>
      </c>
      <c r="K589" s="77" t="str">
        <f t="shared" si="307"/>
        <v>burtoni</v>
      </c>
      <c r="L589" s="78">
        <f t="shared" si="307"/>
        <v>6</v>
      </c>
      <c r="M589" s="78">
        <f t="shared" si="307"/>
        <v>12</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INDEX([1]!VISITORS[INSECT ORDER], MATCH(X589,[1]!VISITORS[NAME USED],0))</f>
        <v>#REF!</v>
      </c>
      <c r="AB589" s="48" t="e">
        <f t="shared" si="290"/>
        <v>#REF!</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17</v>
      </c>
      <c r="D590" s="75">
        <f t="shared" si="283"/>
        <v>1</v>
      </c>
      <c r="E590" s="76">
        <f t="shared" si="284"/>
        <v>32</v>
      </c>
      <c r="F590" s="80"/>
      <c r="G590" s="83"/>
      <c r="H590" s="69" t="str">
        <f t="shared" si="306"/>
        <v>Senbur6_20191117_01_00</v>
      </c>
      <c r="I590" s="70">
        <f t="shared" si="307"/>
        <v>1</v>
      </c>
      <c r="J590" s="77" t="str">
        <f t="shared" si="307"/>
        <v>Senecio</v>
      </c>
      <c r="K590" s="77" t="str">
        <f t="shared" si="307"/>
        <v>burtoni</v>
      </c>
      <c r="L590" s="78">
        <f t="shared" si="307"/>
        <v>6</v>
      </c>
      <c r="M590" s="78">
        <f t="shared" si="307"/>
        <v>12</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INDEX([1]!VISITORS[INSECT ORDER], MATCH(X590,[1]!VISITORS[NAME USED],0))</f>
        <v>#REF!</v>
      </c>
      <c r="AB590" s="48" t="e">
        <f t="shared" si="290"/>
        <v>#REF!</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17</v>
      </c>
      <c r="D591" s="75">
        <f t="shared" si="283"/>
        <v>1</v>
      </c>
      <c r="E591" s="76">
        <f t="shared" si="284"/>
        <v>33</v>
      </c>
      <c r="F591" s="80"/>
      <c r="G591" s="83"/>
      <c r="H591" s="69" t="str">
        <f t="shared" si="306"/>
        <v>Senbur6_20191117_01_00</v>
      </c>
      <c r="I591" s="70">
        <f t="shared" si="307"/>
        <v>1</v>
      </c>
      <c r="J591" s="77" t="str">
        <f t="shared" si="307"/>
        <v>Senecio</v>
      </c>
      <c r="K591" s="77" t="str">
        <f t="shared" si="307"/>
        <v>burtoni</v>
      </c>
      <c r="L591" s="78">
        <f t="shared" si="307"/>
        <v>6</v>
      </c>
      <c r="M591" s="78">
        <f t="shared" si="307"/>
        <v>12</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INDEX([1]!VISITORS[INSECT ORDER], MATCH(X591,[1]!VISITORS[NAME USED],0))</f>
        <v>#REF!</v>
      </c>
      <c r="AB591" s="48" t="e">
        <f t="shared" si="290"/>
        <v>#REF!</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17</v>
      </c>
      <c r="D592" s="75">
        <f t="shared" si="283"/>
        <v>1</v>
      </c>
      <c r="E592" s="76">
        <f t="shared" si="284"/>
        <v>34</v>
      </c>
      <c r="F592" s="80"/>
      <c r="G592" s="83"/>
      <c r="H592" s="69" t="str">
        <f t="shared" si="306"/>
        <v>Senbur6_20191117_01_00</v>
      </c>
      <c r="I592" s="70">
        <f t="shared" si="307"/>
        <v>1</v>
      </c>
      <c r="J592" s="77" t="str">
        <f t="shared" si="307"/>
        <v>Senecio</v>
      </c>
      <c r="K592" s="77" t="str">
        <f t="shared" si="307"/>
        <v>burtoni</v>
      </c>
      <c r="L592" s="78">
        <f t="shared" si="307"/>
        <v>6</v>
      </c>
      <c r="M592" s="78">
        <f t="shared" si="307"/>
        <v>12</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INDEX([1]!VISITORS[INSECT ORDER], MATCH(X592,[1]!VISITORS[NAME USED],0))</f>
        <v>#REF!</v>
      </c>
      <c r="AB592" s="48" t="e">
        <f t="shared" si="290"/>
        <v>#REF!</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17</v>
      </c>
      <c r="D593" s="75">
        <f t="shared" si="283"/>
        <v>1</v>
      </c>
      <c r="E593" s="76">
        <f t="shared" si="284"/>
        <v>35</v>
      </c>
      <c r="F593" s="80"/>
      <c r="G593" s="83"/>
      <c r="H593" s="69" t="str">
        <f t="shared" si="306"/>
        <v>Senbur6_20191117_01_00</v>
      </c>
      <c r="I593" s="70">
        <f t="shared" si="307"/>
        <v>1</v>
      </c>
      <c r="J593" s="77" t="str">
        <f t="shared" si="307"/>
        <v>Senecio</v>
      </c>
      <c r="K593" s="77" t="str">
        <f t="shared" si="307"/>
        <v>burtoni</v>
      </c>
      <c r="L593" s="78">
        <f t="shared" si="307"/>
        <v>6</v>
      </c>
      <c r="M593" s="78">
        <f t="shared" si="307"/>
        <v>12</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INDEX([1]!VISITORS[INSECT ORDER], MATCH(X593,[1]!VISITORS[NAME USED],0))</f>
        <v>#REF!</v>
      </c>
      <c r="AB593" s="48" t="e">
        <f t="shared" si="290"/>
        <v>#REF!</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17</v>
      </c>
      <c r="D594" s="75">
        <f t="shared" si="283"/>
        <v>1</v>
      </c>
      <c r="E594" s="76">
        <f t="shared" si="284"/>
        <v>36</v>
      </c>
      <c r="F594" s="80"/>
      <c r="G594" s="83"/>
      <c r="H594" s="69" t="str">
        <f t="shared" si="306"/>
        <v>Senbur6_20191117_01_00</v>
      </c>
      <c r="I594" s="70">
        <f t="shared" si="307"/>
        <v>1</v>
      </c>
      <c r="J594" s="77" t="str">
        <f t="shared" si="307"/>
        <v>Senecio</v>
      </c>
      <c r="K594" s="77" t="str">
        <f t="shared" si="307"/>
        <v>burtoni</v>
      </c>
      <c r="L594" s="78">
        <f t="shared" si="307"/>
        <v>6</v>
      </c>
      <c r="M594" s="78">
        <f t="shared" si="307"/>
        <v>12</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INDEX([1]!VISITORS[INSECT ORDER], MATCH(X594,[1]!VISITORS[NAME USED],0))</f>
        <v>#REF!</v>
      </c>
      <c r="AB594" s="48" t="e">
        <f t="shared" si="290"/>
        <v>#REF!</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17</v>
      </c>
      <c r="D595" s="75">
        <f t="shared" si="283"/>
        <v>1</v>
      </c>
      <c r="E595" s="76">
        <f t="shared" si="284"/>
        <v>37</v>
      </c>
      <c r="F595" s="80"/>
      <c r="G595" s="83"/>
      <c r="H595" s="69" t="str">
        <f t="shared" si="306"/>
        <v>Senbur6_20191117_01_00</v>
      </c>
      <c r="I595" s="70">
        <f t="shared" si="307"/>
        <v>1</v>
      </c>
      <c r="J595" s="77" t="str">
        <f t="shared" si="307"/>
        <v>Senecio</v>
      </c>
      <c r="K595" s="77" t="str">
        <f t="shared" si="307"/>
        <v>burtoni</v>
      </c>
      <c r="L595" s="78">
        <f t="shared" si="307"/>
        <v>6</v>
      </c>
      <c r="M595" s="78">
        <f t="shared" si="307"/>
        <v>12</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INDEX([1]!VISITORS[INSECT ORDER], MATCH(X595,[1]!VISITORS[NAME USED],0))</f>
        <v>#REF!</v>
      </c>
      <c r="AB595" s="48" t="e">
        <f t="shared" si="290"/>
        <v>#REF!</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17</v>
      </c>
      <c r="D596" s="75">
        <f t="shared" si="283"/>
        <v>1</v>
      </c>
      <c r="E596" s="76">
        <f t="shared" si="284"/>
        <v>38</v>
      </c>
      <c r="F596" s="80"/>
      <c r="G596" s="83"/>
      <c r="H596" s="69" t="str">
        <f t="shared" si="306"/>
        <v>Senbur6_20191117_01_00</v>
      </c>
      <c r="I596" s="70">
        <f t="shared" si="307"/>
        <v>1</v>
      </c>
      <c r="J596" s="77" t="str">
        <f t="shared" si="307"/>
        <v>Senecio</v>
      </c>
      <c r="K596" s="77" t="str">
        <f t="shared" si="307"/>
        <v>burtoni</v>
      </c>
      <c r="L596" s="78">
        <f t="shared" si="307"/>
        <v>6</v>
      </c>
      <c r="M596" s="78">
        <f t="shared" si="307"/>
        <v>12</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INDEX([1]!VISITORS[INSECT ORDER], MATCH(X596,[1]!VISITORS[NAME USED],0))</f>
        <v>#REF!</v>
      </c>
      <c r="AB596" s="48" t="e">
        <f t="shared" si="290"/>
        <v>#REF!</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17</v>
      </c>
      <c r="D597" s="75">
        <f t="shared" si="283"/>
        <v>1</v>
      </c>
      <c r="E597" s="76">
        <f t="shared" si="284"/>
        <v>39</v>
      </c>
      <c r="F597" s="80"/>
      <c r="G597" s="83"/>
      <c r="H597" s="69" t="str">
        <f t="shared" si="306"/>
        <v>Senbur6_20191117_01_00</v>
      </c>
      <c r="I597" s="70">
        <f t="shared" ref="I597:N612" si="308">I596</f>
        <v>1</v>
      </c>
      <c r="J597" s="77" t="str">
        <f t="shared" si="308"/>
        <v>Senecio</v>
      </c>
      <c r="K597" s="77" t="str">
        <f t="shared" si="308"/>
        <v>burtoni</v>
      </c>
      <c r="L597" s="78">
        <f t="shared" si="308"/>
        <v>6</v>
      </c>
      <c r="M597" s="78">
        <f t="shared" si="308"/>
        <v>12</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INDEX([1]!VISITORS[INSECT ORDER], MATCH(X597,[1]!VISITORS[NAME USED],0))</f>
        <v>#REF!</v>
      </c>
      <c r="AB597" s="48" t="e">
        <f t="shared" si="290"/>
        <v>#REF!</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17</v>
      </c>
      <c r="D598" s="75">
        <f t="shared" si="283"/>
        <v>1</v>
      </c>
      <c r="E598" s="76">
        <f t="shared" si="284"/>
        <v>40</v>
      </c>
      <c r="F598" s="80"/>
      <c r="G598" s="83"/>
      <c r="H598" s="69" t="str">
        <f t="shared" si="306"/>
        <v>Senbur6_20191117_01_00</v>
      </c>
      <c r="I598" s="70">
        <f t="shared" si="308"/>
        <v>1</v>
      </c>
      <c r="J598" s="77" t="str">
        <f t="shared" si="308"/>
        <v>Senecio</v>
      </c>
      <c r="K598" s="77" t="str">
        <f t="shared" si="308"/>
        <v>burtoni</v>
      </c>
      <c r="L598" s="78">
        <f t="shared" si="308"/>
        <v>6</v>
      </c>
      <c r="M598" s="78">
        <f t="shared" si="308"/>
        <v>12</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INDEX([1]!VISITORS[INSECT ORDER], MATCH(X598,[1]!VISITORS[NAME USED],0))</f>
        <v>#REF!</v>
      </c>
      <c r="AB598" s="48" t="e">
        <f t="shared" si="290"/>
        <v>#REF!</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17</v>
      </c>
      <c r="D599" s="75">
        <f t="shared" si="283"/>
        <v>1</v>
      </c>
      <c r="E599" s="76">
        <f t="shared" si="284"/>
        <v>41</v>
      </c>
      <c r="F599" s="80"/>
      <c r="G599" s="83"/>
      <c r="H599" s="69" t="str">
        <f t="shared" si="306"/>
        <v>Senbur6_20191117_01_00</v>
      </c>
      <c r="I599" s="70">
        <f t="shared" si="308"/>
        <v>1</v>
      </c>
      <c r="J599" s="77" t="str">
        <f t="shared" si="308"/>
        <v>Senecio</v>
      </c>
      <c r="K599" s="77" t="str">
        <f t="shared" si="308"/>
        <v>burtoni</v>
      </c>
      <c r="L599" s="78">
        <f t="shared" si="308"/>
        <v>6</v>
      </c>
      <c r="M599" s="78">
        <f t="shared" si="308"/>
        <v>12</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INDEX([1]!VISITORS[INSECT ORDER], MATCH(X599,[1]!VISITORS[NAME USED],0))</f>
        <v>#REF!</v>
      </c>
      <c r="AB599" s="48" t="e">
        <f t="shared" si="290"/>
        <v>#REF!</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17</v>
      </c>
      <c r="D600" s="75">
        <f t="shared" si="283"/>
        <v>1</v>
      </c>
      <c r="E600" s="76">
        <f t="shared" si="284"/>
        <v>42</v>
      </c>
      <c r="F600" s="80"/>
      <c r="G600" s="83"/>
      <c r="H600" s="69" t="str">
        <f t="shared" si="306"/>
        <v>Senbur6_20191117_01_00</v>
      </c>
      <c r="I600" s="70">
        <f t="shared" si="308"/>
        <v>1</v>
      </c>
      <c r="J600" s="77" t="str">
        <f t="shared" si="308"/>
        <v>Senecio</v>
      </c>
      <c r="K600" s="77" t="str">
        <f t="shared" si="308"/>
        <v>burtoni</v>
      </c>
      <c r="L600" s="78">
        <f t="shared" si="308"/>
        <v>6</v>
      </c>
      <c r="M600" s="78">
        <f t="shared" si="308"/>
        <v>12</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INDEX([1]!VISITORS[INSECT ORDER], MATCH(X600,[1]!VISITORS[NAME USED],0))</f>
        <v>#REF!</v>
      </c>
      <c r="AB600" s="48" t="e">
        <f t="shared" si="290"/>
        <v>#REF!</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17</v>
      </c>
      <c r="D601" s="75">
        <f t="shared" si="283"/>
        <v>1</v>
      </c>
      <c r="E601" s="76">
        <f t="shared" si="284"/>
        <v>43</v>
      </c>
      <c r="F601" s="80"/>
      <c r="G601" s="83"/>
      <c r="H601" s="69" t="str">
        <f t="shared" si="306"/>
        <v>Senbur6_20191117_01_00</v>
      </c>
      <c r="I601" s="70">
        <f t="shared" si="308"/>
        <v>1</v>
      </c>
      <c r="J601" s="77" t="str">
        <f t="shared" si="308"/>
        <v>Senecio</v>
      </c>
      <c r="K601" s="77" t="str">
        <f t="shared" si="308"/>
        <v>burtoni</v>
      </c>
      <c r="L601" s="78">
        <f t="shared" si="308"/>
        <v>6</v>
      </c>
      <c r="M601" s="78">
        <f t="shared" si="308"/>
        <v>12</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INDEX([1]!VISITORS[INSECT ORDER], MATCH(X601,[1]!VISITORS[NAME USED],0))</f>
        <v>#REF!</v>
      </c>
      <c r="AB601" s="48" t="e">
        <f t="shared" si="290"/>
        <v>#REF!</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17</v>
      </c>
      <c r="D602" s="75">
        <f t="shared" si="283"/>
        <v>1</v>
      </c>
      <c r="E602" s="76">
        <f t="shared" si="284"/>
        <v>44</v>
      </c>
      <c r="F602" s="80"/>
      <c r="G602" s="83"/>
      <c r="H602" s="69" t="str">
        <f t="shared" si="306"/>
        <v>Senbur6_20191117_01_00</v>
      </c>
      <c r="I602" s="70">
        <f t="shared" si="308"/>
        <v>1</v>
      </c>
      <c r="J602" s="77" t="str">
        <f t="shared" si="308"/>
        <v>Senecio</v>
      </c>
      <c r="K602" s="77" t="str">
        <f t="shared" si="308"/>
        <v>burtoni</v>
      </c>
      <c r="L602" s="78">
        <f t="shared" si="308"/>
        <v>6</v>
      </c>
      <c r="M602" s="78">
        <f t="shared" si="308"/>
        <v>12</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INDEX([1]!VISITORS[INSECT ORDER], MATCH(X602,[1]!VISITORS[NAME USED],0))</f>
        <v>#REF!</v>
      </c>
      <c r="AB602" s="48" t="e">
        <f t="shared" si="290"/>
        <v>#REF!</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17</v>
      </c>
      <c r="D603" s="75">
        <f t="shared" si="283"/>
        <v>1</v>
      </c>
      <c r="E603" s="76">
        <f t="shared" si="284"/>
        <v>45</v>
      </c>
      <c r="F603" s="80"/>
      <c r="G603" s="83"/>
      <c r="H603" s="69" t="str">
        <f t="shared" si="306"/>
        <v>Senbur6_20191117_01_00</v>
      </c>
      <c r="I603" s="70">
        <f t="shared" si="308"/>
        <v>1</v>
      </c>
      <c r="J603" s="77" t="str">
        <f t="shared" si="308"/>
        <v>Senecio</v>
      </c>
      <c r="K603" s="77" t="str">
        <f t="shared" si="308"/>
        <v>burtoni</v>
      </c>
      <c r="L603" s="78">
        <f t="shared" si="308"/>
        <v>6</v>
      </c>
      <c r="M603" s="78">
        <f t="shared" si="308"/>
        <v>12</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INDEX([1]!VISITORS[INSECT ORDER], MATCH(X603,[1]!VISITORS[NAME USED],0))</f>
        <v>#REF!</v>
      </c>
      <c r="AB603" s="48" t="e">
        <f t="shared" si="290"/>
        <v>#REF!</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17</v>
      </c>
      <c r="D604" s="75">
        <f t="shared" si="283"/>
        <v>1</v>
      </c>
      <c r="E604" s="76">
        <f t="shared" si="284"/>
        <v>46</v>
      </c>
      <c r="F604" s="80"/>
      <c r="G604" s="83"/>
      <c r="H604" s="69" t="str">
        <f t="shared" si="306"/>
        <v>Senbur6_20191117_01_00</v>
      </c>
      <c r="I604" s="70">
        <f t="shared" si="308"/>
        <v>1</v>
      </c>
      <c r="J604" s="77" t="str">
        <f t="shared" si="308"/>
        <v>Senecio</v>
      </c>
      <c r="K604" s="77" t="str">
        <f t="shared" si="308"/>
        <v>burtoni</v>
      </c>
      <c r="L604" s="78">
        <f t="shared" si="308"/>
        <v>6</v>
      </c>
      <c r="M604" s="78">
        <f t="shared" si="308"/>
        <v>12</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INDEX([1]!VISITORS[INSECT ORDER], MATCH(X604,[1]!VISITORS[NAME USED],0))</f>
        <v>#REF!</v>
      </c>
      <c r="AB604" s="48" t="e">
        <f t="shared" si="290"/>
        <v>#REF!</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17</v>
      </c>
      <c r="D605" s="75">
        <f t="shared" si="283"/>
        <v>1</v>
      </c>
      <c r="E605" s="76">
        <f t="shared" si="284"/>
        <v>47</v>
      </c>
      <c r="F605" s="80"/>
      <c r="G605" s="83"/>
      <c r="H605" s="69" t="str">
        <f t="shared" si="306"/>
        <v>Senbur6_20191117_01_00</v>
      </c>
      <c r="I605" s="70">
        <f t="shared" si="308"/>
        <v>1</v>
      </c>
      <c r="J605" s="77" t="str">
        <f t="shared" si="308"/>
        <v>Senecio</v>
      </c>
      <c r="K605" s="77" t="str">
        <f t="shared" si="308"/>
        <v>burtoni</v>
      </c>
      <c r="L605" s="78">
        <f t="shared" si="308"/>
        <v>6</v>
      </c>
      <c r="M605" s="78">
        <f t="shared" si="308"/>
        <v>12</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INDEX([1]!VISITORS[INSECT ORDER], MATCH(X605,[1]!VISITORS[NAME USED],0))</f>
        <v>#REF!</v>
      </c>
      <c r="AB605" s="48" t="e">
        <f t="shared" si="290"/>
        <v>#REF!</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17</v>
      </c>
      <c r="D606" s="75">
        <f t="shared" si="283"/>
        <v>1</v>
      </c>
      <c r="E606" s="76">
        <f t="shared" si="284"/>
        <v>48</v>
      </c>
      <c r="F606" s="80"/>
      <c r="G606" s="83"/>
      <c r="H606" s="69" t="str">
        <f t="shared" si="306"/>
        <v>Senbur6_20191117_01_00</v>
      </c>
      <c r="I606" s="70">
        <f t="shared" si="308"/>
        <v>1</v>
      </c>
      <c r="J606" s="77" t="str">
        <f t="shared" si="308"/>
        <v>Senecio</v>
      </c>
      <c r="K606" s="77" t="str">
        <f t="shared" si="308"/>
        <v>burtoni</v>
      </c>
      <c r="L606" s="78">
        <f t="shared" si="308"/>
        <v>6</v>
      </c>
      <c r="M606" s="78">
        <f t="shared" si="308"/>
        <v>12</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INDEX([1]!VISITORS[INSECT ORDER], MATCH(X606,[1]!VISITORS[NAME USED],0))</f>
        <v>#REF!</v>
      </c>
      <c r="AB606" s="48" t="e">
        <f t="shared" si="290"/>
        <v>#REF!</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17</v>
      </c>
      <c r="D607" s="75">
        <f t="shared" si="283"/>
        <v>1</v>
      </c>
      <c r="E607" s="76">
        <f t="shared" si="284"/>
        <v>49</v>
      </c>
      <c r="F607" s="80"/>
      <c r="G607" s="83"/>
      <c r="H607" s="69" t="str">
        <f t="shared" si="306"/>
        <v>Senbur6_20191117_01_00</v>
      </c>
      <c r="I607" s="70">
        <f t="shared" si="308"/>
        <v>1</v>
      </c>
      <c r="J607" s="77" t="str">
        <f t="shared" si="308"/>
        <v>Senecio</v>
      </c>
      <c r="K607" s="77" t="str">
        <f t="shared" si="308"/>
        <v>burtoni</v>
      </c>
      <c r="L607" s="78">
        <f t="shared" si="308"/>
        <v>6</v>
      </c>
      <c r="M607" s="78">
        <f t="shared" si="308"/>
        <v>12</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INDEX([1]!VISITORS[INSECT ORDER], MATCH(X607,[1]!VISITORS[NAME USED],0))</f>
        <v>#REF!</v>
      </c>
      <c r="AB607" s="48" t="e">
        <f t="shared" si="290"/>
        <v>#REF!</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17</v>
      </c>
      <c r="D608" s="75">
        <f t="shared" si="283"/>
        <v>1</v>
      </c>
      <c r="E608" s="76">
        <f t="shared" si="284"/>
        <v>50</v>
      </c>
      <c r="F608" s="80"/>
      <c r="G608" s="83"/>
      <c r="H608" s="69" t="str">
        <f t="shared" si="306"/>
        <v>Senbur6_20191117_01_00</v>
      </c>
      <c r="I608" s="70">
        <f t="shared" si="308"/>
        <v>1</v>
      </c>
      <c r="J608" s="77" t="str">
        <f t="shared" si="308"/>
        <v>Senecio</v>
      </c>
      <c r="K608" s="77" t="str">
        <f t="shared" si="308"/>
        <v>burtoni</v>
      </c>
      <c r="L608" s="78">
        <f t="shared" si="308"/>
        <v>6</v>
      </c>
      <c r="M608" s="78">
        <f t="shared" si="308"/>
        <v>12</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INDEX([1]!VISITORS[INSECT ORDER], MATCH(X608,[1]!VISITORS[NAME USED],0))</f>
        <v>#REF!</v>
      </c>
      <c r="AB608" s="48" t="e">
        <f t="shared" si="290"/>
        <v>#REF!</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17</v>
      </c>
      <c r="D609" s="75">
        <f t="shared" si="283"/>
        <v>1</v>
      </c>
      <c r="E609" s="76">
        <f t="shared" si="284"/>
        <v>51</v>
      </c>
      <c r="F609" s="80"/>
      <c r="G609" s="83"/>
      <c r="H609" s="69" t="str">
        <f t="shared" si="306"/>
        <v>Senbur6_20191117_01_00</v>
      </c>
      <c r="I609" s="70">
        <f t="shared" si="308"/>
        <v>1</v>
      </c>
      <c r="J609" s="77" t="str">
        <f t="shared" si="308"/>
        <v>Senecio</v>
      </c>
      <c r="K609" s="77" t="str">
        <f t="shared" si="308"/>
        <v>burtoni</v>
      </c>
      <c r="L609" s="78">
        <f t="shared" si="308"/>
        <v>6</v>
      </c>
      <c r="M609" s="78">
        <f t="shared" si="308"/>
        <v>12</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INDEX([1]!VISITORS[INSECT ORDER], MATCH(X609,[1]!VISITORS[NAME USED],0))</f>
        <v>#REF!</v>
      </c>
      <c r="AB609" s="48" t="e">
        <f t="shared" si="290"/>
        <v>#REF!</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17</v>
      </c>
      <c r="D610" s="75">
        <f t="shared" si="283"/>
        <v>1</v>
      </c>
      <c r="E610" s="76">
        <f t="shared" si="284"/>
        <v>52</v>
      </c>
      <c r="F610" s="80"/>
      <c r="G610" s="83"/>
      <c r="H610" s="69" t="str">
        <f t="shared" si="306"/>
        <v>Senbur6_20191117_01_00</v>
      </c>
      <c r="I610" s="70">
        <f t="shared" si="308"/>
        <v>1</v>
      </c>
      <c r="J610" s="77" t="str">
        <f t="shared" si="308"/>
        <v>Senecio</v>
      </c>
      <c r="K610" s="77" t="str">
        <f t="shared" si="308"/>
        <v>burtoni</v>
      </c>
      <c r="L610" s="78">
        <f t="shared" si="308"/>
        <v>6</v>
      </c>
      <c r="M610" s="78">
        <f t="shared" si="308"/>
        <v>12</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INDEX([1]!VISITORS[INSECT ORDER], MATCH(X610,[1]!VISITORS[NAME USED],0))</f>
        <v>#REF!</v>
      </c>
      <c r="AB610" s="48" t="e">
        <f t="shared" si="290"/>
        <v>#REF!</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17</v>
      </c>
      <c r="D611" s="75">
        <f t="shared" si="283"/>
        <v>1</v>
      </c>
      <c r="E611" s="76">
        <f t="shared" si="284"/>
        <v>53</v>
      </c>
      <c r="F611" s="80"/>
      <c r="G611" s="83"/>
      <c r="H611" s="69" t="str">
        <f t="shared" si="306"/>
        <v>Senbur6_20191117_01_00</v>
      </c>
      <c r="I611" s="70">
        <f t="shared" si="308"/>
        <v>1</v>
      </c>
      <c r="J611" s="77" t="str">
        <f t="shared" si="308"/>
        <v>Senecio</v>
      </c>
      <c r="K611" s="77" t="str">
        <f t="shared" si="308"/>
        <v>burtoni</v>
      </c>
      <c r="L611" s="78">
        <f t="shared" si="308"/>
        <v>6</v>
      </c>
      <c r="M611" s="78">
        <f t="shared" si="308"/>
        <v>12</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INDEX([1]!VISITORS[INSECT ORDER], MATCH(X611,[1]!VISITORS[NAME USED],0))</f>
        <v>#REF!</v>
      </c>
      <c r="AB611" s="48" t="e">
        <f t="shared" si="290"/>
        <v>#REF!</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17</v>
      </c>
      <c r="D612" s="75">
        <f t="shared" si="283"/>
        <v>1</v>
      </c>
      <c r="E612" s="76">
        <f t="shared" si="284"/>
        <v>54</v>
      </c>
      <c r="F612" s="80"/>
      <c r="G612" s="83"/>
      <c r="H612" s="69" t="str">
        <f t="shared" si="306"/>
        <v>Senbur6_20191117_01_00</v>
      </c>
      <c r="I612" s="70">
        <f t="shared" si="308"/>
        <v>1</v>
      </c>
      <c r="J612" s="77" t="str">
        <f t="shared" si="308"/>
        <v>Senecio</v>
      </c>
      <c r="K612" s="77" t="str">
        <f t="shared" si="308"/>
        <v>burtoni</v>
      </c>
      <c r="L612" s="78">
        <f t="shared" si="308"/>
        <v>6</v>
      </c>
      <c r="M612" s="78">
        <f t="shared" si="308"/>
        <v>12</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INDEX([1]!VISITORS[INSECT ORDER], MATCH(X612,[1]!VISITORS[NAME USED],0))</f>
        <v>#REF!</v>
      </c>
      <c r="AB612" s="48" t="e">
        <f t="shared" si="290"/>
        <v>#REF!</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17</v>
      </c>
      <c r="D613" s="75">
        <f t="shared" si="283"/>
        <v>1</v>
      </c>
      <c r="E613" s="76">
        <f t="shared" si="284"/>
        <v>55</v>
      </c>
      <c r="F613" s="80"/>
      <c r="G613" s="83"/>
      <c r="H613" s="69" t="str">
        <f t="shared" si="306"/>
        <v>Senbur6_20191117_01_00</v>
      </c>
      <c r="I613" s="70">
        <f t="shared" ref="I613:N628" si="309">I612</f>
        <v>1</v>
      </c>
      <c r="J613" s="77" t="str">
        <f t="shared" si="309"/>
        <v>Senecio</v>
      </c>
      <c r="K613" s="77" t="str">
        <f t="shared" si="309"/>
        <v>burtoni</v>
      </c>
      <c r="L613" s="78">
        <f t="shared" si="309"/>
        <v>6</v>
      </c>
      <c r="M613" s="78">
        <f t="shared" si="309"/>
        <v>12</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INDEX([1]!VISITORS[INSECT ORDER], MATCH(X613,[1]!VISITORS[NAME USED],0))</f>
        <v>#REF!</v>
      </c>
      <c r="AB613" s="48" t="e">
        <f t="shared" si="290"/>
        <v>#REF!</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17</v>
      </c>
      <c r="D614" s="75">
        <f t="shared" si="283"/>
        <v>1</v>
      </c>
      <c r="E614" s="76">
        <f t="shared" si="284"/>
        <v>56</v>
      </c>
      <c r="F614" s="80"/>
      <c r="G614" s="83"/>
      <c r="H614" s="69" t="str">
        <f t="shared" si="306"/>
        <v>Senbur6_20191117_01_00</v>
      </c>
      <c r="I614" s="70">
        <f t="shared" si="309"/>
        <v>1</v>
      </c>
      <c r="J614" s="77" t="str">
        <f t="shared" si="309"/>
        <v>Senecio</v>
      </c>
      <c r="K614" s="77" t="str">
        <f t="shared" si="309"/>
        <v>burtoni</v>
      </c>
      <c r="L614" s="78">
        <f t="shared" si="309"/>
        <v>6</v>
      </c>
      <c r="M614" s="78">
        <f t="shared" si="309"/>
        <v>12</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INDEX([1]!VISITORS[INSECT ORDER], MATCH(X614,[1]!VISITORS[NAME USED],0))</f>
        <v>#REF!</v>
      </c>
      <c r="AB614" s="48" t="e">
        <f t="shared" si="290"/>
        <v>#REF!</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17</v>
      </c>
      <c r="D615" s="75">
        <f t="shared" si="283"/>
        <v>1</v>
      </c>
      <c r="E615" s="76">
        <f t="shared" si="284"/>
        <v>57</v>
      </c>
      <c r="F615" s="80"/>
      <c r="G615" s="83"/>
      <c r="H615" s="69" t="str">
        <f t="shared" si="306"/>
        <v>Senbur6_20191117_01_00</v>
      </c>
      <c r="I615" s="70">
        <f t="shared" si="309"/>
        <v>1</v>
      </c>
      <c r="J615" s="77" t="str">
        <f t="shared" si="309"/>
        <v>Senecio</v>
      </c>
      <c r="K615" s="77" t="str">
        <f t="shared" si="309"/>
        <v>burtoni</v>
      </c>
      <c r="L615" s="78">
        <f t="shared" si="309"/>
        <v>6</v>
      </c>
      <c r="M615" s="78">
        <f t="shared" si="309"/>
        <v>12</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INDEX([1]!VISITORS[INSECT ORDER], MATCH(X615,[1]!VISITORS[NAME USED],0))</f>
        <v>#REF!</v>
      </c>
      <c r="AB615" s="48" t="e">
        <f t="shared" si="290"/>
        <v>#REF!</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17</v>
      </c>
      <c r="D616" s="75">
        <f t="shared" si="283"/>
        <v>1</v>
      </c>
      <c r="E616" s="76">
        <f t="shared" si="284"/>
        <v>58</v>
      </c>
      <c r="F616" s="80"/>
      <c r="G616" s="83"/>
      <c r="H616" s="69" t="str">
        <f t="shared" si="306"/>
        <v>Senbur6_20191117_01_00</v>
      </c>
      <c r="I616" s="70">
        <f t="shared" si="309"/>
        <v>1</v>
      </c>
      <c r="J616" s="77" t="str">
        <f t="shared" si="309"/>
        <v>Senecio</v>
      </c>
      <c r="K616" s="77" t="str">
        <f t="shared" si="309"/>
        <v>burtoni</v>
      </c>
      <c r="L616" s="78">
        <f t="shared" si="309"/>
        <v>6</v>
      </c>
      <c r="M616" s="78">
        <f t="shared" si="309"/>
        <v>12</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INDEX([1]!VISITORS[INSECT ORDER], MATCH(X616,[1]!VISITORS[NAME USED],0))</f>
        <v>#REF!</v>
      </c>
      <c r="AB616" s="48" t="e">
        <f t="shared" si="290"/>
        <v>#REF!</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17</v>
      </c>
      <c r="D617" s="75">
        <f t="shared" si="283"/>
        <v>1</v>
      </c>
      <c r="E617" s="76">
        <f t="shared" si="284"/>
        <v>59</v>
      </c>
      <c r="F617" s="80"/>
      <c r="G617" s="83"/>
      <c r="H617" s="69" t="str">
        <f t="shared" si="306"/>
        <v>Senbur6_20191117_01_00</v>
      </c>
      <c r="I617" s="70">
        <f t="shared" si="309"/>
        <v>1</v>
      </c>
      <c r="J617" s="77" t="str">
        <f t="shared" si="309"/>
        <v>Senecio</v>
      </c>
      <c r="K617" s="77" t="str">
        <f t="shared" si="309"/>
        <v>burtoni</v>
      </c>
      <c r="L617" s="78">
        <f t="shared" si="309"/>
        <v>6</v>
      </c>
      <c r="M617" s="78">
        <f t="shared" si="309"/>
        <v>12</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INDEX([1]!VISITORS[INSECT ORDER], MATCH(X617,[1]!VISITORS[NAME USED],0))</f>
        <v>#REF!</v>
      </c>
      <c r="AB617" s="48" t="e">
        <f t="shared" si="290"/>
        <v>#REF!</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17</v>
      </c>
      <c r="D618" s="75">
        <f t="shared" si="283"/>
        <v>2</v>
      </c>
      <c r="E618" s="76">
        <f t="shared" si="284"/>
        <v>0</v>
      </c>
      <c r="F618" s="80"/>
      <c r="G618" s="83"/>
      <c r="H618" s="69" t="str">
        <f t="shared" si="306"/>
        <v>Senbur6_20191117_02_00</v>
      </c>
      <c r="I618" s="70">
        <f t="shared" si="309"/>
        <v>1</v>
      </c>
      <c r="J618" s="77" t="str">
        <f t="shared" si="309"/>
        <v>Senecio</v>
      </c>
      <c r="K618" s="77" t="str">
        <f t="shared" si="309"/>
        <v>burtoni</v>
      </c>
      <c r="L618" s="78">
        <f t="shared" si="309"/>
        <v>6</v>
      </c>
      <c r="M618" s="78">
        <f t="shared" si="309"/>
        <v>12</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INDEX([1]!VISITORS[INSECT ORDER], MATCH(X618,[1]!VISITORS[NAME USED],0))</f>
        <v>#REF!</v>
      </c>
      <c r="AB618" s="48" t="e">
        <f t="shared" si="290"/>
        <v>#REF!</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17</v>
      </c>
      <c r="D619" s="75">
        <f t="shared" si="283"/>
        <v>2</v>
      </c>
      <c r="E619" s="76">
        <f t="shared" si="284"/>
        <v>1</v>
      </c>
      <c r="F619" s="80"/>
      <c r="G619" s="83"/>
      <c r="H619" s="69" t="str">
        <f t="shared" si="306"/>
        <v>Senbur6_20191117_02_00</v>
      </c>
      <c r="I619" s="70">
        <f t="shared" si="309"/>
        <v>1</v>
      </c>
      <c r="J619" s="77" t="str">
        <f t="shared" si="309"/>
        <v>Senecio</v>
      </c>
      <c r="K619" s="77" t="str">
        <f t="shared" si="309"/>
        <v>burtoni</v>
      </c>
      <c r="L619" s="78">
        <f t="shared" si="309"/>
        <v>6</v>
      </c>
      <c r="M619" s="78">
        <f t="shared" si="309"/>
        <v>12</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INDEX([1]!VISITORS[INSECT ORDER], MATCH(X619,[1]!VISITORS[NAME USED],0))</f>
        <v>#REF!</v>
      </c>
      <c r="AB619" s="48" t="e">
        <f t="shared" si="290"/>
        <v>#REF!</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17</v>
      </c>
      <c r="D620" s="75">
        <f t="shared" si="283"/>
        <v>2</v>
      </c>
      <c r="E620" s="76">
        <f t="shared" si="284"/>
        <v>2</v>
      </c>
      <c r="F620" s="80"/>
      <c r="G620" s="83"/>
      <c r="H620" s="69" t="str">
        <f t="shared" si="306"/>
        <v>Senbur6_20191117_02_00</v>
      </c>
      <c r="I620" s="70">
        <f t="shared" si="309"/>
        <v>1</v>
      </c>
      <c r="J620" s="77" t="str">
        <f t="shared" si="309"/>
        <v>Senecio</v>
      </c>
      <c r="K620" s="77" t="str">
        <f t="shared" si="309"/>
        <v>burtoni</v>
      </c>
      <c r="L620" s="78">
        <f t="shared" si="309"/>
        <v>6</v>
      </c>
      <c r="M620" s="78">
        <f t="shared" si="309"/>
        <v>12</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INDEX([1]!VISITORS[INSECT ORDER], MATCH(X620,[1]!VISITORS[NAME USED],0))</f>
        <v>#REF!</v>
      </c>
      <c r="AB620" s="48" t="e">
        <f t="shared" si="290"/>
        <v>#REF!</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17</v>
      </c>
      <c r="D621" s="75">
        <f t="shared" si="283"/>
        <v>2</v>
      </c>
      <c r="E621" s="76">
        <f t="shared" si="284"/>
        <v>3</v>
      </c>
      <c r="F621" s="80"/>
      <c r="G621" s="83"/>
      <c r="H621" s="69" t="str">
        <f t="shared" si="306"/>
        <v>Senbur6_20191117_02_00</v>
      </c>
      <c r="I621" s="70">
        <f t="shared" si="309"/>
        <v>1</v>
      </c>
      <c r="J621" s="77" t="str">
        <f t="shared" si="309"/>
        <v>Senecio</v>
      </c>
      <c r="K621" s="77" t="str">
        <f t="shared" si="309"/>
        <v>burtoni</v>
      </c>
      <c r="L621" s="78">
        <f t="shared" si="309"/>
        <v>6</v>
      </c>
      <c r="M621" s="78">
        <f t="shared" si="309"/>
        <v>12</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INDEX([1]!VISITORS[INSECT ORDER], MATCH(X621,[1]!VISITORS[NAME USED],0))</f>
        <v>#REF!</v>
      </c>
      <c r="AB621" s="48" t="e">
        <f t="shared" si="290"/>
        <v>#REF!</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17</v>
      </c>
      <c r="D622" s="75">
        <f t="shared" si="283"/>
        <v>2</v>
      </c>
      <c r="E622" s="76">
        <f t="shared" si="284"/>
        <v>4</v>
      </c>
      <c r="F622" s="80"/>
      <c r="G622" s="83"/>
      <c r="H622" s="69" t="str">
        <f t="shared" si="306"/>
        <v>Senbur6_20191117_02_00</v>
      </c>
      <c r="I622" s="70">
        <f t="shared" si="309"/>
        <v>1</v>
      </c>
      <c r="J622" s="77" t="str">
        <f t="shared" si="309"/>
        <v>Senecio</v>
      </c>
      <c r="K622" s="77" t="str">
        <f t="shared" si="309"/>
        <v>burtoni</v>
      </c>
      <c r="L622" s="78">
        <f t="shared" si="309"/>
        <v>6</v>
      </c>
      <c r="M622" s="78">
        <f t="shared" si="309"/>
        <v>12</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INDEX([1]!VISITORS[INSECT ORDER], MATCH(X622,[1]!VISITORS[NAME USED],0))</f>
        <v>#REF!</v>
      </c>
      <c r="AB622" s="48" t="e">
        <f t="shared" si="290"/>
        <v>#REF!</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17</v>
      </c>
      <c r="D623" s="75">
        <f t="shared" si="283"/>
        <v>2</v>
      </c>
      <c r="E623" s="76">
        <f t="shared" si="284"/>
        <v>5</v>
      </c>
      <c r="F623" s="80"/>
      <c r="G623" s="83"/>
      <c r="H623" s="69" t="str">
        <f t="shared" si="306"/>
        <v>Senbur6_20191117_02_00</v>
      </c>
      <c r="I623" s="70">
        <f t="shared" si="309"/>
        <v>1</v>
      </c>
      <c r="J623" s="77" t="str">
        <f t="shared" si="309"/>
        <v>Senecio</v>
      </c>
      <c r="K623" s="77" t="str">
        <f t="shared" si="309"/>
        <v>burtoni</v>
      </c>
      <c r="L623" s="78">
        <f t="shared" si="309"/>
        <v>6</v>
      </c>
      <c r="M623" s="78">
        <f t="shared" si="309"/>
        <v>12</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INDEX([1]!VISITORS[INSECT ORDER], MATCH(X623,[1]!VISITORS[NAME USED],0))</f>
        <v>#REF!</v>
      </c>
      <c r="AB623" s="48" t="e">
        <f t="shared" si="290"/>
        <v>#REF!</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17</v>
      </c>
      <c r="D624" s="75">
        <f t="shared" si="283"/>
        <v>2</v>
      </c>
      <c r="E624" s="76">
        <f t="shared" si="284"/>
        <v>6</v>
      </c>
      <c r="F624" s="80"/>
      <c r="G624" s="83"/>
      <c r="H624" s="69" t="str">
        <f t="shared" si="306"/>
        <v>Senbur6_20191117_02_00</v>
      </c>
      <c r="I624" s="70">
        <f t="shared" si="309"/>
        <v>1</v>
      </c>
      <c r="J624" s="77" t="str">
        <f t="shared" si="309"/>
        <v>Senecio</v>
      </c>
      <c r="K624" s="77" t="str">
        <f t="shared" si="309"/>
        <v>burtoni</v>
      </c>
      <c r="L624" s="78">
        <f t="shared" si="309"/>
        <v>6</v>
      </c>
      <c r="M624" s="78">
        <f t="shared" si="309"/>
        <v>12</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INDEX([1]!VISITORS[INSECT ORDER], MATCH(X624,[1]!VISITORS[NAME USED],0))</f>
        <v>#REF!</v>
      </c>
      <c r="AB624" s="48" t="e">
        <f t="shared" si="290"/>
        <v>#REF!</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17</v>
      </c>
      <c r="D625" s="75">
        <f t="shared" si="283"/>
        <v>2</v>
      </c>
      <c r="E625" s="76">
        <f t="shared" si="284"/>
        <v>7</v>
      </c>
      <c r="F625" s="80"/>
      <c r="G625" s="83"/>
      <c r="H625" s="69" t="str">
        <f t="shared" si="306"/>
        <v>Senbur6_20191117_02_00</v>
      </c>
      <c r="I625" s="70">
        <f t="shared" si="309"/>
        <v>1</v>
      </c>
      <c r="J625" s="77" t="str">
        <f t="shared" si="309"/>
        <v>Senecio</v>
      </c>
      <c r="K625" s="77" t="str">
        <f t="shared" si="309"/>
        <v>burtoni</v>
      </c>
      <c r="L625" s="78">
        <f t="shared" si="309"/>
        <v>6</v>
      </c>
      <c r="M625" s="78">
        <f t="shared" si="309"/>
        <v>12</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INDEX([1]!VISITORS[INSECT ORDER], MATCH(X625,[1]!VISITORS[NAME USED],0))</f>
        <v>#REF!</v>
      </c>
      <c r="AB625" s="48" t="e">
        <f t="shared" si="290"/>
        <v>#REF!</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17</v>
      </c>
      <c r="D626" s="75">
        <f t="shared" si="283"/>
        <v>2</v>
      </c>
      <c r="E626" s="76">
        <f t="shared" si="284"/>
        <v>8</v>
      </c>
      <c r="F626" s="80"/>
      <c r="G626" s="83"/>
      <c r="H626" s="69" t="str">
        <f t="shared" si="306"/>
        <v>Senbur6_20191117_02_00</v>
      </c>
      <c r="I626" s="70">
        <f t="shared" si="309"/>
        <v>1</v>
      </c>
      <c r="J626" s="77" t="str">
        <f t="shared" si="309"/>
        <v>Senecio</v>
      </c>
      <c r="K626" s="77" t="str">
        <f t="shared" si="309"/>
        <v>burtoni</v>
      </c>
      <c r="L626" s="78">
        <f t="shared" si="309"/>
        <v>6</v>
      </c>
      <c r="M626" s="78">
        <f t="shared" si="309"/>
        <v>12</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INDEX([1]!VISITORS[INSECT ORDER], MATCH(X626,[1]!VISITORS[NAME USED],0))</f>
        <v>#REF!</v>
      </c>
      <c r="AB626" s="48" t="e">
        <f t="shared" si="290"/>
        <v>#REF!</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17</v>
      </c>
      <c r="D627" s="75">
        <f t="shared" si="283"/>
        <v>2</v>
      </c>
      <c r="E627" s="76">
        <f t="shared" si="284"/>
        <v>9</v>
      </c>
      <c r="F627" s="80"/>
      <c r="G627" s="83"/>
      <c r="H627" s="69" t="str">
        <f t="shared" si="306"/>
        <v>Senbur6_20191117_02_00</v>
      </c>
      <c r="I627" s="70">
        <f t="shared" si="309"/>
        <v>1</v>
      </c>
      <c r="J627" s="77" t="str">
        <f t="shared" si="309"/>
        <v>Senecio</v>
      </c>
      <c r="K627" s="77" t="str">
        <f t="shared" si="309"/>
        <v>burtoni</v>
      </c>
      <c r="L627" s="78">
        <f t="shared" si="309"/>
        <v>6</v>
      </c>
      <c r="M627" s="78">
        <f t="shared" si="309"/>
        <v>12</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INDEX([1]!VISITORS[INSECT ORDER], MATCH(X627,[1]!VISITORS[NAME USED],0))</f>
        <v>#REF!</v>
      </c>
      <c r="AB627" s="48" t="e">
        <f t="shared" si="290"/>
        <v>#REF!</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17</v>
      </c>
      <c r="D628" s="75">
        <f t="shared" si="283"/>
        <v>2</v>
      </c>
      <c r="E628" s="76">
        <f t="shared" si="284"/>
        <v>10</v>
      </c>
      <c r="F628" s="80"/>
      <c r="G628" s="83"/>
      <c r="H628" s="69" t="str">
        <f t="shared" si="306"/>
        <v>Senbur6_20191117_02_00</v>
      </c>
      <c r="I628" s="70">
        <f t="shared" si="309"/>
        <v>1</v>
      </c>
      <c r="J628" s="77" t="str">
        <f t="shared" si="309"/>
        <v>Senecio</v>
      </c>
      <c r="K628" s="77" t="str">
        <f t="shared" si="309"/>
        <v>burtoni</v>
      </c>
      <c r="L628" s="78">
        <f t="shared" si="309"/>
        <v>6</v>
      </c>
      <c r="M628" s="78">
        <f t="shared" si="309"/>
        <v>12</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INDEX([1]!VISITORS[INSECT ORDER], MATCH(X628,[1]!VISITORS[NAME USED],0))</f>
        <v>#REF!</v>
      </c>
      <c r="AB628" s="48" t="e">
        <f t="shared" si="290"/>
        <v>#REF!</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17</v>
      </c>
      <c r="D629" s="75">
        <f t="shared" si="283"/>
        <v>2</v>
      </c>
      <c r="E629" s="76">
        <f t="shared" si="284"/>
        <v>11</v>
      </c>
      <c r="F629" s="80"/>
      <c r="G629" s="83"/>
      <c r="H629" s="69" t="str">
        <f t="shared" si="306"/>
        <v>Senbur6_20191117_02_00</v>
      </c>
      <c r="I629" s="70">
        <f t="shared" ref="I629:N644" si="310">I628</f>
        <v>1</v>
      </c>
      <c r="J629" s="77" t="str">
        <f t="shared" si="310"/>
        <v>Senecio</v>
      </c>
      <c r="K629" s="77" t="str">
        <f t="shared" si="310"/>
        <v>burtoni</v>
      </c>
      <c r="L629" s="78">
        <f t="shared" si="310"/>
        <v>6</v>
      </c>
      <c r="M629" s="78">
        <f t="shared" si="310"/>
        <v>12</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INDEX([1]!VISITORS[INSECT ORDER], MATCH(X629,[1]!VISITORS[NAME USED],0))</f>
        <v>#REF!</v>
      </c>
      <c r="AB629" s="48" t="e">
        <f t="shared" si="290"/>
        <v>#REF!</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17</v>
      </c>
      <c r="D630" s="75">
        <f t="shared" si="283"/>
        <v>2</v>
      </c>
      <c r="E630" s="76">
        <f t="shared" si="284"/>
        <v>12</v>
      </c>
      <c r="F630" s="80"/>
      <c r="G630" s="83"/>
      <c r="H630" s="69" t="str">
        <f t="shared" si="306"/>
        <v>Senbur6_20191117_02_00</v>
      </c>
      <c r="I630" s="70">
        <f t="shared" si="310"/>
        <v>1</v>
      </c>
      <c r="J630" s="77" t="str">
        <f t="shared" si="310"/>
        <v>Senecio</v>
      </c>
      <c r="K630" s="77" t="str">
        <f t="shared" si="310"/>
        <v>burtoni</v>
      </c>
      <c r="L630" s="78">
        <f t="shared" si="310"/>
        <v>6</v>
      </c>
      <c r="M630" s="78">
        <f t="shared" si="310"/>
        <v>12</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INDEX([1]!VISITORS[INSECT ORDER], MATCH(X630,[1]!VISITORS[NAME USED],0))</f>
        <v>#REF!</v>
      </c>
      <c r="AB630" s="48" t="e">
        <f t="shared" si="290"/>
        <v>#REF!</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17</v>
      </c>
      <c r="D631" s="75">
        <f t="shared" si="283"/>
        <v>2</v>
      </c>
      <c r="E631" s="76">
        <f t="shared" si="284"/>
        <v>13</v>
      </c>
      <c r="F631" s="80"/>
      <c r="G631" s="83"/>
      <c r="H631" s="69" t="str">
        <f t="shared" si="306"/>
        <v>Senbur6_20191117_02_00</v>
      </c>
      <c r="I631" s="70">
        <f t="shared" si="310"/>
        <v>1</v>
      </c>
      <c r="J631" s="77" t="str">
        <f t="shared" si="310"/>
        <v>Senecio</v>
      </c>
      <c r="K631" s="77" t="str">
        <f t="shared" si="310"/>
        <v>burtoni</v>
      </c>
      <c r="L631" s="78">
        <f t="shared" si="310"/>
        <v>6</v>
      </c>
      <c r="M631" s="78">
        <f t="shared" si="310"/>
        <v>12</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INDEX([1]!VISITORS[INSECT ORDER], MATCH(X631,[1]!VISITORS[NAME USED],0))</f>
        <v>#REF!</v>
      </c>
      <c r="AB631" s="48" t="e">
        <f t="shared" si="290"/>
        <v>#REF!</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17</v>
      </c>
      <c r="D632" s="75">
        <f t="shared" si="283"/>
        <v>2</v>
      </c>
      <c r="E632" s="76">
        <f t="shared" si="284"/>
        <v>14</v>
      </c>
      <c r="F632" s="80"/>
      <c r="G632" s="83"/>
      <c r="H632" s="69" t="str">
        <f t="shared" si="306"/>
        <v>Senbur6_20191117_02_00</v>
      </c>
      <c r="I632" s="70">
        <f t="shared" si="310"/>
        <v>1</v>
      </c>
      <c r="J632" s="77" t="str">
        <f t="shared" si="310"/>
        <v>Senecio</v>
      </c>
      <c r="K632" s="77" t="str">
        <f t="shared" si="310"/>
        <v>burtoni</v>
      </c>
      <c r="L632" s="78">
        <f t="shared" si="310"/>
        <v>6</v>
      </c>
      <c r="M632" s="78">
        <f t="shared" si="310"/>
        <v>12</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INDEX([1]!VISITORS[INSECT ORDER], MATCH(X632,[1]!VISITORS[NAME USED],0))</f>
        <v>#REF!</v>
      </c>
      <c r="AB632" s="48" t="e">
        <f t="shared" si="290"/>
        <v>#REF!</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17</v>
      </c>
      <c r="D633" s="75">
        <f t="shared" si="283"/>
        <v>2</v>
      </c>
      <c r="E633" s="76">
        <f t="shared" si="284"/>
        <v>15</v>
      </c>
      <c r="F633" s="80"/>
      <c r="G633" s="83"/>
      <c r="H633" s="69" t="str">
        <f t="shared" si="306"/>
        <v>Senbur6_20191117_02_00</v>
      </c>
      <c r="I633" s="70">
        <f t="shared" si="310"/>
        <v>1</v>
      </c>
      <c r="J633" s="77" t="str">
        <f t="shared" si="310"/>
        <v>Senecio</v>
      </c>
      <c r="K633" s="77" t="str">
        <f t="shared" si="310"/>
        <v>burtoni</v>
      </c>
      <c r="L633" s="78">
        <f t="shared" si="310"/>
        <v>6</v>
      </c>
      <c r="M633" s="78">
        <f t="shared" si="310"/>
        <v>12</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INDEX([1]!VISITORS[INSECT ORDER], MATCH(X633,[1]!VISITORS[NAME USED],0))</f>
        <v>#REF!</v>
      </c>
      <c r="AB633" s="48" t="e">
        <f t="shared" si="290"/>
        <v>#REF!</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17</v>
      </c>
      <c r="D634" s="75">
        <f t="shared" si="283"/>
        <v>2</v>
      </c>
      <c r="E634" s="76">
        <f t="shared" si="284"/>
        <v>16</v>
      </c>
      <c r="F634" s="80"/>
      <c r="G634" s="83"/>
      <c r="H634" s="69" t="str">
        <f t="shared" si="306"/>
        <v>Senbur6_20191117_02_00</v>
      </c>
      <c r="I634" s="70">
        <f t="shared" si="310"/>
        <v>1</v>
      </c>
      <c r="J634" s="77" t="str">
        <f t="shared" si="310"/>
        <v>Senecio</v>
      </c>
      <c r="K634" s="77" t="str">
        <f t="shared" si="310"/>
        <v>burtoni</v>
      </c>
      <c r="L634" s="78">
        <f t="shared" si="310"/>
        <v>6</v>
      </c>
      <c r="M634" s="78">
        <f t="shared" si="310"/>
        <v>12</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INDEX([1]!VISITORS[INSECT ORDER], MATCH(X634,[1]!VISITORS[NAME USED],0))</f>
        <v>#REF!</v>
      </c>
      <c r="AB634" s="48" t="e">
        <f t="shared" si="290"/>
        <v>#REF!</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17</v>
      </c>
      <c r="D635" s="75">
        <f t="shared" si="283"/>
        <v>2</v>
      </c>
      <c r="E635" s="76">
        <f t="shared" si="284"/>
        <v>17</v>
      </c>
      <c r="F635" s="80"/>
      <c r="G635" s="83"/>
      <c r="H635" s="69" t="str">
        <f t="shared" si="306"/>
        <v>Senbur6_20191117_02_00</v>
      </c>
      <c r="I635" s="70">
        <f t="shared" si="310"/>
        <v>1</v>
      </c>
      <c r="J635" s="77" t="str">
        <f t="shared" si="310"/>
        <v>Senecio</v>
      </c>
      <c r="K635" s="77" t="str">
        <f t="shared" si="310"/>
        <v>burtoni</v>
      </c>
      <c r="L635" s="78">
        <f t="shared" si="310"/>
        <v>6</v>
      </c>
      <c r="M635" s="78">
        <f t="shared" si="310"/>
        <v>12</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INDEX([1]!VISITORS[INSECT ORDER], MATCH(X635,[1]!VISITORS[NAME USED],0))</f>
        <v>#REF!</v>
      </c>
      <c r="AB635" s="48" t="e">
        <f t="shared" si="290"/>
        <v>#REF!</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17</v>
      </c>
      <c r="D636" s="75">
        <f t="shared" si="283"/>
        <v>2</v>
      </c>
      <c r="E636" s="76">
        <f t="shared" si="284"/>
        <v>18</v>
      </c>
      <c r="F636" s="80"/>
      <c r="G636" s="83"/>
      <c r="H636" s="69" t="str">
        <f t="shared" si="306"/>
        <v>Senbur6_20191117_02_00</v>
      </c>
      <c r="I636" s="70">
        <f t="shared" si="310"/>
        <v>1</v>
      </c>
      <c r="J636" s="77" t="str">
        <f t="shared" si="310"/>
        <v>Senecio</v>
      </c>
      <c r="K636" s="77" t="str">
        <f t="shared" si="310"/>
        <v>burtoni</v>
      </c>
      <c r="L636" s="78">
        <f t="shared" si="310"/>
        <v>6</v>
      </c>
      <c r="M636" s="78">
        <f t="shared" si="310"/>
        <v>12</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INDEX([1]!VISITORS[INSECT ORDER], MATCH(X636,[1]!VISITORS[NAME USED],0))</f>
        <v>#REF!</v>
      </c>
      <c r="AB636" s="48" t="e">
        <f t="shared" si="290"/>
        <v>#REF!</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17</v>
      </c>
      <c r="D637" s="75">
        <f t="shared" si="283"/>
        <v>2</v>
      </c>
      <c r="E637" s="76">
        <f t="shared" si="284"/>
        <v>19</v>
      </c>
      <c r="F637" s="80"/>
      <c r="G637" s="83"/>
      <c r="H637" s="69" t="str">
        <f t="shared" si="306"/>
        <v>Senbur6_20191117_02_00</v>
      </c>
      <c r="I637" s="70">
        <f t="shared" si="310"/>
        <v>1</v>
      </c>
      <c r="J637" s="77" t="str">
        <f t="shared" si="310"/>
        <v>Senecio</v>
      </c>
      <c r="K637" s="77" t="str">
        <f t="shared" si="310"/>
        <v>burtoni</v>
      </c>
      <c r="L637" s="78">
        <f t="shared" si="310"/>
        <v>6</v>
      </c>
      <c r="M637" s="78">
        <f t="shared" si="310"/>
        <v>12</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INDEX([1]!VISITORS[INSECT ORDER], MATCH(X637,[1]!VISITORS[NAME USED],0))</f>
        <v>#REF!</v>
      </c>
      <c r="AB637" s="48" t="e">
        <f t="shared" si="290"/>
        <v>#REF!</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17</v>
      </c>
      <c r="D638" s="75">
        <f t="shared" si="283"/>
        <v>2</v>
      </c>
      <c r="E638" s="76">
        <f t="shared" si="284"/>
        <v>20</v>
      </c>
      <c r="F638" s="80"/>
      <c r="G638" s="83"/>
      <c r="H638" s="69" t="str">
        <f t="shared" si="306"/>
        <v>Senbur6_20191117_02_00</v>
      </c>
      <c r="I638" s="70">
        <f t="shared" si="310"/>
        <v>1</v>
      </c>
      <c r="J638" s="77" t="str">
        <f t="shared" si="310"/>
        <v>Senecio</v>
      </c>
      <c r="K638" s="77" t="str">
        <f t="shared" si="310"/>
        <v>burtoni</v>
      </c>
      <c r="L638" s="78">
        <f t="shared" si="310"/>
        <v>6</v>
      </c>
      <c r="M638" s="78">
        <f t="shared" si="310"/>
        <v>12</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INDEX([1]!VISITORS[INSECT ORDER], MATCH(X638,[1]!VISITORS[NAME USED],0))</f>
        <v>#REF!</v>
      </c>
      <c r="AB638" s="48" t="e">
        <f t="shared" si="290"/>
        <v>#REF!</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17</v>
      </c>
      <c r="D639" s="75">
        <f t="shared" si="283"/>
        <v>2</v>
      </c>
      <c r="E639" s="76">
        <f t="shared" si="284"/>
        <v>21</v>
      </c>
      <c r="F639" s="80"/>
      <c r="G639" s="83"/>
      <c r="H639" s="69" t="str">
        <f t="shared" si="306"/>
        <v>Senbur6_20191117_02_00</v>
      </c>
      <c r="I639" s="70">
        <f t="shared" si="310"/>
        <v>1</v>
      </c>
      <c r="J639" s="77" t="str">
        <f t="shared" si="310"/>
        <v>Senecio</v>
      </c>
      <c r="K639" s="77" t="str">
        <f t="shared" si="310"/>
        <v>burtoni</v>
      </c>
      <c r="L639" s="78">
        <f t="shared" si="310"/>
        <v>6</v>
      </c>
      <c r="M639" s="78">
        <f t="shared" si="310"/>
        <v>12</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INDEX([1]!VISITORS[INSECT ORDER], MATCH(X639,[1]!VISITORS[NAME USED],0))</f>
        <v>#REF!</v>
      </c>
      <c r="AB639" s="48" t="e">
        <f t="shared" si="290"/>
        <v>#REF!</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17</v>
      </c>
      <c r="D640" s="75">
        <f t="shared" si="283"/>
        <v>2</v>
      </c>
      <c r="E640" s="76">
        <f t="shared" si="284"/>
        <v>22</v>
      </c>
      <c r="F640" s="80"/>
      <c r="G640" s="83"/>
      <c r="H640" s="69" t="str">
        <f t="shared" si="306"/>
        <v>Senbur6_20191117_02_00</v>
      </c>
      <c r="I640" s="70">
        <f t="shared" si="310"/>
        <v>1</v>
      </c>
      <c r="J640" s="77" t="str">
        <f t="shared" si="310"/>
        <v>Senecio</v>
      </c>
      <c r="K640" s="77" t="str">
        <f t="shared" si="310"/>
        <v>burtoni</v>
      </c>
      <c r="L640" s="78">
        <f t="shared" si="310"/>
        <v>6</v>
      </c>
      <c r="M640" s="78">
        <f t="shared" si="310"/>
        <v>12</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INDEX([1]!VISITORS[INSECT ORDER], MATCH(X640,[1]!VISITORS[NAME USED],0))</f>
        <v>#REF!</v>
      </c>
      <c r="AB640" s="48" t="e">
        <f t="shared" si="290"/>
        <v>#REF!</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17</v>
      </c>
      <c r="D641" s="75">
        <f t="shared" si="283"/>
        <v>2</v>
      </c>
      <c r="E641" s="76">
        <f t="shared" si="284"/>
        <v>23</v>
      </c>
      <c r="F641" s="80"/>
      <c r="G641" s="83"/>
      <c r="H641" s="69" t="str">
        <f t="shared" si="306"/>
        <v>Senbur6_20191117_02_00</v>
      </c>
      <c r="I641" s="70">
        <f t="shared" si="310"/>
        <v>1</v>
      </c>
      <c r="J641" s="77" t="str">
        <f t="shared" si="310"/>
        <v>Senecio</v>
      </c>
      <c r="K641" s="77" t="str">
        <f t="shared" si="310"/>
        <v>burtoni</v>
      </c>
      <c r="L641" s="78">
        <f t="shared" si="310"/>
        <v>6</v>
      </c>
      <c r="M641" s="78">
        <f t="shared" si="310"/>
        <v>12</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INDEX([1]!VISITORS[INSECT ORDER], MATCH(X641,[1]!VISITORS[NAME USED],0))</f>
        <v>#REF!</v>
      </c>
      <c r="AB641" s="48" t="e">
        <f t="shared" si="290"/>
        <v>#REF!</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17</v>
      </c>
      <c r="D642" s="75">
        <f t="shared" si="283"/>
        <v>2</v>
      </c>
      <c r="E642" s="76">
        <f t="shared" si="284"/>
        <v>24</v>
      </c>
      <c r="F642" s="80"/>
      <c r="G642" s="83"/>
      <c r="H642" s="69" t="str">
        <f t="shared" si="306"/>
        <v>Senbur6_20191117_02_00</v>
      </c>
      <c r="I642" s="70">
        <f t="shared" si="310"/>
        <v>1</v>
      </c>
      <c r="J642" s="77" t="str">
        <f t="shared" si="310"/>
        <v>Senecio</v>
      </c>
      <c r="K642" s="77" t="str">
        <f t="shared" si="310"/>
        <v>burtoni</v>
      </c>
      <c r="L642" s="78">
        <f t="shared" si="310"/>
        <v>6</v>
      </c>
      <c r="M642" s="78">
        <f t="shared" si="310"/>
        <v>12</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INDEX([1]!VISITORS[INSECT ORDER], MATCH(X642,[1]!VISITORS[NAME USED],0))</f>
        <v>#REF!</v>
      </c>
      <c r="AB642" s="48" t="e">
        <f t="shared" si="290"/>
        <v>#REF!</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17</v>
      </c>
      <c r="D643" s="75">
        <f t="shared" si="283"/>
        <v>2</v>
      </c>
      <c r="E643" s="76">
        <f t="shared" si="284"/>
        <v>25</v>
      </c>
      <c r="F643" s="80"/>
      <c r="G643" s="83"/>
      <c r="H643" s="69" t="str">
        <f t="shared" si="306"/>
        <v>Senbur6_20191117_02_00</v>
      </c>
      <c r="I643" s="70">
        <f t="shared" si="310"/>
        <v>1</v>
      </c>
      <c r="J643" s="77" t="str">
        <f t="shared" si="310"/>
        <v>Senecio</v>
      </c>
      <c r="K643" s="77" t="str">
        <f t="shared" si="310"/>
        <v>burtoni</v>
      </c>
      <c r="L643" s="78">
        <f t="shared" si="310"/>
        <v>6</v>
      </c>
      <c r="M643" s="78">
        <f t="shared" si="310"/>
        <v>12</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INDEX([1]!VISITORS[INSECT ORDER], MATCH(X643,[1]!VISITORS[NAME USED],0))</f>
        <v>#REF!</v>
      </c>
      <c r="AB643" s="48" t="e">
        <f t="shared" si="290"/>
        <v>#REF!</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17</v>
      </c>
      <c r="D644" s="75">
        <f t="shared" ref="D644:D707" si="314">IF(IF(E643=59,D643+1,D643)=24,0,IF(E643=59,D643+1,D643))</f>
        <v>2</v>
      </c>
      <c r="E644" s="76">
        <f t="shared" ref="E644:E707" si="315">IF(E643&lt;59,E643+1,0)</f>
        <v>26</v>
      </c>
      <c r="F644" s="80"/>
      <c r="G644" s="83"/>
      <c r="H644" s="69" t="str">
        <f t="shared" si="306"/>
        <v>Senbur6_20191117_02_00</v>
      </c>
      <c r="I644" s="70">
        <f t="shared" si="310"/>
        <v>1</v>
      </c>
      <c r="J644" s="77" t="str">
        <f t="shared" si="310"/>
        <v>Senecio</v>
      </c>
      <c r="K644" s="77" t="str">
        <f t="shared" si="310"/>
        <v>burtoni</v>
      </c>
      <c r="L644" s="78">
        <f t="shared" si="310"/>
        <v>6</v>
      </c>
      <c r="M644" s="78">
        <f t="shared" si="310"/>
        <v>12</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INDEX([1]!VISITORS[INSECT ORDER], MATCH(X644,[1]!VISITORS[NAME USED],0))</f>
        <v>#REF!</v>
      </c>
      <c r="AB644" s="48" t="e">
        <f t="shared" ref="AB644:AB707" si="321">IF(AA644&lt;&gt;0,"NA","")</f>
        <v>#REF!</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17</v>
      </c>
      <c r="D645" s="75">
        <f t="shared" si="314"/>
        <v>2</v>
      </c>
      <c r="E645" s="76">
        <f t="shared" si="315"/>
        <v>27</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Senbur6_20191117_02_00</v>
      </c>
      <c r="I645" s="70">
        <f t="shared" ref="I645:N660" si="338">I644</f>
        <v>1</v>
      </c>
      <c r="J645" s="77" t="str">
        <f t="shared" si="338"/>
        <v>Senecio</v>
      </c>
      <c r="K645" s="77" t="str">
        <f t="shared" si="338"/>
        <v>burtoni</v>
      </c>
      <c r="L645" s="78">
        <f t="shared" si="338"/>
        <v>6</v>
      </c>
      <c r="M645" s="78">
        <f t="shared" si="338"/>
        <v>12</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INDEX([1]!VISITORS[INSECT ORDER], MATCH(X645,[1]!VISITORS[NAME USED],0))</f>
        <v>#REF!</v>
      </c>
      <c r="AB645" s="48" t="e">
        <f t="shared" si="321"/>
        <v>#REF!</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17</v>
      </c>
      <c r="D646" s="75">
        <f t="shared" si="314"/>
        <v>2</v>
      </c>
      <c r="E646" s="76">
        <f t="shared" si="315"/>
        <v>28</v>
      </c>
      <c r="F646" s="80"/>
      <c r="G646" s="83"/>
      <c r="H646" s="69" t="str">
        <f t="shared" si="337"/>
        <v>Senbur6_20191117_02_00</v>
      </c>
      <c r="I646" s="70">
        <f t="shared" si="338"/>
        <v>1</v>
      </c>
      <c r="J646" s="77" t="str">
        <f t="shared" si="338"/>
        <v>Senecio</v>
      </c>
      <c r="K646" s="77" t="str">
        <f t="shared" si="338"/>
        <v>burtoni</v>
      </c>
      <c r="L646" s="78">
        <f t="shared" si="338"/>
        <v>6</v>
      </c>
      <c r="M646" s="78">
        <f t="shared" si="338"/>
        <v>12</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INDEX([1]!VISITORS[INSECT ORDER], MATCH(X646,[1]!VISITORS[NAME USED],0))</f>
        <v>#REF!</v>
      </c>
      <c r="AB646" s="48" t="e">
        <f t="shared" si="321"/>
        <v>#REF!</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17</v>
      </c>
      <c r="D647" s="75">
        <f t="shared" si="314"/>
        <v>2</v>
      </c>
      <c r="E647" s="76">
        <f t="shared" si="315"/>
        <v>29</v>
      </c>
      <c r="F647" s="80"/>
      <c r="G647" s="83"/>
      <c r="H647" s="69" t="str">
        <f t="shared" si="337"/>
        <v>Senbur6_20191117_02_00</v>
      </c>
      <c r="I647" s="70">
        <f t="shared" si="338"/>
        <v>1</v>
      </c>
      <c r="J647" s="77" t="str">
        <f t="shared" si="338"/>
        <v>Senecio</v>
      </c>
      <c r="K647" s="77" t="str">
        <f t="shared" si="338"/>
        <v>burtoni</v>
      </c>
      <c r="L647" s="78">
        <f t="shared" si="338"/>
        <v>6</v>
      </c>
      <c r="M647" s="78">
        <f t="shared" si="338"/>
        <v>12</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INDEX([1]!VISITORS[INSECT ORDER], MATCH(X647,[1]!VISITORS[NAME USED],0))</f>
        <v>#REF!</v>
      </c>
      <c r="AB647" s="48" t="e">
        <f t="shared" si="321"/>
        <v>#REF!</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17</v>
      </c>
      <c r="D648" s="75">
        <f t="shared" si="314"/>
        <v>2</v>
      </c>
      <c r="E648" s="76">
        <f t="shared" si="315"/>
        <v>30</v>
      </c>
      <c r="F648" s="80"/>
      <c r="G648" s="83"/>
      <c r="H648" s="69" t="str">
        <f t="shared" si="337"/>
        <v>Senbur6_20191117_02_00</v>
      </c>
      <c r="I648" s="70">
        <f t="shared" si="338"/>
        <v>1</v>
      </c>
      <c r="J648" s="77" t="str">
        <f t="shared" si="338"/>
        <v>Senecio</v>
      </c>
      <c r="K648" s="77" t="str">
        <f t="shared" si="338"/>
        <v>burtoni</v>
      </c>
      <c r="L648" s="78">
        <f t="shared" si="338"/>
        <v>6</v>
      </c>
      <c r="M648" s="78">
        <f t="shared" si="338"/>
        <v>12</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INDEX([1]!VISITORS[INSECT ORDER], MATCH(X648,[1]!VISITORS[NAME USED],0))</f>
        <v>#REF!</v>
      </c>
      <c r="AB648" s="48" t="e">
        <f t="shared" si="321"/>
        <v>#REF!</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17</v>
      </c>
      <c r="D649" s="75">
        <f t="shared" si="314"/>
        <v>2</v>
      </c>
      <c r="E649" s="76">
        <f t="shared" si="315"/>
        <v>31</v>
      </c>
      <c r="F649" s="80"/>
      <c r="G649" s="83"/>
      <c r="H649" s="69" t="str">
        <f t="shared" si="337"/>
        <v>Senbur6_20191117_02_00</v>
      </c>
      <c r="I649" s="70">
        <f t="shared" si="338"/>
        <v>1</v>
      </c>
      <c r="J649" s="77" t="str">
        <f t="shared" si="338"/>
        <v>Senecio</v>
      </c>
      <c r="K649" s="77" t="str">
        <f t="shared" si="338"/>
        <v>burtoni</v>
      </c>
      <c r="L649" s="78">
        <f t="shared" si="338"/>
        <v>6</v>
      </c>
      <c r="M649" s="78">
        <f t="shared" si="338"/>
        <v>12</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INDEX([1]!VISITORS[INSECT ORDER], MATCH(X649,[1]!VISITORS[NAME USED],0))</f>
        <v>#REF!</v>
      </c>
      <c r="AB649" s="48" t="e">
        <f t="shared" si="321"/>
        <v>#REF!</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17</v>
      </c>
      <c r="D650" s="75">
        <f t="shared" si="314"/>
        <v>2</v>
      </c>
      <c r="E650" s="76">
        <f t="shared" si="315"/>
        <v>32</v>
      </c>
      <c r="F650" s="80"/>
      <c r="G650" s="83"/>
      <c r="H650" s="69" t="str">
        <f t="shared" si="337"/>
        <v>Senbur6_20191117_02_00</v>
      </c>
      <c r="I650" s="70">
        <f t="shared" si="338"/>
        <v>1</v>
      </c>
      <c r="J650" s="77" t="str">
        <f t="shared" si="338"/>
        <v>Senecio</v>
      </c>
      <c r="K650" s="77" t="str">
        <f t="shared" si="338"/>
        <v>burtoni</v>
      </c>
      <c r="L650" s="78">
        <f t="shared" si="338"/>
        <v>6</v>
      </c>
      <c r="M650" s="78">
        <f t="shared" si="338"/>
        <v>12</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INDEX([1]!VISITORS[INSECT ORDER], MATCH(X650,[1]!VISITORS[NAME USED],0))</f>
        <v>#REF!</v>
      </c>
      <c r="AB650" s="48" t="e">
        <f t="shared" si="321"/>
        <v>#REF!</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17</v>
      </c>
      <c r="D651" s="75">
        <f t="shared" si="314"/>
        <v>2</v>
      </c>
      <c r="E651" s="76">
        <f t="shared" si="315"/>
        <v>33</v>
      </c>
      <c r="F651" s="80"/>
      <c r="G651" s="83"/>
      <c r="H651" s="69" t="str">
        <f t="shared" si="337"/>
        <v>Senbur6_20191117_02_00</v>
      </c>
      <c r="I651" s="70">
        <f t="shared" si="338"/>
        <v>1</v>
      </c>
      <c r="J651" s="77" t="str">
        <f t="shared" si="338"/>
        <v>Senecio</v>
      </c>
      <c r="K651" s="77" t="str">
        <f t="shared" si="338"/>
        <v>burtoni</v>
      </c>
      <c r="L651" s="78">
        <f t="shared" si="338"/>
        <v>6</v>
      </c>
      <c r="M651" s="78">
        <f t="shared" si="338"/>
        <v>12</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INDEX([1]!VISITORS[INSECT ORDER], MATCH(X651,[1]!VISITORS[NAME USED],0))</f>
        <v>#REF!</v>
      </c>
      <c r="AB651" s="48" t="e">
        <f t="shared" si="321"/>
        <v>#REF!</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17</v>
      </c>
      <c r="D652" s="75">
        <f t="shared" si="314"/>
        <v>2</v>
      </c>
      <c r="E652" s="76">
        <f t="shared" si="315"/>
        <v>34</v>
      </c>
      <c r="F652" s="80"/>
      <c r="G652" s="83"/>
      <c r="H652" s="69" t="str">
        <f t="shared" si="337"/>
        <v>Senbur6_20191117_02_00</v>
      </c>
      <c r="I652" s="70">
        <f t="shared" si="338"/>
        <v>1</v>
      </c>
      <c r="J652" s="77" t="str">
        <f t="shared" si="338"/>
        <v>Senecio</v>
      </c>
      <c r="K652" s="77" t="str">
        <f t="shared" si="338"/>
        <v>burtoni</v>
      </c>
      <c r="L652" s="78">
        <f t="shared" si="338"/>
        <v>6</v>
      </c>
      <c r="M652" s="78">
        <f t="shared" si="338"/>
        <v>12</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INDEX([1]!VISITORS[INSECT ORDER], MATCH(X652,[1]!VISITORS[NAME USED],0))</f>
        <v>#REF!</v>
      </c>
      <c r="AB652" s="48" t="e">
        <f t="shared" si="321"/>
        <v>#REF!</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17</v>
      </c>
      <c r="D653" s="75">
        <f t="shared" si="314"/>
        <v>2</v>
      </c>
      <c r="E653" s="76">
        <f t="shared" si="315"/>
        <v>35</v>
      </c>
      <c r="F653" s="80"/>
      <c r="G653" s="83"/>
      <c r="H653" s="69" t="str">
        <f t="shared" si="337"/>
        <v>Senbur6_20191117_02_00</v>
      </c>
      <c r="I653" s="70">
        <f t="shared" si="338"/>
        <v>1</v>
      </c>
      <c r="J653" s="77" t="str">
        <f t="shared" si="338"/>
        <v>Senecio</v>
      </c>
      <c r="K653" s="77" t="str">
        <f t="shared" si="338"/>
        <v>burtoni</v>
      </c>
      <c r="L653" s="78">
        <f t="shared" si="338"/>
        <v>6</v>
      </c>
      <c r="M653" s="78">
        <f t="shared" si="338"/>
        <v>12</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INDEX([1]!VISITORS[INSECT ORDER], MATCH(X653,[1]!VISITORS[NAME USED],0))</f>
        <v>#REF!</v>
      </c>
      <c r="AB653" s="48" t="e">
        <f t="shared" si="321"/>
        <v>#REF!</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17</v>
      </c>
      <c r="D654" s="75">
        <f t="shared" si="314"/>
        <v>2</v>
      </c>
      <c r="E654" s="76">
        <f t="shared" si="315"/>
        <v>36</v>
      </c>
      <c r="F654" s="80"/>
      <c r="G654" s="83"/>
      <c r="H654" s="69" t="str">
        <f t="shared" si="337"/>
        <v>Senbur6_20191117_02_00</v>
      </c>
      <c r="I654" s="70">
        <f t="shared" si="338"/>
        <v>1</v>
      </c>
      <c r="J654" s="77" t="str">
        <f t="shared" si="338"/>
        <v>Senecio</v>
      </c>
      <c r="K654" s="77" t="str">
        <f t="shared" si="338"/>
        <v>burtoni</v>
      </c>
      <c r="L654" s="78">
        <f t="shared" si="338"/>
        <v>6</v>
      </c>
      <c r="M654" s="78">
        <f t="shared" si="338"/>
        <v>12</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INDEX([1]!VISITORS[INSECT ORDER], MATCH(X654,[1]!VISITORS[NAME USED],0))</f>
        <v>#REF!</v>
      </c>
      <c r="AB654" s="48" t="e">
        <f t="shared" si="321"/>
        <v>#REF!</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17</v>
      </c>
      <c r="D655" s="75">
        <f t="shared" si="314"/>
        <v>2</v>
      </c>
      <c r="E655" s="76">
        <f t="shared" si="315"/>
        <v>37</v>
      </c>
      <c r="F655" s="80"/>
      <c r="G655" s="83"/>
      <c r="H655" s="69" t="str">
        <f t="shared" si="337"/>
        <v>Senbur6_20191117_02_00</v>
      </c>
      <c r="I655" s="70">
        <f t="shared" si="338"/>
        <v>1</v>
      </c>
      <c r="J655" s="77" t="str">
        <f t="shared" si="338"/>
        <v>Senecio</v>
      </c>
      <c r="K655" s="77" t="str">
        <f t="shared" si="338"/>
        <v>burtoni</v>
      </c>
      <c r="L655" s="78">
        <f t="shared" si="338"/>
        <v>6</v>
      </c>
      <c r="M655" s="78">
        <f t="shared" si="338"/>
        <v>12</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INDEX([1]!VISITORS[INSECT ORDER], MATCH(X655,[1]!VISITORS[NAME USED],0))</f>
        <v>#REF!</v>
      </c>
      <c r="AB655" s="48" t="e">
        <f t="shared" si="321"/>
        <v>#REF!</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17</v>
      </c>
      <c r="D656" s="75">
        <f t="shared" si="314"/>
        <v>2</v>
      </c>
      <c r="E656" s="76">
        <f t="shared" si="315"/>
        <v>38</v>
      </c>
      <c r="F656" s="80"/>
      <c r="G656" s="83"/>
      <c r="H656" s="69" t="str">
        <f t="shared" si="337"/>
        <v>Senbur6_20191117_02_00</v>
      </c>
      <c r="I656" s="70">
        <f t="shared" si="338"/>
        <v>1</v>
      </c>
      <c r="J656" s="77" t="str">
        <f t="shared" si="338"/>
        <v>Senecio</v>
      </c>
      <c r="K656" s="77" t="str">
        <f t="shared" si="338"/>
        <v>burtoni</v>
      </c>
      <c r="L656" s="78">
        <f t="shared" si="338"/>
        <v>6</v>
      </c>
      <c r="M656" s="78">
        <f t="shared" si="338"/>
        <v>12</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INDEX([1]!VISITORS[INSECT ORDER], MATCH(X656,[1]!VISITORS[NAME USED],0))</f>
        <v>#REF!</v>
      </c>
      <c r="AB656" s="48" t="e">
        <f t="shared" si="321"/>
        <v>#REF!</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17</v>
      </c>
      <c r="D657" s="75">
        <f t="shared" si="314"/>
        <v>2</v>
      </c>
      <c r="E657" s="76">
        <f t="shared" si="315"/>
        <v>39</v>
      </c>
      <c r="F657" s="80"/>
      <c r="G657" s="83"/>
      <c r="H657" s="69" t="str">
        <f t="shared" si="337"/>
        <v>Senbur6_20191117_02_00</v>
      </c>
      <c r="I657" s="70">
        <f t="shared" si="338"/>
        <v>1</v>
      </c>
      <c r="J657" s="77" t="str">
        <f t="shared" si="338"/>
        <v>Senecio</v>
      </c>
      <c r="K657" s="77" t="str">
        <f t="shared" si="338"/>
        <v>burtoni</v>
      </c>
      <c r="L657" s="78">
        <f t="shared" si="338"/>
        <v>6</v>
      </c>
      <c r="M657" s="78">
        <f t="shared" si="338"/>
        <v>12</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INDEX([1]!VISITORS[INSECT ORDER], MATCH(X657,[1]!VISITORS[NAME USED],0))</f>
        <v>#REF!</v>
      </c>
      <c r="AB657" s="48" t="e">
        <f t="shared" si="321"/>
        <v>#REF!</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17</v>
      </c>
      <c r="D658" s="75">
        <f t="shared" si="314"/>
        <v>2</v>
      </c>
      <c r="E658" s="76">
        <f t="shared" si="315"/>
        <v>40</v>
      </c>
      <c r="F658" s="80"/>
      <c r="G658" s="83"/>
      <c r="H658" s="69" t="str">
        <f t="shared" si="337"/>
        <v>Senbur6_20191117_02_00</v>
      </c>
      <c r="I658" s="70">
        <f t="shared" si="338"/>
        <v>1</v>
      </c>
      <c r="J658" s="77" t="str">
        <f t="shared" si="338"/>
        <v>Senecio</v>
      </c>
      <c r="K658" s="77" t="str">
        <f t="shared" si="338"/>
        <v>burtoni</v>
      </c>
      <c r="L658" s="78">
        <f t="shared" si="338"/>
        <v>6</v>
      </c>
      <c r="M658" s="78">
        <f t="shared" si="338"/>
        <v>12</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INDEX([1]!VISITORS[INSECT ORDER], MATCH(X658,[1]!VISITORS[NAME USED],0))</f>
        <v>#REF!</v>
      </c>
      <c r="AB658" s="48" t="e">
        <f t="shared" si="321"/>
        <v>#REF!</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17</v>
      </c>
      <c r="D659" s="75">
        <f t="shared" si="314"/>
        <v>2</v>
      </c>
      <c r="E659" s="76">
        <f t="shared" si="315"/>
        <v>41</v>
      </c>
      <c r="F659" s="80"/>
      <c r="G659" s="83"/>
      <c r="H659" s="69" t="str">
        <f t="shared" si="337"/>
        <v>Senbur6_20191117_02_00</v>
      </c>
      <c r="I659" s="70">
        <f t="shared" si="338"/>
        <v>1</v>
      </c>
      <c r="J659" s="77" t="str">
        <f t="shared" si="338"/>
        <v>Senecio</v>
      </c>
      <c r="K659" s="77" t="str">
        <f t="shared" si="338"/>
        <v>burtoni</v>
      </c>
      <c r="L659" s="78">
        <f t="shared" si="338"/>
        <v>6</v>
      </c>
      <c r="M659" s="78">
        <f t="shared" si="338"/>
        <v>12</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INDEX([1]!VISITORS[INSECT ORDER], MATCH(X659,[1]!VISITORS[NAME USED],0))</f>
        <v>#REF!</v>
      </c>
      <c r="AB659" s="48" t="e">
        <f t="shared" si="321"/>
        <v>#REF!</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17</v>
      </c>
      <c r="D660" s="75">
        <f t="shared" si="314"/>
        <v>2</v>
      </c>
      <c r="E660" s="76">
        <f t="shared" si="315"/>
        <v>42</v>
      </c>
      <c r="F660" s="80"/>
      <c r="G660" s="83"/>
      <c r="H660" s="69" t="str">
        <f t="shared" si="337"/>
        <v>Senbur6_20191117_02_00</v>
      </c>
      <c r="I660" s="70">
        <f t="shared" si="338"/>
        <v>1</v>
      </c>
      <c r="J660" s="77" t="str">
        <f t="shared" si="338"/>
        <v>Senecio</v>
      </c>
      <c r="K660" s="77" t="str">
        <f t="shared" si="338"/>
        <v>burtoni</v>
      </c>
      <c r="L660" s="78">
        <f t="shared" si="338"/>
        <v>6</v>
      </c>
      <c r="M660" s="78">
        <f t="shared" si="338"/>
        <v>12</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INDEX([1]!VISITORS[INSECT ORDER], MATCH(X660,[1]!VISITORS[NAME USED],0))</f>
        <v>#REF!</v>
      </c>
      <c r="AB660" s="48" t="e">
        <f t="shared" si="321"/>
        <v>#REF!</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17</v>
      </c>
      <c r="D661" s="75">
        <f t="shared" si="314"/>
        <v>2</v>
      </c>
      <c r="E661" s="76">
        <f t="shared" si="315"/>
        <v>43</v>
      </c>
      <c r="F661" s="80"/>
      <c r="G661" s="83"/>
      <c r="H661" s="69" t="str">
        <f t="shared" si="337"/>
        <v>Senbur6_20191117_02_00</v>
      </c>
      <c r="I661" s="70">
        <f t="shared" ref="I661:N676" si="339">I660</f>
        <v>1</v>
      </c>
      <c r="J661" s="77" t="str">
        <f t="shared" si="339"/>
        <v>Senecio</v>
      </c>
      <c r="K661" s="77" t="str">
        <f t="shared" si="339"/>
        <v>burtoni</v>
      </c>
      <c r="L661" s="78">
        <f t="shared" si="339"/>
        <v>6</v>
      </c>
      <c r="M661" s="78">
        <f t="shared" si="339"/>
        <v>12</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INDEX([1]!VISITORS[INSECT ORDER], MATCH(X661,[1]!VISITORS[NAME USED],0))</f>
        <v>#REF!</v>
      </c>
      <c r="AB661" s="48" t="e">
        <f t="shared" si="321"/>
        <v>#REF!</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17</v>
      </c>
      <c r="D662" s="75">
        <f t="shared" si="314"/>
        <v>2</v>
      </c>
      <c r="E662" s="76">
        <f t="shared" si="315"/>
        <v>44</v>
      </c>
      <c r="F662" s="80"/>
      <c r="G662" s="83"/>
      <c r="H662" s="69" t="str">
        <f t="shared" si="337"/>
        <v>Senbur6_20191117_02_00</v>
      </c>
      <c r="I662" s="70">
        <f t="shared" si="339"/>
        <v>1</v>
      </c>
      <c r="J662" s="77" t="str">
        <f t="shared" si="339"/>
        <v>Senecio</v>
      </c>
      <c r="K662" s="77" t="str">
        <f t="shared" si="339"/>
        <v>burtoni</v>
      </c>
      <c r="L662" s="78">
        <f t="shared" si="339"/>
        <v>6</v>
      </c>
      <c r="M662" s="78">
        <f t="shared" si="339"/>
        <v>12</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INDEX([1]!VISITORS[INSECT ORDER], MATCH(X662,[1]!VISITORS[NAME USED],0))</f>
        <v>#REF!</v>
      </c>
      <c r="AB662" s="48" t="e">
        <f t="shared" si="321"/>
        <v>#REF!</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17</v>
      </c>
      <c r="D663" s="75">
        <f t="shared" si="314"/>
        <v>2</v>
      </c>
      <c r="E663" s="76">
        <f t="shared" si="315"/>
        <v>45</v>
      </c>
      <c r="F663" s="80"/>
      <c r="G663" s="83"/>
      <c r="H663" s="69" t="str">
        <f t="shared" si="337"/>
        <v>Senbur6_20191117_02_00</v>
      </c>
      <c r="I663" s="70">
        <f t="shared" si="339"/>
        <v>1</v>
      </c>
      <c r="J663" s="77" t="str">
        <f t="shared" si="339"/>
        <v>Senecio</v>
      </c>
      <c r="K663" s="77" t="str">
        <f t="shared" si="339"/>
        <v>burtoni</v>
      </c>
      <c r="L663" s="78">
        <f t="shared" si="339"/>
        <v>6</v>
      </c>
      <c r="M663" s="78">
        <f t="shared" si="339"/>
        <v>12</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INDEX([1]!VISITORS[INSECT ORDER], MATCH(X663,[1]!VISITORS[NAME USED],0))</f>
        <v>#REF!</v>
      </c>
      <c r="AB663" s="48" t="e">
        <f t="shared" si="321"/>
        <v>#REF!</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17</v>
      </c>
      <c r="D664" s="75">
        <f t="shared" si="314"/>
        <v>2</v>
      </c>
      <c r="E664" s="76">
        <f t="shared" si="315"/>
        <v>46</v>
      </c>
      <c r="F664" s="80"/>
      <c r="G664" s="83"/>
      <c r="H664" s="69" t="str">
        <f t="shared" si="337"/>
        <v>Senbur6_20191117_02_00</v>
      </c>
      <c r="I664" s="70">
        <f t="shared" si="339"/>
        <v>1</v>
      </c>
      <c r="J664" s="77" t="str">
        <f t="shared" si="339"/>
        <v>Senecio</v>
      </c>
      <c r="K664" s="77" t="str">
        <f t="shared" si="339"/>
        <v>burtoni</v>
      </c>
      <c r="L664" s="78">
        <f t="shared" si="339"/>
        <v>6</v>
      </c>
      <c r="M664" s="78">
        <f t="shared" si="339"/>
        <v>12</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INDEX([1]!VISITORS[INSECT ORDER], MATCH(X664,[1]!VISITORS[NAME USED],0))</f>
        <v>#REF!</v>
      </c>
      <c r="AB664" s="48" t="e">
        <f t="shared" si="321"/>
        <v>#REF!</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17</v>
      </c>
      <c r="D665" s="75">
        <f t="shared" si="314"/>
        <v>2</v>
      </c>
      <c r="E665" s="76">
        <f t="shared" si="315"/>
        <v>47</v>
      </c>
      <c r="F665" s="80"/>
      <c r="G665" s="83"/>
      <c r="H665" s="69" t="str">
        <f t="shared" si="337"/>
        <v>Senbur6_20191117_02_00</v>
      </c>
      <c r="I665" s="70">
        <f t="shared" si="339"/>
        <v>1</v>
      </c>
      <c r="J665" s="77" t="str">
        <f t="shared" si="339"/>
        <v>Senecio</v>
      </c>
      <c r="K665" s="77" t="str">
        <f t="shared" si="339"/>
        <v>burtoni</v>
      </c>
      <c r="L665" s="78">
        <f t="shared" si="339"/>
        <v>6</v>
      </c>
      <c r="M665" s="78">
        <f t="shared" si="339"/>
        <v>12</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INDEX([1]!VISITORS[INSECT ORDER], MATCH(X665,[1]!VISITORS[NAME USED],0))</f>
        <v>#REF!</v>
      </c>
      <c r="AB665" s="48" t="e">
        <f t="shared" si="321"/>
        <v>#REF!</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17</v>
      </c>
      <c r="D666" s="75">
        <f t="shared" si="314"/>
        <v>2</v>
      </c>
      <c r="E666" s="76">
        <f t="shared" si="315"/>
        <v>48</v>
      </c>
      <c r="F666" s="80"/>
      <c r="G666" s="83"/>
      <c r="H666" s="69" t="str">
        <f t="shared" si="337"/>
        <v>Senbur6_20191117_02_00</v>
      </c>
      <c r="I666" s="70">
        <f t="shared" si="339"/>
        <v>1</v>
      </c>
      <c r="J666" s="77" t="str">
        <f t="shared" si="339"/>
        <v>Senecio</v>
      </c>
      <c r="K666" s="77" t="str">
        <f t="shared" si="339"/>
        <v>burtoni</v>
      </c>
      <c r="L666" s="78">
        <f t="shared" si="339"/>
        <v>6</v>
      </c>
      <c r="M666" s="78">
        <f t="shared" si="339"/>
        <v>12</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INDEX([1]!VISITORS[INSECT ORDER], MATCH(X666,[1]!VISITORS[NAME USED],0))</f>
        <v>#REF!</v>
      </c>
      <c r="AB666" s="48" t="e">
        <f t="shared" si="321"/>
        <v>#REF!</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17</v>
      </c>
      <c r="D667" s="75">
        <f t="shared" si="314"/>
        <v>2</v>
      </c>
      <c r="E667" s="76">
        <f t="shared" si="315"/>
        <v>49</v>
      </c>
      <c r="F667" s="80"/>
      <c r="G667" s="83"/>
      <c r="H667" s="69" t="str">
        <f t="shared" si="337"/>
        <v>Senbur6_20191117_02_00</v>
      </c>
      <c r="I667" s="70">
        <f t="shared" si="339"/>
        <v>1</v>
      </c>
      <c r="J667" s="77" t="str">
        <f t="shared" si="339"/>
        <v>Senecio</v>
      </c>
      <c r="K667" s="77" t="str">
        <f t="shared" si="339"/>
        <v>burtoni</v>
      </c>
      <c r="L667" s="78">
        <f t="shared" si="339"/>
        <v>6</v>
      </c>
      <c r="M667" s="78">
        <f t="shared" si="339"/>
        <v>12</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INDEX([1]!VISITORS[INSECT ORDER], MATCH(X667,[1]!VISITORS[NAME USED],0))</f>
        <v>#REF!</v>
      </c>
      <c r="AB667" s="48" t="e">
        <f t="shared" si="321"/>
        <v>#REF!</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17</v>
      </c>
      <c r="D668" s="75">
        <f t="shared" si="314"/>
        <v>2</v>
      </c>
      <c r="E668" s="76">
        <f t="shared" si="315"/>
        <v>50</v>
      </c>
      <c r="F668" s="80"/>
      <c r="G668" s="83"/>
      <c r="H668" s="69" t="str">
        <f t="shared" si="337"/>
        <v>Senbur6_20191117_02_00</v>
      </c>
      <c r="I668" s="70">
        <f t="shared" si="339"/>
        <v>1</v>
      </c>
      <c r="J668" s="77" t="str">
        <f t="shared" si="339"/>
        <v>Senecio</v>
      </c>
      <c r="K668" s="77" t="str">
        <f t="shared" si="339"/>
        <v>burtoni</v>
      </c>
      <c r="L668" s="78">
        <f t="shared" si="339"/>
        <v>6</v>
      </c>
      <c r="M668" s="78">
        <f t="shared" si="339"/>
        <v>12</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INDEX([1]!VISITORS[INSECT ORDER], MATCH(X668,[1]!VISITORS[NAME USED],0))</f>
        <v>#REF!</v>
      </c>
      <c r="AB668" s="48" t="e">
        <f t="shared" si="321"/>
        <v>#REF!</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17</v>
      </c>
      <c r="D669" s="75">
        <f t="shared" si="314"/>
        <v>2</v>
      </c>
      <c r="E669" s="76">
        <f t="shared" si="315"/>
        <v>51</v>
      </c>
      <c r="F669" s="80"/>
      <c r="G669" s="83"/>
      <c r="H669" s="69" t="str">
        <f t="shared" si="337"/>
        <v>Senbur6_20191117_02_00</v>
      </c>
      <c r="I669" s="70">
        <f t="shared" si="339"/>
        <v>1</v>
      </c>
      <c r="J669" s="77" t="str">
        <f t="shared" si="339"/>
        <v>Senecio</v>
      </c>
      <c r="K669" s="77" t="str">
        <f t="shared" si="339"/>
        <v>burtoni</v>
      </c>
      <c r="L669" s="78">
        <f t="shared" si="339"/>
        <v>6</v>
      </c>
      <c r="M669" s="78">
        <f t="shared" si="339"/>
        <v>12</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INDEX([1]!VISITORS[INSECT ORDER], MATCH(X669,[1]!VISITORS[NAME USED],0))</f>
        <v>#REF!</v>
      </c>
      <c r="AB669" s="48" t="e">
        <f t="shared" si="321"/>
        <v>#REF!</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17</v>
      </c>
      <c r="D670" s="75">
        <f t="shared" si="314"/>
        <v>2</v>
      </c>
      <c r="E670" s="76">
        <f t="shared" si="315"/>
        <v>52</v>
      </c>
      <c r="F670" s="80"/>
      <c r="G670" s="83"/>
      <c r="H670" s="69" t="str">
        <f t="shared" si="337"/>
        <v>Senbur6_20191117_02_00</v>
      </c>
      <c r="I670" s="70">
        <f t="shared" si="339"/>
        <v>1</v>
      </c>
      <c r="J670" s="77" t="str">
        <f t="shared" si="339"/>
        <v>Senecio</v>
      </c>
      <c r="K670" s="77" t="str">
        <f t="shared" si="339"/>
        <v>burtoni</v>
      </c>
      <c r="L670" s="78">
        <f t="shared" si="339"/>
        <v>6</v>
      </c>
      <c r="M670" s="78">
        <f t="shared" si="339"/>
        <v>12</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INDEX([1]!VISITORS[INSECT ORDER], MATCH(X670,[1]!VISITORS[NAME USED],0))</f>
        <v>#REF!</v>
      </c>
      <c r="AB670" s="48" t="e">
        <f t="shared" si="321"/>
        <v>#REF!</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17</v>
      </c>
      <c r="D671" s="75">
        <f t="shared" si="314"/>
        <v>2</v>
      </c>
      <c r="E671" s="76">
        <f t="shared" si="315"/>
        <v>53</v>
      </c>
      <c r="F671" s="80"/>
      <c r="G671" s="83"/>
      <c r="H671" s="69" t="str">
        <f t="shared" si="337"/>
        <v>Senbur6_20191117_02_00</v>
      </c>
      <c r="I671" s="70">
        <f t="shared" si="339"/>
        <v>1</v>
      </c>
      <c r="J671" s="77" t="str">
        <f t="shared" si="339"/>
        <v>Senecio</v>
      </c>
      <c r="K671" s="77" t="str">
        <f t="shared" si="339"/>
        <v>burtoni</v>
      </c>
      <c r="L671" s="78">
        <f t="shared" si="339"/>
        <v>6</v>
      </c>
      <c r="M671" s="78">
        <f t="shared" si="339"/>
        <v>12</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INDEX([1]!VISITORS[INSECT ORDER], MATCH(X671,[1]!VISITORS[NAME USED],0))</f>
        <v>#REF!</v>
      </c>
      <c r="AB671" s="48" t="e">
        <f t="shared" si="321"/>
        <v>#REF!</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17</v>
      </c>
      <c r="D672" s="75">
        <f t="shared" si="314"/>
        <v>2</v>
      </c>
      <c r="E672" s="76">
        <f t="shared" si="315"/>
        <v>54</v>
      </c>
      <c r="F672" s="80"/>
      <c r="G672" s="83"/>
      <c r="H672" s="69" t="str">
        <f t="shared" si="337"/>
        <v>Senbur6_20191117_02_00</v>
      </c>
      <c r="I672" s="70">
        <f t="shared" si="339"/>
        <v>1</v>
      </c>
      <c r="J672" s="77" t="str">
        <f t="shared" si="339"/>
        <v>Senecio</v>
      </c>
      <c r="K672" s="77" t="str">
        <f t="shared" si="339"/>
        <v>burtoni</v>
      </c>
      <c r="L672" s="78">
        <f t="shared" si="339"/>
        <v>6</v>
      </c>
      <c r="M672" s="78">
        <f t="shared" si="339"/>
        <v>12</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INDEX([1]!VISITORS[INSECT ORDER], MATCH(X672,[1]!VISITORS[NAME USED],0))</f>
        <v>#REF!</v>
      </c>
      <c r="AB672" s="48" t="e">
        <f t="shared" si="321"/>
        <v>#REF!</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17</v>
      </c>
      <c r="D673" s="75">
        <f t="shared" si="314"/>
        <v>2</v>
      </c>
      <c r="E673" s="76">
        <f t="shared" si="315"/>
        <v>55</v>
      </c>
      <c r="F673" s="80"/>
      <c r="G673" s="83"/>
      <c r="H673" s="69" t="str">
        <f t="shared" si="337"/>
        <v>Senbur6_20191117_02_00</v>
      </c>
      <c r="I673" s="70">
        <f t="shared" si="339"/>
        <v>1</v>
      </c>
      <c r="J673" s="77" t="str">
        <f t="shared" si="339"/>
        <v>Senecio</v>
      </c>
      <c r="K673" s="77" t="str">
        <f t="shared" si="339"/>
        <v>burtoni</v>
      </c>
      <c r="L673" s="78">
        <f t="shared" si="339"/>
        <v>6</v>
      </c>
      <c r="M673" s="78">
        <f t="shared" si="339"/>
        <v>12</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INDEX([1]!VISITORS[INSECT ORDER], MATCH(X673,[1]!VISITORS[NAME USED],0))</f>
        <v>#REF!</v>
      </c>
      <c r="AB673" s="48" t="e">
        <f t="shared" si="321"/>
        <v>#REF!</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17</v>
      </c>
      <c r="D674" s="75">
        <f t="shared" si="314"/>
        <v>2</v>
      </c>
      <c r="E674" s="76">
        <f t="shared" si="315"/>
        <v>56</v>
      </c>
      <c r="F674" s="80"/>
      <c r="G674" s="83"/>
      <c r="H674" s="69" t="str">
        <f t="shared" si="337"/>
        <v>Senbur6_20191117_02_00</v>
      </c>
      <c r="I674" s="70">
        <f t="shared" si="339"/>
        <v>1</v>
      </c>
      <c r="J674" s="77" t="str">
        <f t="shared" si="339"/>
        <v>Senecio</v>
      </c>
      <c r="K674" s="77" t="str">
        <f t="shared" si="339"/>
        <v>burtoni</v>
      </c>
      <c r="L674" s="78">
        <f t="shared" si="339"/>
        <v>6</v>
      </c>
      <c r="M674" s="78">
        <f t="shared" si="339"/>
        <v>12</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INDEX([1]!VISITORS[INSECT ORDER], MATCH(X674,[1]!VISITORS[NAME USED],0))</f>
        <v>#REF!</v>
      </c>
      <c r="AB674" s="48" t="e">
        <f t="shared" si="321"/>
        <v>#REF!</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17</v>
      </c>
      <c r="D675" s="75">
        <f t="shared" si="314"/>
        <v>2</v>
      </c>
      <c r="E675" s="76">
        <f t="shared" si="315"/>
        <v>57</v>
      </c>
      <c r="F675" s="80"/>
      <c r="G675" s="83"/>
      <c r="H675" s="69" t="str">
        <f t="shared" si="337"/>
        <v>Senbur6_20191117_02_00</v>
      </c>
      <c r="I675" s="70">
        <f t="shared" si="339"/>
        <v>1</v>
      </c>
      <c r="J675" s="77" t="str">
        <f t="shared" si="339"/>
        <v>Senecio</v>
      </c>
      <c r="K675" s="77" t="str">
        <f t="shared" si="339"/>
        <v>burtoni</v>
      </c>
      <c r="L675" s="78">
        <f t="shared" si="339"/>
        <v>6</v>
      </c>
      <c r="M675" s="78">
        <f t="shared" si="339"/>
        <v>12</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INDEX([1]!VISITORS[INSECT ORDER], MATCH(X675,[1]!VISITORS[NAME USED],0))</f>
        <v>#REF!</v>
      </c>
      <c r="AB675" s="48" t="e">
        <f t="shared" si="321"/>
        <v>#REF!</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17</v>
      </c>
      <c r="D676" s="75">
        <f t="shared" si="314"/>
        <v>2</v>
      </c>
      <c r="E676" s="76">
        <f t="shared" si="315"/>
        <v>58</v>
      </c>
      <c r="F676" s="80"/>
      <c r="G676" s="83"/>
      <c r="H676" s="69" t="str">
        <f t="shared" si="337"/>
        <v>Senbur6_20191117_02_00</v>
      </c>
      <c r="I676" s="70">
        <f t="shared" si="339"/>
        <v>1</v>
      </c>
      <c r="J676" s="77" t="str">
        <f t="shared" si="339"/>
        <v>Senecio</v>
      </c>
      <c r="K676" s="77" t="str">
        <f t="shared" si="339"/>
        <v>burtoni</v>
      </c>
      <c r="L676" s="78">
        <f t="shared" si="339"/>
        <v>6</v>
      </c>
      <c r="M676" s="78">
        <f t="shared" si="339"/>
        <v>12</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INDEX([1]!VISITORS[INSECT ORDER], MATCH(X676,[1]!VISITORS[NAME USED],0))</f>
        <v>#REF!</v>
      </c>
      <c r="AB676" s="48" t="e">
        <f t="shared" si="321"/>
        <v>#REF!</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17</v>
      </c>
      <c r="D677" s="75">
        <f t="shared" si="314"/>
        <v>2</v>
      </c>
      <c r="E677" s="76">
        <f t="shared" si="315"/>
        <v>59</v>
      </c>
      <c r="F677" s="80"/>
      <c r="G677" s="83"/>
      <c r="H677" s="69" t="str">
        <f t="shared" si="337"/>
        <v>Senbur6_20191117_02_00</v>
      </c>
      <c r="I677" s="70">
        <f t="shared" ref="I677:N692" si="340">I676</f>
        <v>1</v>
      </c>
      <c r="J677" s="77" t="str">
        <f t="shared" si="340"/>
        <v>Senecio</v>
      </c>
      <c r="K677" s="77" t="str">
        <f t="shared" si="340"/>
        <v>burtoni</v>
      </c>
      <c r="L677" s="78">
        <f t="shared" si="340"/>
        <v>6</v>
      </c>
      <c r="M677" s="78">
        <f t="shared" si="340"/>
        <v>12</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INDEX([1]!VISITORS[INSECT ORDER], MATCH(X677,[1]!VISITORS[NAME USED],0))</f>
        <v>#REF!</v>
      </c>
      <c r="AB677" s="48" t="e">
        <f t="shared" si="321"/>
        <v>#REF!</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17</v>
      </c>
      <c r="D678" s="75">
        <f t="shared" si="314"/>
        <v>3</v>
      </c>
      <c r="E678" s="76">
        <f t="shared" si="315"/>
        <v>0</v>
      </c>
      <c r="F678" s="80"/>
      <c r="G678" s="83"/>
      <c r="H678" s="69" t="str">
        <f t="shared" si="337"/>
        <v>Senbur6_20191117_03_00</v>
      </c>
      <c r="I678" s="70">
        <f t="shared" si="340"/>
        <v>1</v>
      </c>
      <c r="J678" s="77" t="str">
        <f t="shared" si="340"/>
        <v>Senecio</v>
      </c>
      <c r="K678" s="77" t="str">
        <f t="shared" si="340"/>
        <v>burtoni</v>
      </c>
      <c r="L678" s="78">
        <f t="shared" si="340"/>
        <v>6</v>
      </c>
      <c r="M678" s="78">
        <f t="shared" si="340"/>
        <v>12</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INDEX([1]!VISITORS[INSECT ORDER], MATCH(X678,[1]!VISITORS[NAME USED],0))</f>
        <v>#REF!</v>
      </c>
      <c r="AB678" s="48" t="e">
        <f t="shared" si="321"/>
        <v>#REF!</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17</v>
      </c>
      <c r="D679" s="75">
        <f t="shared" si="314"/>
        <v>3</v>
      </c>
      <c r="E679" s="76">
        <f t="shared" si="315"/>
        <v>1</v>
      </c>
      <c r="F679" s="80"/>
      <c r="G679" s="83"/>
      <c r="H679" s="69" t="str">
        <f t="shared" si="337"/>
        <v>Senbur6_20191117_03_00</v>
      </c>
      <c r="I679" s="70">
        <f t="shared" si="340"/>
        <v>1</v>
      </c>
      <c r="J679" s="77" t="str">
        <f t="shared" si="340"/>
        <v>Senecio</v>
      </c>
      <c r="K679" s="77" t="str">
        <f t="shared" si="340"/>
        <v>burtoni</v>
      </c>
      <c r="L679" s="78">
        <f t="shared" si="340"/>
        <v>6</v>
      </c>
      <c r="M679" s="78">
        <f t="shared" si="340"/>
        <v>12</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INDEX([1]!VISITORS[INSECT ORDER], MATCH(X679,[1]!VISITORS[NAME USED],0))</f>
        <v>#REF!</v>
      </c>
      <c r="AB679" s="48" t="e">
        <f t="shared" si="321"/>
        <v>#REF!</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17</v>
      </c>
      <c r="D680" s="75">
        <f t="shared" si="314"/>
        <v>3</v>
      </c>
      <c r="E680" s="76">
        <f t="shared" si="315"/>
        <v>2</v>
      </c>
      <c r="F680" s="80"/>
      <c r="G680" s="83"/>
      <c r="H680" s="69" t="str">
        <f t="shared" si="337"/>
        <v>Senbur6_20191117_03_00</v>
      </c>
      <c r="I680" s="70">
        <f t="shared" si="340"/>
        <v>1</v>
      </c>
      <c r="J680" s="77" t="str">
        <f t="shared" si="340"/>
        <v>Senecio</v>
      </c>
      <c r="K680" s="77" t="str">
        <f t="shared" si="340"/>
        <v>burtoni</v>
      </c>
      <c r="L680" s="78">
        <f t="shared" si="340"/>
        <v>6</v>
      </c>
      <c r="M680" s="78">
        <f t="shared" si="340"/>
        <v>12</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INDEX([1]!VISITORS[INSECT ORDER], MATCH(X680,[1]!VISITORS[NAME USED],0))</f>
        <v>#REF!</v>
      </c>
      <c r="AB680" s="48" t="e">
        <f t="shared" si="321"/>
        <v>#REF!</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17</v>
      </c>
      <c r="D681" s="75">
        <f t="shared" si="314"/>
        <v>3</v>
      </c>
      <c r="E681" s="76">
        <f t="shared" si="315"/>
        <v>3</v>
      </c>
      <c r="F681" s="80"/>
      <c r="G681" s="83"/>
      <c r="H681" s="69" t="str">
        <f t="shared" si="337"/>
        <v>Senbur6_20191117_03_00</v>
      </c>
      <c r="I681" s="70">
        <f t="shared" si="340"/>
        <v>1</v>
      </c>
      <c r="J681" s="77" t="str">
        <f t="shared" si="340"/>
        <v>Senecio</v>
      </c>
      <c r="K681" s="77" t="str">
        <f t="shared" si="340"/>
        <v>burtoni</v>
      </c>
      <c r="L681" s="78">
        <f t="shared" si="340"/>
        <v>6</v>
      </c>
      <c r="M681" s="78">
        <f t="shared" si="340"/>
        <v>12</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INDEX([1]!VISITORS[INSECT ORDER], MATCH(X681,[1]!VISITORS[NAME USED],0))</f>
        <v>#REF!</v>
      </c>
      <c r="AB681" s="48" t="e">
        <f t="shared" si="321"/>
        <v>#REF!</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17</v>
      </c>
      <c r="D682" s="75">
        <f t="shared" si="314"/>
        <v>3</v>
      </c>
      <c r="E682" s="76">
        <f t="shared" si="315"/>
        <v>4</v>
      </c>
      <c r="F682" s="80"/>
      <c r="G682" s="83"/>
      <c r="H682" s="69" t="str">
        <f t="shared" si="337"/>
        <v>Senbur6_20191117_03_00</v>
      </c>
      <c r="I682" s="70">
        <f t="shared" si="340"/>
        <v>1</v>
      </c>
      <c r="J682" s="77" t="str">
        <f t="shared" si="340"/>
        <v>Senecio</v>
      </c>
      <c r="K682" s="77" t="str">
        <f t="shared" si="340"/>
        <v>burtoni</v>
      </c>
      <c r="L682" s="78">
        <f t="shared" si="340"/>
        <v>6</v>
      </c>
      <c r="M682" s="78">
        <f t="shared" si="340"/>
        <v>12</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INDEX([1]!VISITORS[INSECT ORDER], MATCH(X682,[1]!VISITORS[NAME USED],0))</f>
        <v>#REF!</v>
      </c>
      <c r="AB682" s="48" t="e">
        <f t="shared" si="321"/>
        <v>#REF!</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17</v>
      </c>
      <c r="D683" s="75">
        <f t="shared" si="314"/>
        <v>3</v>
      </c>
      <c r="E683" s="76">
        <f t="shared" si="315"/>
        <v>5</v>
      </c>
      <c r="F683" s="80"/>
      <c r="G683" s="83"/>
      <c r="H683" s="69" t="str">
        <f t="shared" si="337"/>
        <v>Senbur6_20191117_03_00</v>
      </c>
      <c r="I683" s="70">
        <f t="shared" si="340"/>
        <v>1</v>
      </c>
      <c r="J683" s="77" t="str">
        <f t="shared" si="340"/>
        <v>Senecio</v>
      </c>
      <c r="K683" s="77" t="str">
        <f t="shared" si="340"/>
        <v>burtoni</v>
      </c>
      <c r="L683" s="78">
        <f t="shared" si="340"/>
        <v>6</v>
      </c>
      <c r="M683" s="78">
        <f t="shared" si="340"/>
        <v>12</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INDEX([1]!VISITORS[INSECT ORDER], MATCH(X683,[1]!VISITORS[NAME USED],0))</f>
        <v>#REF!</v>
      </c>
      <c r="AB683" s="48" t="e">
        <f t="shared" si="321"/>
        <v>#REF!</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17</v>
      </c>
      <c r="D684" s="75">
        <f t="shared" si="314"/>
        <v>3</v>
      </c>
      <c r="E684" s="76">
        <f t="shared" si="315"/>
        <v>6</v>
      </c>
      <c r="F684" s="80"/>
      <c r="G684" s="83"/>
      <c r="H684" s="69" t="str">
        <f t="shared" si="337"/>
        <v>Senbur6_20191117_03_00</v>
      </c>
      <c r="I684" s="70">
        <f t="shared" si="340"/>
        <v>1</v>
      </c>
      <c r="J684" s="77" t="str">
        <f t="shared" si="340"/>
        <v>Senecio</v>
      </c>
      <c r="K684" s="77" t="str">
        <f t="shared" si="340"/>
        <v>burtoni</v>
      </c>
      <c r="L684" s="78">
        <f t="shared" si="340"/>
        <v>6</v>
      </c>
      <c r="M684" s="78">
        <f t="shared" si="340"/>
        <v>12</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INDEX([1]!VISITORS[INSECT ORDER], MATCH(X684,[1]!VISITORS[NAME USED],0))</f>
        <v>#REF!</v>
      </c>
      <c r="AB684" s="48" t="e">
        <f t="shared" si="321"/>
        <v>#REF!</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17</v>
      </c>
      <c r="D685" s="75">
        <f t="shared" si="314"/>
        <v>3</v>
      </c>
      <c r="E685" s="76">
        <f t="shared" si="315"/>
        <v>7</v>
      </c>
      <c r="F685" s="80"/>
      <c r="G685" s="83"/>
      <c r="H685" s="69" t="str">
        <f t="shared" si="337"/>
        <v>Senbur6_20191117_03_00</v>
      </c>
      <c r="I685" s="70">
        <f t="shared" si="340"/>
        <v>1</v>
      </c>
      <c r="J685" s="77" t="str">
        <f t="shared" si="340"/>
        <v>Senecio</v>
      </c>
      <c r="K685" s="77" t="str">
        <f t="shared" si="340"/>
        <v>burtoni</v>
      </c>
      <c r="L685" s="78">
        <f t="shared" si="340"/>
        <v>6</v>
      </c>
      <c r="M685" s="78">
        <f t="shared" si="340"/>
        <v>12</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INDEX([1]!VISITORS[INSECT ORDER], MATCH(X685,[1]!VISITORS[NAME USED],0))</f>
        <v>#REF!</v>
      </c>
      <c r="AB685" s="48" t="e">
        <f t="shared" si="321"/>
        <v>#REF!</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17</v>
      </c>
      <c r="D686" s="75">
        <f t="shared" si="314"/>
        <v>3</v>
      </c>
      <c r="E686" s="76">
        <f t="shared" si="315"/>
        <v>8</v>
      </c>
      <c r="F686" s="80"/>
      <c r="G686" s="83"/>
      <c r="H686" s="69" t="str">
        <f t="shared" si="337"/>
        <v>Senbur6_20191117_03_00</v>
      </c>
      <c r="I686" s="70">
        <f t="shared" si="340"/>
        <v>1</v>
      </c>
      <c r="J686" s="77" t="str">
        <f t="shared" si="340"/>
        <v>Senecio</v>
      </c>
      <c r="K686" s="77" t="str">
        <f t="shared" si="340"/>
        <v>burtoni</v>
      </c>
      <c r="L686" s="78">
        <f t="shared" si="340"/>
        <v>6</v>
      </c>
      <c r="M686" s="78">
        <f t="shared" si="340"/>
        <v>12</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INDEX([1]!VISITORS[INSECT ORDER], MATCH(X686,[1]!VISITORS[NAME USED],0))</f>
        <v>#REF!</v>
      </c>
      <c r="AB686" s="48" t="e">
        <f t="shared" si="321"/>
        <v>#REF!</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17</v>
      </c>
      <c r="D687" s="75">
        <f t="shared" si="314"/>
        <v>3</v>
      </c>
      <c r="E687" s="76">
        <f t="shared" si="315"/>
        <v>9</v>
      </c>
      <c r="F687" s="80"/>
      <c r="G687" s="83"/>
      <c r="H687" s="69" t="str">
        <f t="shared" si="337"/>
        <v>Senbur6_20191117_03_00</v>
      </c>
      <c r="I687" s="70">
        <f t="shared" si="340"/>
        <v>1</v>
      </c>
      <c r="J687" s="77" t="str">
        <f t="shared" si="340"/>
        <v>Senecio</v>
      </c>
      <c r="K687" s="77" t="str">
        <f t="shared" si="340"/>
        <v>burtoni</v>
      </c>
      <c r="L687" s="78">
        <f t="shared" si="340"/>
        <v>6</v>
      </c>
      <c r="M687" s="78">
        <f t="shared" si="340"/>
        <v>12</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INDEX([1]!VISITORS[INSECT ORDER], MATCH(X687,[1]!VISITORS[NAME USED],0))</f>
        <v>#REF!</v>
      </c>
      <c r="AB687" s="48" t="e">
        <f t="shared" si="321"/>
        <v>#REF!</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17</v>
      </c>
      <c r="D688" s="75">
        <f t="shared" si="314"/>
        <v>3</v>
      </c>
      <c r="E688" s="76">
        <f t="shared" si="315"/>
        <v>10</v>
      </c>
      <c r="F688" s="80"/>
      <c r="G688" s="83"/>
      <c r="H688" s="69" t="str">
        <f t="shared" si="337"/>
        <v>Senbur6_20191117_03_00</v>
      </c>
      <c r="I688" s="70">
        <f t="shared" si="340"/>
        <v>1</v>
      </c>
      <c r="J688" s="77" t="str">
        <f t="shared" si="340"/>
        <v>Senecio</v>
      </c>
      <c r="K688" s="77" t="str">
        <f t="shared" si="340"/>
        <v>burtoni</v>
      </c>
      <c r="L688" s="78">
        <f t="shared" si="340"/>
        <v>6</v>
      </c>
      <c r="M688" s="78">
        <f t="shared" si="340"/>
        <v>12</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INDEX([1]!VISITORS[INSECT ORDER], MATCH(X688,[1]!VISITORS[NAME USED],0))</f>
        <v>#REF!</v>
      </c>
      <c r="AB688" s="48" t="e">
        <f t="shared" si="321"/>
        <v>#REF!</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17</v>
      </c>
      <c r="D689" s="75">
        <f t="shared" si="314"/>
        <v>3</v>
      </c>
      <c r="E689" s="76">
        <f t="shared" si="315"/>
        <v>11</v>
      </c>
      <c r="F689" s="80"/>
      <c r="G689" s="83"/>
      <c r="H689" s="69" t="str">
        <f t="shared" si="337"/>
        <v>Senbur6_20191117_03_00</v>
      </c>
      <c r="I689" s="70">
        <f t="shared" si="340"/>
        <v>1</v>
      </c>
      <c r="J689" s="77" t="str">
        <f t="shared" si="340"/>
        <v>Senecio</v>
      </c>
      <c r="K689" s="77" t="str">
        <f t="shared" si="340"/>
        <v>burtoni</v>
      </c>
      <c r="L689" s="78">
        <f t="shared" si="340"/>
        <v>6</v>
      </c>
      <c r="M689" s="78">
        <f t="shared" si="340"/>
        <v>12</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INDEX([1]!VISITORS[INSECT ORDER], MATCH(X689,[1]!VISITORS[NAME USED],0))</f>
        <v>#REF!</v>
      </c>
      <c r="AB689" s="48" t="e">
        <f t="shared" si="321"/>
        <v>#REF!</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17</v>
      </c>
      <c r="D690" s="75">
        <f t="shared" si="314"/>
        <v>3</v>
      </c>
      <c r="E690" s="76">
        <f t="shared" si="315"/>
        <v>12</v>
      </c>
      <c r="F690" s="80"/>
      <c r="G690" s="83"/>
      <c r="H690" s="69" t="str">
        <f t="shared" si="337"/>
        <v>Senbur6_20191117_03_00</v>
      </c>
      <c r="I690" s="70">
        <f t="shared" si="340"/>
        <v>1</v>
      </c>
      <c r="J690" s="77" t="str">
        <f t="shared" si="340"/>
        <v>Senecio</v>
      </c>
      <c r="K690" s="77" t="str">
        <f t="shared" si="340"/>
        <v>burtoni</v>
      </c>
      <c r="L690" s="78">
        <f t="shared" si="340"/>
        <v>6</v>
      </c>
      <c r="M690" s="78">
        <f t="shared" si="340"/>
        <v>12</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INDEX([1]!VISITORS[INSECT ORDER], MATCH(X690,[1]!VISITORS[NAME USED],0))</f>
        <v>#REF!</v>
      </c>
      <c r="AB690" s="48" t="e">
        <f t="shared" si="321"/>
        <v>#REF!</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17</v>
      </c>
      <c r="D691" s="75">
        <f t="shared" si="314"/>
        <v>3</v>
      </c>
      <c r="E691" s="76">
        <f t="shared" si="315"/>
        <v>13</v>
      </c>
      <c r="F691" s="80"/>
      <c r="G691" s="83"/>
      <c r="H691" s="69" t="str">
        <f t="shared" si="337"/>
        <v>Senbur6_20191117_03_00</v>
      </c>
      <c r="I691" s="70">
        <f t="shared" si="340"/>
        <v>1</v>
      </c>
      <c r="J691" s="77" t="str">
        <f t="shared" si="340"/>
        <v>Senecio</v>
      </c>
      <c r="K691" s="77" t="str">
        <f t="shared" si="340"/>
        <v>burtoni</v>
      </c>
      <c r="L691" s="78">
        <f t="shared" si="340"/>
        <v>6</v>
      </c>
      <c r="M691" s="78">
        <f t="shared" si="340"/>
        <v>12</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INDEX([1]!VISITORS[INSECT ORDER], MATCH(X691,[1]!VISITORS[NAME USED],0))</f>
        <v>#REF!</v>
      </c>
      <c r="AB691" s="48" t="e">
        <f t="shared" si="321"/>
        <v>#REF!</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17</v>
      </c>
      <c r="D692" s="75">
        <f t="shared" si="314"/>
        <v>3</v>
      </c>
      <c r="E692" s="76">
        <f t="shared" si="315"/>
        <v>14</v>
      </c>
      <c r="F692" s="80"/>
      <c r="G692" s="83"/>
      <c r="H692" s="69" t="str">
        <f t="shared" si="337"/>
        <v>Senbur6_20191117_03_00</v>
      </c>
      <c r="I692" s="70">
        <f t="shared" si="340"/>
        <v>1</v>
      </c>
      <c r="J692" s="77" t="str">
        <f t="shared" si="340"/>
        <v>Senecio</v>
      </c>
      <c r="K692" s="77" t="str">
        <f t="shared" si="340"/>
        <v>burtoni</v>
      </c>
      <c r="L692" s="78">
        <f t="shared" si="340"/>
        <v>6</v>
      </c>
      <c r="M692" s="78">
        <f t="shared" si="340"/>
        <v>12</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INDEX([1]!VISITORS[INSECT ORDER], MATCH(X692,[1]!VISITORS[NAME USED],0))</f>
        <v>#REF!</v>
      </c>
      <c r="AB692" s="48" t="e">
        <f t="shared" si="321"/>
        <v>#REF!</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17</v>
      </c>
      <c r="D693" s="75">
        <f t="shared" si="314"/>
        <v>3</v>
      </c>
      <c r="E693" s="76">
        <f t="shared" si="315"/>
        <v>15</v>
      </c>
      <c r="F693" s="80"/>
      <c r="G693" s="83"/>
      <c r="H693" s="69" t="str">
        <f t="shared" si="337"/>
        <v>Senbur6_20191117_03_00</v>
      </c>
      <c r="I693" s="70">
        <f t="shared" ref="I693:N708" si="341">I692</f>
        <v>1</v>
      </c>
      <c r="J693" s="77" t="str">
        <f t="shared" si="341"/>
        <v>Senecio</v>
      </c>
      <c r="K693" s="77" t="str">
        <f t="shared" si="341"/>
        <v>burtoni</v>
      </c>
      <c r="L693" s="78">
        <f t="shared" si="341"/>
        <v>6</v>
      </c>
      <c r="M693" s="78">
        <f t="shared" si="341"/>
        <v>12</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INDEX([1]!VISITORS[INSECT ORDER], MATCH(X693,[1]!VISITORS[NAME USED],0))</f>
        <v>#REF!</v>
      </c>
      <c r="AB693" s="48" t="e">
        <f t="shared" si="321"/>
        <v>#REF!</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17</v>
      </c>
      <c r="D694" s="75">
        <f t="shared" si="314"/>
        <v>3</v>
      </c>
      <c r="E694" s="76">
        <f t="shared" si="315"/>
        <v>16</v>
      </c>
      <c r="F694" s="80"/>
      <c r="G694" s="83"/>
      <c r="H694" s="69" t="str">
        <f t="shared" si="337"/>
        <v>Senbur6_20191117_03_00</v>
      </c>
      <c r="I694" s="70">
        <f t="shared" si="341"/>
        <v>1</v>
      </c>
      <c r="J694" s="77" t="str">
        <f t="shared" si="341"/>
        <v>Senecio</v>
      </c>
      <c r="K694" s="77" t="str">
        <f t="shared" si="341"/>
        <v>burtoni</v>
      </c>
      <c r="L694" s="78">
        <f t="shared" si="341"/>
        <v>6</v>
      </c>
      <c r="M694" s="78">
        <f t="shared" si="341"/>
        <v>12</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INDEX([1]!VISITORS[INSECT ORDER], MATCH(X694,[1]!VISITORS[NAME USED],0))</f>
        <v>#REF!</v>
      </c>
      <c r="AB694" s="48" t="e">
        <f t="shared" si="321"/>
        <v>#REF!</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17</v>
      </c>
      <c r="D695" s="75">
        <f t="shared" si="314"/>
        <v>3</v>
      </c>
      <c r="E695" s="76">
        <f t="shared" si="315"/>
        <v>17</v>
      </c>
      <c r="F695" s="80"/>
      <c r="G695" s="83"/>
      <c r="H695" s="69" t="str">
        <f t="shared" si="337"/>
        <v>Senbur6_20191117_03_00</v>
      </c>
      <c r="I695" s="70">
        <f t="shared" si="341"/>
        <v>1</v>
      </c>
      <c r="J695" s="77" t="str">
        <f t="shared" si="341"/>
        <v>Senecio</v>
      </c>
      <c r="K695" s="77" t="str">
        <f t="shared" si="341"/>
        <v>burtoni</v>
      </c>
      <c r="L695" s="78">
        <f t="shared" si="341"/>
        <v>6</v>
      </c>
      <c r="M695" s="78">
        <f t="shared" si="341"/>
        <v>12</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INDEX([1]!VISITORS[INSECT ORDER], MATCH(X695,[1]!VISITORS[NAME USED],0))</f>
        <v>#REF!</v>
      </c>
      <c r="AB695" s="48" t="e">
        <f t="shared" si="321"/>
        <v>#REF!</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17</v>
      </c>
      <c r="D696" s="75">
        <f t="shared" si="314"/>
        <v>3</v>
      </c>
      <c r="E696" s="76">
        <f t="shared" si="315"/>
        <v>18</v>
      </c>
      <c r="F696" s="80"/>
      <c r="G696" s="83"/>
      <c r="H696" s="69" t="str">
        <f t="shared" si="337"/>
        <v>Senbur6_20191117_03_00</v>
      </c>
      <c r="I696" s="70">
        <f t="shared" si="341"/>
        <v>1</v>
      </c>
      <c r="J696" s="77" t="str">
        <f t="shared" si="341"/>
        <v>Senecio</v>
      </c>
      <c r="K696" s="77" t="str">
        <f t="shared" si="341"/>
        <v>burtoni</v>
      </c>
      <c r="L696" s="78">
        <f t="shared" si="341"/>
        <v>6</v>
      </c>
      <c r="M696" s="78">
        <f t="shared" si="341"/>
        <v>12</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INDEX([1]!VISITORS[INSECT ORDER], MATCH(X696,[1]!VISITORS[NAME USED],0))</f>
        <v>#REF!</v>
      </c>
      <c r="AB696" s="48" t="e">
        <f t="shared" si="321"/>
        <v>#REF!</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17</v>
      </c>
      <c r="D697" s="75">
        <f t="shared" si="314"/>
        <v>3</v>
      </c>
      <c r="E697" s="76">
        <f t="shared" si="315"/>
        <v>19</v>
      </c>
      <c r="F697" s="80"/>
      <c r="G697" s="83"/>
      <c r="H697" s="69" t="str">
        <f t="shared" si="337"/>
        <v>Senbur6_20191117_03_00</v>
      </c>
      <c r="I697" s="70">
        <f t="shared" si="341"/>
        <v>1</v>
      </c>
      <c r="J697" s="77" t="str">
        <f t="shared" si="341"/>
        <v>Senecio</v>
      </c>
      <c r="K697" s="77" t="str">
        <f t="shared" si="341"/>
        <v>burtoni</v>
      </c>
      <c r="L697" s="78">
        <f t="shared" si="341"/>
        <v>6</v>
      </c>
      <c r="M697" s="78">
        <f t="shared" si="341"/>
        <v>12</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INDEX([1]!VISITORS[INSECT ORDER], MATCH(X697,[1]!VISITORS[NAME USED],0))</f>
        <v>#REF!</v>
      </c>
      <c r="AB697" s="48" t="e">
        <f t="shared" si="321"/>
        <v>#REF!</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17</v>
      </c>
      <c r="D698" s="75">
        <f t="shared" si="314"/>
        <v>3</v>
      </c>
      <c r="E698" s="76">
        <f t="shared" si="315"/>
        <v>20</v>
      </c>
      <c r="F698" s="80"/>
      <c r="G698" s="83"/>
      <c r="H698" s="69" t="str">
        <f t="shared" si="337"/>
        <v>Senbur6_20191117_03_00</v>
      </c>
      <c r="I698" s="70">
        <f t="shared" si="341"/>
        <v>1</v>
      </c>
      <c r="J698" s="77" t="str">
        <f t="shared" si="341"/>
        <v>Senecio</v>
      </c>
      <c r="K698" s="77" t="str">
        <f t="shared" si="341"/>
        <v>burtoni</v>
      </c>
      <c r="L698" s="78">
        <f t="shared" si="341"/>
        <v>6</v>
      </c>
      <c r="M698" s="78">
        <f t="shared" si="341"/>
        <v>12</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INDEX([1]!VISITORS[INSECT ORDER], MATCH(X698,[1]!VISITORS[NAME USED],0))</f>
        <v>#REF!</v>
      </c>
      <c r="AB698" s="48" t="e">
        <f t="shared" si="321"/>
        <v>#REF!</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17</v>
      </c>
      <c r="D699" s="75">
        <f t="shared" si="314"/>
        <v>3</v>
      </c>
      <c r="E699" s="76">
        <f t="shared" si="315"/>
        <v>21</v>
      </c>
      <c r="F699" s="80"/>
      <c r="G699" s="83"/>
      <c r="H699" s="69" t="str">
        <f t="shared" si="337"/>
        <v>Senbur6_20191117_03_00</v>
      </c>
      <c r="I699" s="70">
        <f t="shared" si="341"/>
        <v>1</v>
      </c>
      <c r="J699" s="77" t="str">
        <f t="shared" si="341"/>
        <v>Senecio</v>
      </c>
      <c r="K699" s="77" t="str">
        <f t="shared" si="341"/>
        <v>burtoni</v>
      </c>
      <c r="L699" s="78">
        <f t="shared" si="341"/>
        <v>6</v>
      </c>
      <c r="M699" s="78">
        <f t="shared" si="341"/>
        <v>12</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INDEX([1]!VISITORS[INSECT ORDER], MATCH(X699,[1]!VISITORS[NAME USED],0))</f>
        <v>#REF!</v>
      </c>
      <c r="AB699" s="48" t="e">
        <f t="shared" si="321"/>
        <v>#REF!</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17</v>
      </c>
      <c r="D700" s="75">
        <f t="shared" si="314"/>
        <v>3</v>
      </c>
      <c r="E700" s="76">
        <f t="shared" si="315"/>
        <v>22</v>
      </c>
      <c r="F700" s="80"/>
      <c r="G700" s="83"/>
      <c r="H700" s="69" t="str">
        <f t="shared" si="337"/>
        <v>Senbur6_20191117_03_00</v>
      </c>
      <c r="I700" s="70">
        <f t="shared" si="341"/>
        <v>1</v>
      </c>
      <c r="J700" s="77" t="str">
        <f t="shared" si="341"/>
        <v>Senecio</v>
      </c>
      <c r="K700" s="77" t="str">
        <f t="shared" si="341"/>
        <v>burtoni</v>
      </c>
      <c r="L700" s="78">
        <f t="shared" si="341"/>
        <v>6</v>
      </c>
      <c r="M700" s="78">
        <f t="shared" si="341"/>
        <v>12</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INDEX([1]!VISITORS[INSECT ORDER], MATCH(X700,[1]!VISITORS[NAME USED],0))</f>
        <v>#REF!</v>
      </c>
      <c r="AB700" s="48" t="e">
        <f t="shared" si="321"/>
        <v>#REF!</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17</v>
      </c>
      <c r="D701" s="75">
        <f t="shared" si="314"/>
        <v>3</v>
      </c>
      <c r="E701" s="76">
        <f t="shared" si="315"/>
        <v>23</v>
      </c>
      <c r="F701" s="80"/>
      <c r="G701" s="83"/>
      <c r="H701" s="69" t="str">
        <f t="shared" si="337"/>
        <v>Senbur6_20191117_03_00</v>
      </c>
      <c r="I701" s="70">
        <f t="shared" si="341"/>
        <v>1</v>
      </c>
      <c r="J701" s="77" t="str">
        <f t="shared" si="341"/>
        <v>Senecio</v>
      </c>
      <c r="K701" s="77" t="str">
        <f t="shared" si="341"/>
        <v>burtoni</v>
      </c>
      <c r="L701" s="78">
        <f t="shared" si="341"/>
        <v>6</v>
      </c>
      <c r="M701" s="78">
        <f t="shared" si="341"/>
        <v>12</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INDEX([1]!VISITORS[INSECT ORDER], MATCH(X701,[1]!VISITORS[NAME USED],0))</f>
        <v>#REF!</v>
      </c>
      <c r="AB701" s="48" t="e">
        <f t="shared" si="321"/>
        <v>#REF!</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17</v>
      </c>
      <c r="D702" s="75">
        <f t="shared" si="314"/>
        <v>3</v>
      </c>
      <c r="E702" s="76">
        <f t="shared" si="315"/>
        <v>24</v>
      </c>
      <c r="F702" s="80"/>
      <c r="G702" s="83"/>
      <c r="H702" s="69" t="str">
        <f t="shared" si="337"/>
        <v>Senbur6_20191117_03_00</v>
      </c>
      <c r="I702" s="70">
        <f t="shared" si="341"/>
        <v>1</v>
      </c>
      <c r="J702" s="77" t="str">
        <f t="shared" si="341"/>
        <v>Senecio</v>
      </c>
      <c r="K702" s="77" t="str">
        <f t="shared" si="341"/>
        <v>burtoni</v>
      </c>
      <c r="L702" s="78">
        <f t="shared" si="341"/>
        <v>6</v>
      </c>
      <c r="M702" s="78">
        <f t="shared" si="341"/>
        <v>12</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INDEX([1]!VISITORS[INSECT ORDER], MATCH(X702,[1]!VISITORS[NAME USED],0))</f>
        <v>#REF!</v>
      </c>
      <c r="AB702" s="48" t="e">
        <f t="shared" si="321"/>
        <v>#REF!</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17</v>
      </c>
      <c r="D703" s="75">
        <f t="shared" si="314"/>
        <v>3</v>
      </c>
      <c r="E703" s="76">
        <f t="shared" si="315"/>
        <v>25</v>
      </c>
      <c r="F703" s="80"/>
      <c r="G703" s="83"/>
      <c r="H703" s="69" t="str">
        <f t="shared" si="337"/>
        <v>Senbur6_20191117_03_00</v>
      </c>
      <c r="I703" s="70">
        <f t="shared" si="341"/>
        <v>1</v>
      </c>
      <c r="J703" s="77" t="str">
        <f t="shared" si="341"/>
        <v>Senecio</v>
      </c>
      <c r="K703" s="77" t="str">
        <f t="shared" si="341"/>
        <v>burtoni</v>
      </c>
      <c r="L703" s="78">
        <f t="shared" si="341"/>
        <v>6</v>
      </c>
      <c r="M703" s="78">
        <f t="shared" si="341"/>
        <v>12</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INDEX([1]!VISITORS[INSECT ORDER], MATCH(X703,[1]!VISITORS[NAME USED],0))</f>
        <v>#REF!</v>
      </c>
      <c r="AB703" s="48" t="e">
        <f t="shared" si="321"/>
        <v>#REF!</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17</v>
      </c>
      <c r="D704" s="75">
        <f t="shared" si="314"/>
        <v>3</v>
      </c>
      <c r="E704" s="76">
        <f t="shared" si="315"/>
        <v>26</v>
      </c>
      <c r="F704" s="80"/>
      <c r="G704" s="83"/>
      <c r="H704" s="69" t="str">
        <f t="shared" si="337"/>
        <v>Senbur6_20191117_03_00</v>
      </c>
      <c r="I704" s="70">
        <f t="shared" si="341"/>
        <v>1</v>
      </c>
      <c r="J704" s="77" t="str">
        <f t="shared" si="341"/>
        <v>Senecio</v>
      </c>
      <c r="K704" s="77" t="str">
        <f t="shared" si="341"/>
        <v>burtoni</v>
      </c>
      <c r="L704" s="78">
        <f t="shared" si="341"/>
        <v>6</v>
      </c>
      <c r="M704" s="78">
        <f t="shared" si="341"/>
        <v>12</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INDEX([1]!VISITORS[INSECT ORDER], MATCH(X704,[1]!VISITORS[NAME USED],0))</f>
        <v>#REF!</v>
      </c>
      <c r="AB704" s="48" t="e">
        <f t="shared" si="321"/>
        <v>#REF!</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17</v>
      </c>
      <c r="D705" s="75">
        <f t="shared" si="314"/>
        <v>3</v>
      </c>
      <c r="E705" s="76">
        <f t="shared" si="315"/>
        <v>27</v>
      </c>
      <c r="F705" s="80"/>
      <c r="G705" s="83"/>
      <c r="H705" s="69" t="str">
        <f t="shared" si="337"/>
        <v>Senbur6_20191117_03_00</v>
      </c>
      <c r="I705" s="70">
        <f t="shared" si="341"/>
        <v>1</v>
      </c>
      <c r="J705" s="77" t="str">
        <f t="shared" si="341"/>
        <v>Senecio</v>
      </c>
      <c r="K705" s="77" t="str">
        <f t="shared" si="341"/>
        <v>burtoni</v>
      </c>
      <c r="L705" s="78">
        <f t="shared" si="341"/>
        <v>6</v>
      </c>
      <c r="M705" s="78">
        <f t="shared" si="341"/>
        <v>12</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INDEX([1]!VISITORS[INSECT ORDER], MATCH(X705,[1]!VISITORS[NAME USED],0))</f>
        <v>#REF!</v>
      </c>
      <c r="AB705" s="48" t="e">
        <f t="shared" si="321"/>
        <v>#REF!</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17</v>
      </c>
      <c r="D706" s="75">
        <f t="shared" si="314"/>
        <v>3</v>
      </c>
      <c r="E706" s="76">
        <f t="shared" si="315"/>
        <v>28</v>
      </c>
      <c r="F706" s="80"/>
      <c r="G706" s="83"/>
      <c r="H706" s="69" t="str">
        <f t="shared" si="337"/>
        <v>Senbur6_20191117_03_00</v>
      </c>
      <c r="I706" s="70">
        <f t="shared" si="341"/>
        <v>1</v>
      </c>
      <c r="J706" s="77" t="str">
        <f t="shared" si="341"/>
        <v>Senecio</v>
      </c>
      <c r="K706" s="77" t="str">
        <f t="shared" si="341"/>
        <v>burtoni</v>
      </c>
      <c r="L706" s="78">
        <f t="shared" si="341"/>
        <v>6</v>
      </c>
      <c r="M706" s="78">
        <f t="shared" si="341"/>
        <v>12</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INDEX([1]!VISITORS[INSECT ORDER], MATCH(X706,[1]!VISITORS[NAME USED],0))</f>
        <v>#REF!</v>
      </c>
      <c r="AB706" s="48" t="e">
        <f t="shared" si="321"/>
        <v>#REF!</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17</v>
      </c>
      <c r="D707" s="75">
        <f t="shared" si="314"/>
        <v>3</v>
      </c>
      <c r="E707" s="76">
        <f t="shared" si="315"/>
        <v>29</v>
      </c>
      <c r="F707" s="80"/>
      <c r="G707" s="83"/>
      <c r="H707" s="69" t="str">
        <f t="shared" si="337"/>
        <v>Senbur6_20191117_03_00</v>
      </c>
      <c r="I707" s="70">
        <f t="shared" si="341"/>
        <v>1</v>
      </c>
      <c r="J707" s="77" t="str">
        <f t="shared" si="341"/>
        <v>Senecio</v>
      </c>
      <c r="K707" s="77" t="str">
        <f t="shared" si="341"/>
        <v>burtoni</v>
      </c>
      <c r="L707" s="78">
        <f t="shared" si="341"/>
        <v>6</v>
      </c>
      <c r="M707" s="78">
        <f t="shared" si="341"/>
        <v>12</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INDEX([1]!VISITORS[INSECT ORDER], MATCH(X707,[1]!VISITORS[NAME USED],0))</f>
        <v>#REF!</v>
      </c>
      <c r="AB707" s="48" t="e">
        <f t="shared" si="321"/>
        <v>#REF!</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17</v>
      </c>
      <c r="D708" s="75">
        <f t="shared" ref="D708:D771" si="345">IF(IF(E707=59,D707+1,D707)=24,0,IF(E707=59,D707+1,D707))</f>
        <v>3</v>
      </c>
      <c r="E708" s="76">
        <f t="shared" ref="E708:E771" si="346">IF(E707&lt;59,E707+1,0)</f>
        <v>30</v>
      </c>
      <c r="F708" s="80"/>
      <c r="G708" s="83"/>
      <c r="H708" s="69" t="str">
        <f t="shared" si="337"/>
        <v>Senbur6_20191117_03_00</v>
      </c>
      <c r="I708" s="70">
        <f t="shared" si="341"/>
        <v>1</v>
      </c>
      <c r="J708" s="77" t="str">
        <f t="shared" si="341"/>
        <v>Senecio</v>
      </c>
      <c r="K708" s="77" t="str">
        <f t="shared" si="341"/>
        <v>burtoni</v>
      </c>
      <c r="L708" s="78">
        <f t="shared" si="341"/>
        <v>6</v>
      </c>
      <c r="M708" s="78">
        <f t="shared" si="341"/>
        <v>12</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INDEX([1]!VISITORS[INSECT ORDER], MATCH(X708,[1]!VISITORS[NAME USED],0))</f>
        <v>#REF!</v>
      </c>
      <c r="AB708" s="48" t="e">
        <f t="shared" ref="AB708:AB771" si="352">IF(AA708&lt;&gt;0,"NA","")</f>
        <v>#REF!</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17</v>
      </c>
      <c r="D709" s="75">
        <f t="shared" si="345"/>
        <v>3</v>
      </c>
      <c r="E709" s="76">
        <f t="shared" si="346"/>
        <v>31</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Senbur6_20191117_03_00</v>
      </c>
      <c r="I709" s="70">
        <f t="shared" ref="I709:N724" si="369">I708</f>
        <v>1</v>
      </c>
      <c r="J709" s="77" t="str">
        <f t="shared" si="369"/>
        <v>Senecio</v>
      </c>
      <c r="K709" s="77" t="str">
        <f t="shared" si="369"/>
        <v>burtoni</v>
      </c>
      <c r="L709" s="78">
        <f t="shared" si="369"/>
        <v>6</v>
      </c>
      <c r="M709" s="78">
        <f t="shared" si="369"/>
        <v>12</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INDEX([1]!VISITORS[INSECT ORDER], MATCH(X709,[1]!VISITORS[NAME USED],0))</f>
        <v>#REF!</v>
      </c>
      <c r="AB709" s="48" t="e">
        <f t="shared" si="352"/>
        <v>#REF!</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17</v>
      </c>
      <c r="D710" s="75">
        <f t="shared" si="345"/>
        <v>3</v>
      </c>
      <c r="E710" s="76">
        <f t="shared" si="346"/>
        <v>32</v>
      </c>
      <c r="F710" s="80"/>
      <c r="G710" s="83"/>
      <c r="H710" s="69" t="str">
        <f t="shared" si="368"/>
        <v>Senbur6_20191117_03_00</v>
      </c>
      <c r="I710" s="70">
        <f t="shared" si="369"/>
        <v>1</v>
      </c>
      <c r="J710" s="77" t="str">
        <f t="shared" si="369"/>
        <v>Senecio</v>
      </c>
      <c r="K710" s="77" t="str">
        <f t="shared" si="369"/>
        <v>burtoni</v>
      </c>
      <c r="L710" s="78">
        <f t="shared" si="369"/>
        <v>6</v>
      </c>
      <c r="M710" s="78">
        <f t="shared" si="369"/>
        <v>12</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INDEX([1]!VISITORS[INSECT ORDER], MATCH(X710,[1]!VISITORS[NAME USED],0))</f>
        <v>#REF!</v>
      </c>
      <c r="AB710" s="48" t="e">
        <f t="shared" si="352"/>
        <v>#REF!</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17</v>
      </c>
      <c r="D711" s="75">
        <f t="shared" si="345"/>
        <v>3</v>
      </c>
      <c r="E711" s="76">
        <f t="shared" si="346"/>
        <v>33</v>
      </c>
      <c r="F711" s="80"/>
      <c r="G711" s="83"/>
      <c r="H711" s="69" t="str">
        <f t="shared" si="368"/>
        <v>Senbur6_20191117_03_00</v>
      </c>
      <c r="I711" s="70">
        <f t="shared" si="369"/>
        <v>1</v>
      </c>
      <c r="J711" s="77" t="str">
        <f t="shared" si="369"/>
        <v>Senecio</v>
      </c>
      <c r="K711" s="77" t="str">
        <f t="shared" si="369"/>
        <v>burtoni</v>
      </c>
      <c r="L711" s="78">
        <f t="shared" si="369"/>
        <v>6</v>
      </c>
      <c r="M711" s="78">
        <f t="shared" si="369"/>
        <v>12</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INDEX([1]!VISITORS[INSECT ORDER], MATCH(X711,[1]!VISITORS[NAME USED],0))</f>
        <v>#REF!</v>
      </c>
      <c r="AB711" s="48" t="e">
        <f t="shared" si="352"/>
        <v>#REF!</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17</v>
      </c>
      <c r="D712" s="75">
        <f t="shared" si="345"/>
        <v>3</v>
      </c>
      <c r="E712" s="76">
        <f t="shared" si="346"/>
        <v>34</v>
      </c>
      <c r="F712" s="80"/>
      <c r="G712" s="83"/>
      <c r="H712" s="69" t="str">
        <f t="shared" si="368"/>
        <v>Senbur6_20191117_03_00</v>
      </c>
      <c r="I712" s="70">
        <f t="shared" si="369"/>
        <v>1</v>
      </c>
      <c r="J712" s="77" t="str">
        <f t="shared" si="369"/>
        <v>Senecio</v>
      </c>
      <c r="K712" s="77" t="str">
        <f t="shared" si="369"/>
        <v>burtoni</v>
      </c>
      <c r="L712" s="78">
        <f t="shared" si="369"/>
        <v>6</v>
      </c>
      <c r="M712" s="78">
        <f t="shared" si="369"/>
        <v>12</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INDEX([1]!VISITORS[INSECT ORDER], MATCH(X712,[1]!VISITORS[NAME USED],0))</f>
        <v>#REF!</v>
      </c>
      <c r="AB712" s="48" t="e">
        <f t="shared" si="352"/>
        <v>#REF!</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17</v>
      </c>
      <c r="D713" s="75">
        <f t="shared" si="345"/>
        <v>3</v>
      </c>
      <c r="E713" s="76">
        <f t="shared" si="346"/>
        <v>35</v>
      </c>
      <c r="F713" s="80"/>
      <c r="G713" s="83"/>
      <c r="H713" s="69" t="str">
        <f t="shared" si="368"/>
        <v>Senbur6_20191117_03_00</v>
      </c>
      <c r="I713" s="70">
        <f t="shared" si="369"/>
        <v>1</v>
      </c>
      <c r="J713" s="77" t="str">
        <f t="shared" si="369"/>
        <v>Senecio</v>
      </c>
      <c r="K713" s="77" t="str">
        <f t="shared" si="369"/>
        <v>burtoni</v>
      </c>
      <c r="L713" s="78">
        <f t="shared" si="369"/>
        <v>6</v>
      </c>
      <c r="M713" s="78">
        <f t="shared" si="369"/>
        <v>12</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INDEX([1]!VISITORS[INSECT ORDER], MATCH(X713,[1]!VISITORS[NAME USED],0))</f>
        <v>#REF!</v>
      </c>
      <c r="AB713" s="48" t="e">
        <f t="shared" si="352"/>
        <v>#REF!</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17</v>
      </c>
      <c r="D714" s="75">
        <f t="shared" si="345"/>
        <v>3</v>
      </c>
      <c r="E714" s="76">
        <f t="shared" si="346"/>
        <v>36</v>
      </c>
      <c r="F714" s="80"/>
      <c r="G714" s="83"/>
      <c r="H714" s="69" t="str">
        <f t="shared" si="368"/>
        <v>Senbur6_20191117_03_00</v>
      </c>
      <c r="I714" s="70">
        <f t="shared" si="369"/>
        <v>1</v>
      </c>
      <c r="J714" s="77" t="str">
        <f t="shared" si="369"/>
        <v>Senecio</v>
      </c>
      <c r="K714" s="77" t="str">
        <f t="shared" si="369"/>
        <v>burtoni</v>
      </c>
      <c r="L714" s="78">
        <f t="shared" si="369"/>
        <v>6</v>
      </c>
      <c r="M714" s="78">
        <f t="shared" si="369"/>
        <v>12</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INDEX([1]!VISITORS[INSECT ORDER], MATCH(X714,[1]!VISITORS[NAME USED],0))</f>
        <v>#REF!</v>
      </c>
      <c r="AB714" s="48" t="e">
        <f t="shared" si="352"/>
        <v>#REF!</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17</v>
      </c>
      <c r="D715" s="75">
        <f t="shared" si="345"/>
        <v>3</v>
      </c>
      <c r="E715" s="76">
        <f t="shared" si="346"/>
        <v>37</v>
      </c>
      <c r="F715" s="80"/>
      <c r="G715" s="83"/>
      <c r="H715" s="69" t="str">
        <f t="shared" si="368"/>
        <v>Senbur6_20191117_03_00</v>
      </c>
      <c r="I715" s="70">
        <f t="shared" si="369"/>
        <v>1</v>
      </c>
      <c r="J715" s="77" t="str">
        <f t="shared" si="369"/>
        <v>Senecio</v>
      </c>
      <c r="K715" s="77" t="str">
        <f t="shared" si="369"/>
        <v>burtoni</v>
      </c>
      <c r="L715" s="78">
        <f t="shared" si="369"/>
        <v>6</v>
      </c>
      <c r="M715" s="78">
        <f t="shared" si="369"/>
        <v>12</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INDEX([1]!VISITORS[INSECT ORDER], MATCH(X715,[1]!VISITORS[NAME USED],0))</f>
        <v>#REF!</v>
      </c>
      <c r="AB715" s="48" t="e">
        <f t="shared" si="352"/>
        <v>#REF!</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17</v>
      </c>
      <c r="D716" s="75">
        <f t="shared" si="345"/>
        <v>3</v>
      </c>
      <c r="E716" s="76">
        <f t="shared" si="346"/>
        <v>38</v>
      </c>
      <c r="F716" s="80"/>
      <c r="G716" s="83"/>
      <c r="H716" s="69" t="str">
        <f t="shared" si="368"/>
        <v>Senbur6_20191117_03_00</v>
      </c>
      <c r="I716" s="70">
        <f t="shared" si="369"/>
        <v>1</v>
      </c>
      <c r="J716" s="77" t="str">
        <f t="shared" si="369"/>
        <v>Senecio</v>
      </c>
      <c r="K716" s="77" t="str">
        <f t="shared" si="369"/>
        <v>burtoni</v>
      </c>
      <c r="L716" s="78">
        <f t="shared" si="369"/>
        <v>6</v>
      </c>
      <c r="M716" s="78">
        <f t="shared" si="369"/>
        <v>12</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INDEX([1]!VISITORS[INSECT ORDER], MATCH(X716,[1]!VISITORS[NAME USED],0))</f>
        <v>#REF!</v>
      </c>
      <c r="AB716" s="48" t="e">
        <f t="shared" si="352"/>
        <v>#REF!</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17</v>
      </c>
      <c r="D717" s="75">
        <f t="shared" si="345"/>
        <v>3</v>
      </c>
      <c r="E717" s="76">
        <f t="shared" si="346"/>
        <v>39</v>
      </c>
      <c r="F717" s="80"/>
      <c r="G717" s="83"/>
      <c r="H717" s="69" t="str">
        <f t="shared" si="368"/>
        <v>Senbur6_20191117_03_00</v>
      </c>
      <c r="I717" s="70">
        <f t="shared" si="369"/>
        <v>1</v>
      </c>
      <c r="J717" s="77" t="str">
        <f t="shared" si="369"/>
        <v>Senecio</v>
      </c>
      <c r="K717" s="77" t="str">
        <f t="shared" si="369"/>
        <v>burtoni</v>
      </c>
      <c r="L717" s="78">
        <f t="shared" si="369"/>
        <v>6</v>
      </c>
      <c r="M717" s="78">
        <f t="shared" si="369"/>
        <v>12</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INDEX([1]!VISITORS[INSECT ORDER], MATCH(X717,[1]!VISITORS[NAME USED],0))</f>
        <v>#REF!</v>
      </c>
      <c r="AB717" s="48" t="e">
        <f t="shared" si="352"/>
        <v>#REF!</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17</v>
      </c>
      <c r="D718" s="75">
        <f t="shared" si="345"/>
        <v>3</v>
      </c>
      <c r="E718" s="76">
        <f t="shared" si="346"/>
        <v>40</v>
      </c>
      <c r="F718" s="80"/>
      <c r="G718" s="83"/>
      <c r="H718" s="69" t="str">
        <f t="shared" si="368"/>
        <v>Senbur6_20191117_03_00</v>
      </c>
      <c r="I718" s="70">
        <f t="shared" si="369"/>
        <v>1</v>
      </c>
      <c r="J718" s="77" t="str">
        <f t="shared" si="369"/>
        <v>Senecio</v>
      </c>
      <c r="K718" s="77" t="str">
        <f t="shared" si="369"/>
        <v>burtoni</v>
      </c>
      <c r="L718" s="78">
        <f t="shared" si="369"/>
        <v>6</v>
      </c>
      <c r="M718" s="78">
        <f t="shared" si="369"/>
        <v>12</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INDEX([1]!VISITORS[INSECT ORDER], MATCH(X718,[1]!VISITORS[NAME USED],0))</f>
        <v>#REF!</v>
      </c>
      <c r="AB718" s="48" t="e">
        <f t="shared" si="352"/>
        <v>#REF!</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17</v>
      </c>
      <c r="D719" s="75">
        <f t="shared" si="345"/>
        <v>3</v>
      </c>
      <c r="E719" s="76">
        <f t="shared" si="346"/>
        <v>41</v>
      </c>
      <c r="F719" s="80"/>
      <c r="G719" s="83"/>
      <c r="H719" s="69" t="str">
        <f t="shared" si="368"/>
        <v>Senbur6_20191117_03_00</v>
      </c>
      <c r="I719" s="70">
        <f t="shared" si="369"/>
        <v>1</v>
      </c>
      <c r="J719" s="77" t="str">
        <f t="shared" si="369"/>
        <v>Senecio</v>
      </c>
      <c r="K719" s="77" t="str">
        <f t="shared" si="369"/>
        <v>burtoni</v>
      </c>
      <c r="L719" s="78">
        <f t="shared" si="369"/>
        <v>6</v>
      </c>
      <c r="M719" s="78">
        <f t="shared" si="369"/>
        <v>12</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INDEX([1]!VISITORS[INSECT ORDER], MATCH(X719,[1]!VISITORS[NAME USED],0))</f>
        <v>#REF!</v>
      </c>
      <c r="AB719" s="48" t="e">
        <f t="shared" si="352"/>
        <v>#REF!</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17</v>
      </c>
      <c r="D720" s="75">
        <f t="shared" si="345"/>
        <v>3</v>
      </c>
      <c r="E720" s="76">
        <f t="shared" si="346"/>
        <v>42</v>
      </c>
      <c r="F720" s="80"/>
      <c r="G720" s="83"/>
      <c r="H720" s="69" t="str">
        <f t="shared" si="368"/>
        <v>Senbur6_20191117_03_00</v>
      </c>
      <c r="I720" s="70">
        <f t="shared" si="369"/>
        <v>1</v>
      </c>
      <c r="J720" s="77" t="str">
        <f t="shared" si="369"/>
        <v>Senecio</v>
      </c>
      <c r="K720" s="77" t="str">
        <f t="shared" si="369"/>
        <v>burtoni</v>
      </c>
      <c r="L720" s="78">
        <f t="shared" si="369"/>
        <v>6</v>
      </c>
      <c r="M720" s="78">
        <f t="shared" si="369"/>
        <v>12</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INDEX([1]!VISITORS[INSECT ORDER], MATCH(X720,[1]!VISITORS[NAME USED],0))</f>
        <v>#REF!</v>
      </c>
      <c r="AB720" s="48" t="e">
        <f t="shared" si="352"/>
        <v>#REF!</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17</v>
      </c>
      <c r="D721" s="75">
        <f t="shared" si="345"/>
        <v>3</v>
      </c>
      <c r="E721" s="76">
        <f t="shared" si="346"/>
        <v>43</v>
      </c>
      <c r="F721" s="80"/>
      <c r="G721" s="83"/>
      <c r="H721" s="69" t="str">
        <f t="shared" si="368"/>
        <v>Senbur6_20191117_03_00</v>
      </c>
      <c r="I721" s="70">
        <f t="shared" si="369"/>
        <v>1</v>
      </c>
      <c r="J721" s="77" t="str">
        <f t="shared" si="369"/>
        <v>Senecio</v>
      </c>
      <c r="K721" s="77" t="str">
        <f t="shared" si="369"/>
        <v>burtoni</v>
      </c>
      <c r="L721" s="78">
        <f t="shared" si="369"/>
        <v>6</v>
      </c>
      <c r="M721" s="78">
        <f t="shared" si="369"/>
        <v>12</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INDEX([1]!VISITORS[INSECT ORDER], MATCH(X721,[1]!VISITORS[NAME USED],0))</f>
        <v>#REF!</v>
      </c>
      <c r="AB721" s="48" t="e">
        <f t="shared" si="352"/>
        <v>#REF!</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17</v>
      </c>
      <c r="D722" s="75">
        <f t="shared" si="345"/>
        <v>3</v>
      </c>
      <c r="E722" s="76">
        <f t="shared" si="346"/>
        <v>44</v>
      </c>
      <c r="F722" s="80"/>
      <c r="G722" s="83"/>
      <c r="H722" s="69" t="str">
        <f t="shared" si="368"/>
        <v>Senbur6_20191117_03_00</v>
      </c>
      <c r="I722" s="70">
        <f t="shared" si="369"/>
        <v>1</v>
      </c>
      <c r="J722" s="77" t="str">
        <f t="shared" si="369"/>
        <v>Senecio</v>
      </c>
      <c r="K722" s="77" t="str">
        <f t="shared" si="369"/>
        <v>burtoni</v>
      </c>
      <c r="L722" s="78">
        <f t="shared" si="369"/>
        <v>6</v>
      </c>
      <c r="M722" s="78">
        <f t="shared" si="369"/>
        <v>12</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INDEX([1]!VISITORS[INSECT ORDER], MATCH(X722,[1]!VISITORS[NAME USED],0))</f>
        <v>#REF!</v>
      </c>
      <c r="AB722" s="48" t="e">
        <f t="shared" si="352"/>
        <v>#REF!</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17</v>
      </c>
      <c r="D723" s="75">
        <f t="shared" si="345"/>
        <v>3</v>
      </c>
      <c r="E723" s="76">
        <f t="shared" si="346"/>
        <v>45</v>
      </c>
      <c r="F723" s="80"/>
      <c r="G723" s="83"/>
      <c r="H723" s="69" t="str">
        <f t="shared" si="368"/>
        <v>Senbur6_20191117_03_00</v>
      </c>
      <c r="I723" s="70">
        <f t="shared" si="369"/>
        <v>1</v>
      </c>
      <c r="J723" s="77" t="str">
        <f t="shared" si="369"/>
        <v>Senecio</v>
      </c>
      <c r="K723" s="77" t="str">
        <f t="shared" si="369"/>
        <v>burtoni</v>
      </c>
      <c r="L723" s="78">
        <f t="shared" si="369"/>
        <v>6</v>
      </c>
      <c r="M723" s="78">
        <f t="shared" si="369"/>
        <v>12</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INDEX([1]!VISITORS[INSECT ORDER], MATCH(X723,[1]!VISITORS[NAME USED],0))</f>
        <v>#REF!</v>
      </c>
      <c r="AB723" s="48" t="e">
        <f t="shared" si="352"/>
        <v>#REF!</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17</v>
      </c>
      <c r="D724" s="75">
        <f t="shared" si="345"/>
        <v>3</v>
      </c>
      <c r="E724" s="76">
        <f t="shared" si="346"/>
        <v>46</v>
      </c>
      <c r="F724" s="80"/>
      <c r="G724" s="83"/>
      <c r="H724" s="69" t="str">
        <f t="shared" si="368"/>
        <v>Senbur6_20191117_03_00</v>
      </c>
      <c r="I724" s="70">
        <f t="shared" si="369"/>
        <v>1</v>
      </c>
      <c r="J724" s="77" t="str">
        <f t="shared" si="369"/>
        <v>Senecio</v>
      </c>
      <c r="K724" s="77" t="str">
        <f t="shared" si="369"/>
        <v>burtoni</v>
      </c>
      <c r="L724" s="78">
        <f t="shared" si="369"/>
        <v>6</v>
      </c>
      <c r="M724" s="78">
        <f t="shared" si="369"/>
        <v>12</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INDEX([1]!VISITORS[INSECT ORDER], MATCH(X724,[1]!VISITORS[NAME USED],0))</f>
        <v>#REF!</v>
      </c>
      <c r="AB724" s="48" t="e">
        <f t="shared" si="352"/>
        <v>#REF!</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17</v>
      </c>
      <c r="D725" s="75">
        <f t="shared" si="345"/>
        <v>3</v>
      </c>
      <c r="E725" s="76">
        <f t="shared" si="346"/>
        <v>47</v>
      </c>
      <c r="F725" s="80"/>
      <c r="G725" s="83"/>
      <c r="H725" s="69" t="str">
        <f t="shared" si="368"/>
        <v>Senbur6_20191117_03_00</v>
      </c>
      <c r="I725" s="70">
        <f t="shared" ref="I725:N740" si="370">I724</f>
        <v>1</v>
      </c>
      <c r="J725" s="77" t="str">
        <f t="shared" si="370"/>
        <v>Senecio</v>
      </c>
      <c r="K725" s="77" t="str">
        <f t="shared" si="370"/>
        <v>burtoni</v>
      </c>
      <c r="L725" s="78">
        <f t="shared" si="370"/>
        <v>6</v>
      </c>
      <c r="M725" s="78">
        <f t="shared" si="370"/>
        <v>12</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INDEX([1]!VISITORS[INSECT ORDER], MATCH(X725,[1]!VISITORS[NAME USED],0))</f>
        <v>#REF!</v>
      </c>
      <c r="AB725" s="48" t="e">
        <f t="shared" si="352"/>
        <v>#REF!</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17</v>
      </c>
      <c r="D726" s="75">
        <f t="shared" si="345"/>
        <v>3</v>
      </c>
      <c r="E726" s="76">
        <f t="shared" si="346"/>
        <v>48</v>
      </c>
      <c r="F726" s="80"/>
      <c r="G726" s="83"/>
      <c r="H726" s="69" t="str">
        <f t="shared" si="368"/>
        <v>Senbur6_20191117_03_00</v>
      </c>
      <c r="I726" s="70">
        <f t="shared" si="370"/>
        <v>1</v>
      </c>
      <c r="J726" s="77" t="str">
        <f t="shared" si="370"/>
        <v>Senecio</v>
      </c>
      <c r="K726" s="77" t="str">
        <f t="shared" si="370"/>
        <v>burtoni</v>
      </c>
      <c r="L726" s="78">
        <f t="shared" si="370"/>
        <v>6</v>
      </c>
      <c r="M726" s="78">
        <f t="shared" si="370"/>
        <v>12</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INDEX([1]!VISITORS[INSECT ORDER], MATCH(X726,[1]!VISITORS[NAME USED],0))</f>
        <v>#REF!</v>
      </c>
      <c r="AB726" s="48" t="e">
        <f t="shared" si="352"/>
        <v>#REF!</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17</v>
      </c>
      <c r="D727" s="75">
        <f t="shared" si="345"/>
        <v>3</v>
      </c>
      <c r="E727" s="76">
        <f t="shared" si="346"/>
        <v>49</v>
      </c>
      <c r="F727" s="80"/>
      <c r="G727" s="83"/>
      <c r="H727" s="69" t="str">
        <f t="shared" si="368"/>
        <v>Senbur6_20191117_03_00</v>
      </c>
      <c r="I727" s="70">
        <f t="shared" si="370"/>
        <v>1</v>
      </c>
      <c r="J727" s="77" t="str">
        <f t="shared" si="370"/>
        <v>Senecio</v>
      </c>
      <c r="K727" s="77" t="str">
        <f t="shared" si="370"/>
        <v>burtoni</v>
      </c>
      <c r="L727" s="78">
        <f t="shared" si="370"/>
        <v>6</v>
      </c>
      <c r="M727" s="78">
        <f t="shared" si="370"/>
        <v>12</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INDEX([1]!VISITORS[INSECT ORDER], MATCH(X727,[1]!VISITORS[NAME USED],0))</f>
        <v>#REF!</v>
      </c>
      <c r="AB727" s="48" t="e">
        <f t="shared" si="352"/>
        <v>#REF!</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17</v>
      </c>
      <c r="D728" s="75">
        <f t="shared" si="345"/>
        <v>3</v>
      </c>
      <c r="E728" s="76">
        <f t="shared" si="346"/>
        <v>50</v>
      </c>
      <c r="F728" s="80"/>
      <c r="G728" s="83"/>
      <c r="H728" s="69" t="str">
        <f t="shared" si="368"/>
        <v>Senbur6_20191117_03_00</v>
      </c>
      <c r="I728" s="70">
        <f t="shared" si="370"/>
        <v>1</v>
      </c>
      <c r="J728" s="77" t="str">
        <f t="shared" si="370"/>
        <v>Senecio</v>
      </c>
      <c r="K728" s="77" t="str">
        <f t="shared" si="370"/>
        <v>burtoni</v>
      </c>
      <c r="L728" s="78">
        <f t="shared" si="370"/>
        <v>6</v>
      </c>
      <c r="M728" s="78">
        <f t="shared" si="370"/>
        <v>12</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INDEX([1]!VISITORS[INSECT ORDER], MATCH(X728,[1]!VISITORS[NAME USED],0))</f>
        <v>#REF!</v>
      </c>
      <c r="AB728" s="48" t="e">
        <f t="shared" si="352"/>
        <v>#REF!</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17</v>
      </c>
      <c r="D729" s="75">
        <f t="shared" si="345"/>
        <v>3</v>
      </c>
      <c r="E729" s="76">
        <f t="shared" si="346"/>
        <v>51</v>
      </c>
      <c r="F729" s="80"/>
      <c r="G729" s="83"/>
      <c r="H729" s="69" t="str">
        <f t="shared" si="368"/>
        <v>Senbur6_20191117_03_00</v>
      </c>
      <c r="I729" s="70">
        <f t="shared" si="370"/>
        <v>1</v>
      </c>
      <c r="J729" s="77" t="str">
        <f t="shared" si="370"/>
        <v>Senecio</v>
      </c>
      <c r="K729" s="77" t="str">
        <f t="shared" si="370"/>
        <v>burtoni</v>
      </c>
      <c r="L729" s="78">
        <f t="shared" si="370"/>
        <v>6</v>
      </c>
      <c r="M729" s="78">
        <f t="shared" si="370"/>
        <v>12</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INDEX([1]!VISITORS[INSECT ORDER], MATCH(X729,[1]!VISITORS[NAME USED],0))</f>
        <v>#REF!</v>
      </c>
      <c r="AB729" s="48" t="e">
        <f t="shared" si="352"/>
        <v>#REF!</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17</v>
      </c>
      <c r="D730" s="75">
        <f t="shared" si="345"/>
        <v>3</v>
      </c>
      <c r="E730" s="76">
        <f t="shared" si="346"/>
        <v>52</v>
      </c>
      <c r="F730" s="80"/>
      <c r="G730" s="83"/>
      <c r="H730" s="69" t="str">
        <f t="shared" si="368"/>
        <v>Senbur6_20191117_03_00</v>
      </c>
      <c r="I730" s="70">
        <f t="shared" si="370"/>
        <v>1</v>
      </c>
      <c r="J730" s="77" t="str">
        <f t="shared" si="370"/>
        <v>Senecio</v>
      </c>
      <c r="K730" s="77" t="str">
        <f t="shared" si="370"/>
        <v>burtoni</v>
      </c>
      <c r="L730" s="78">
        <f t="shared" si="370"/>
        <v>6</v>
      </c>
      <c r="M730" s="78">
        <f t="shared" si="370"/>
        <v>12</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INDEX([1]!VISITORS[INSECT ORDER], MATCH(X730,[1]!VISITORS[NAME USED],0))</f>
        <v>#REF!</v>
      </c>
      <c r="AB730" s="48" t="e">
        <f t="shared" si="352"/>
        <v>#REF!</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17</v>
      </c>
      <c r="D731" s="75">
        <f t="shared" si="345"/>
        <v>3</v>
      </c>
      <c r="E731" s="76">
        <f t="shared" si="346"/>
        <v>53</v>
      </c>
      <c r="F731" s="80"/>
      <c r="G731" s="83"/>
      <c r="H731" s="69" t="str">
        <f t="shared" si="368"/>
        <v>Senbur6_20191117_03_00</v>
      </c>
      <c r="I731" s="70">
        <f t="shared" si="370"/>
        <v>1</v>
      </c>
      <c r="J731" s="77" t="str">
        <f t="shared" si="370"/>
        <v>Senecio</v>
      </c>
      <c r="K731" s="77" t="str">
        <f t="shared" si="370"/>
        <v>burtoni</v>
      </c>
      <c r="L731" s="78">
        <f t="shared" si="370"/>
        <v>6</v>
      </c>
      <c r="M731" s="78">
        <f t="shared" si="370"/>
        <v>12</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INDEX([1]!VISITORS[INSECT ORDER], MATCH(X731,[1]!VISITORS[NAME USED],0))</f>
        <v>#REF!</v>
      </c>
      <c r="AB731" s="48" t="e">
        <f t="shared" si="352"/>
        <v>#REF!</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17</v>
      </c>
      <c r="D732" s="75">
        <f t="shared" si="345"/>
        <v>3</v>
      </c>
      <c r="E732" s="76">
        <f t="shared" si="346"/>
        <v>54</v>
      </c>
      <c r="F732" s="80"/>
      <c r="G732" s="83"/>
      <c r="H732" s="69" t="str">
        <f t="shared" si="368"/>
        <v>Senbur6_20191117_03_00</v>
      </c>
      <c r="I732" s="70">
        <f t="shared" si="370"/>
        <v>1</v>
      </c>
      <c r="J732" s="77" t="str">
        <f t="shared" si="370"/>
        <v>Senecio</v>
      </c>
      <c r="K732" s="77" t="str">
        <f t="shared" si="370"/>
        <v>burtoni</v>
      </c>
      <c r="L732" s="78">
        <f t="shared" si="370"/>
        <v>6</v>
      </c>
      <c r="M732" s="78">
        <f t="shared" si="370"/>
        <v>12</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INDEX([1]!VISITORS[INSECT ORDER], MATCH(X732,[1]!VISITORS[NAME USED],0))</f>
        <v>#REF!</v>
      </c>
      <c r="AB732" s="48" t="e">
        <f t="shared" si="352"/>
        <v>#REF!</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17</v>
      </c>
      <c r="D733" s="75">
        <f t="shared" si="345"/>
        <v>3</v>
      </c>
      <c r="E733" s="76">
        <f t="shared" si="346"/>
        <v>55</v>
      </c>
      <c r="F733" s="80"/>
      <c r="G733" s="83"/>
      <c r="H733" s="69" t="str">
        <f t="shared" si="368"/>
        <v>Senbur6_20191117_03_00</v>
      </c>
      <c r="I733" s="70">
        <f t="shared" si="370"/>
        <v>1</v>
      </c>
      <c r="J733" s="77" t="str">
        <f t="shared" si="370"/>
        <v>Senecio</v>
      </c>
      <c r="K733" s="77" t="str">
        <f t="shared" si="370"/>
        <v>burtoni</v>
      </c>
      <c r="L733" s="78">
        <f t="shared" si="370"/>
        <v>6</v>
      </c>
      <c r="M733" s="78">
        <f t="shared" si="370"/>
        <v>12</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INDEX([1]!VISITORS[INSECT ORDER], MATCH(X733,[1]!VISITORS[NAME USED],0))</f>
        <v>#REF!</v>
      </c>
      <c r="AB733" s="48" t="e">
        <f t="shared" si="352"/>
        <v>#REF!</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17</v>
      </c>
      <c r="D734" s="75">
        <f t="shared" si="345"/>
        <v>3</v>
      </c>
      <c r="E734" s="76">
        <f t="shared" si="346"/>
        <v>56</v>
      </c>
      <c r="F734" s="80"/>
      <c r="G734" s="83"/>
      <c r="H734" s="69" t="str">
        <f t="shared" si="368"/>
        <v>Senbur6_20191117_03_00</v>
      </c>
      <c r="I734" s="70">
        <f t="shared" si="370"/>
        <v>1</v>
      </c>
      <c r="J734" s="77" t="str">
        <f t="shared" si="370"/>
        <v>Senecio</v>
      </c>
      <c r="K734" s="77" t="str">
        <f t="shared" si="370"/>
        <v>burtoni</v>
      </c>
      <c r="L734" s="78">
        <f t="shared" si="370"/>
        <v>6</v>
      </c>
      <c r="M734" s="78">
        <f t="shared" si="370"/>
        <v>12</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INDEX([1]!VISITORS[INSECT ORDER], MATCH(X734,[1]!VISITORS[NAME USED],0))</f>
        <v>#REF!</v>
      </c>
      <c r="AB734" s="48" t="e">
        <f t="shared" si="352"/>
        <v>#REF!</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17</v>
      </c>
      <c r="D735" s="75">
        <f t="shared" si="345"/>
        <v>3</v>
      </c>
      <c r="E735" s="76">
        <f t="shared" si="346"/>
        <v>57</v>
      </c>
      <c r="F735" s="80"/>
      <c r="G735" s="83"/>
      <c r="H735" s="69" t="str">
        <f t="shared" si="368"/>
        <v>Senbur6_20191117_03_00</v>
      </c>
      <c r="I735" s="70">
        <f t="shared" si="370"/>
        <v>1</v>
      </c>
      <c r="J735" s="77" t="str">
        <f t="shared" si="370"/>
        <v>Senecio</v>
      </c>
      <c r="K735" s="77" t="str">
        <f t="shared" si="370"/>
        <v>burtoni</v>
      </c>
      <c r="L735" s="78">
        <f t="shared" si="370"/>
        <v>6</v>
      </c>
      <c r="M735" s="78">
        <f t="shared" si="370"/>
        <v>12</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INDEX([1]!VISITORS[INSECT ORDER], MATCH(X735,[1]!VISITORS[NAME USED],0))</f>
        <v>#REF!</v>
      </c>
      <c r="AB735" s="48" t="e">
        <f t="shared" si="352"/>
        <v>#REF!</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17</v>
      </c>
      <c r="D736" s="75">
        <f t="shared" si="345"/>
        <v>3</v>
      </c>
      <c r="E736" s="76">
        <f t="shared" si="346"/>
        <v>58</v>
      </c>
      <c r="F736" s="80"/>
      <c r="G736" s="83"/>
      <c r="H736" s="69" t="str">
        <f t="shared" si="368"/>
        <v>Senbur6_20191117_03_00</v>
      </c>
      <c r="I736" s="70">
        <f t="shared" si="370"/>
        <v>1</v>
      </c>
      <c r="J736" s="77" t="str">
        <f t="shared" si="370"/>
        <v>Senecio</v>
      </c>
      <c r="K736" s="77" t="str">
        <f t="shared" si="370"/>
        <v>burtoni</v>
      </c>
      <c r="L736" s="78">
        <f t="shared" si="370"/>
        <v>6</v>
      </c>
      <c r="M736" s="78">
        <f t="shared" si="370"/>
        <v>12</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INDEX([1]!VISITORS[INSECT ORDER], MATCH(X736,[1]!VISITORS[NAME USED],0))</f>
        <v>#REF!</v>
      </c>
      <c r="AB736" s="48" t="e">
        <f t="shared" si="352"/>
        <v>#REF!</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17</v>
      </c>
      <c r="D737" s="75">
        <f t="shared" si="345"/>
        <v>3</v>
      </c>
      <c r="E737" s="76">
        <f t="shared" si="346"/>
        <v>59</v>
      </c>
      <c r="F737" s="80"/>
      <c r="G737" s="83"/>
      <c r="H737" s="69" t="str">
        <f t="shared" si="368"/>
        <v>Senbur6_20191117_03_00</v>
      </c>
      <c r="I737" s="70">
        <f t="shared" si="370"/>
        <v>1</v>
      </c>
      <c r="J737" s="77" t="str">
        <f t="shared" si="370"/>
        <v>Senecio</v>
      </c>
      <c r="K737" s="77" t="str">
        <f t="shared" si="370"/>
        <v>burtoni</v>
      </c>
      <c r="L737" s="78">
        <f t="shared" si="370"/>
        <v>6</v>
      </c>
      <c r="M737" s="78">
        <f t="shared" si="370"/>
        <v>12</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INDEX([1]!VISITORS[INSECT ORDER], MATCH(X737,[1]!VISITORS[NAME USED],0))</f>
        <v>#REF!</v>
      </c>
      <c r="AB737" s="48" t="e">
        <f t="shared" si="352"/>
        <v>#REF!</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17</v>
      </c>
      <c r="D738" s="75">
        <f t="shared" si="345"/>
        <v>4</v>
      </c>
      <c r="E738" s="76">
        <f t="shared" si="346"/>
        <v>0</v>
      </c>
      <c r="F738" s="80"/>
      <c r="G738" s="83"/>
      <c r="H738" s="69" t="str">
        <f t="shared" si="368"/>
        <v>Senbur6_20191117_04_00</v>
      </c>
      <c r="I738" s="70">
        <f t="shared" si="370"/>
        <v>1</v>
      </c>
      <c r="J738" s="77" t="str">
        <f t="shared" si="370"/>
        <v>Senecio</v>
      </c>
      <c r="K738" s="77" t="str">
        <f t="shared" si="370"/>
        <v>burtoni</v>
      </c>
      <c r="L738" s="78">
        <f t="shared" si="370"/>
        <v>6</v>
      </c>
      <c r="M738" s="78">
        <f t="shared" si="370"/>
        <v>12</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INDEX([1]!VISITORS[INSECT ORDER], MATCH(X738,[1]!VISITORS[NAME USED],0))</f>
        <v>#REF!</v>
      </c>
      <c r="AB738" s="48" t="e">
        <f t="shared" si="352"/>
        <v>#REF!</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17</v>
      </c>
      <c r="D739" s="75">
        <f t="shared" si="345"/>
        <v>4</v>
      </c>
      <c r="E739" s="76">
        <f t="shared" si="346"/>
        <v>1</v>
      </c>
      <c r="F739" s="80"/>
      <c r="G739" s="83"/>
      <c r="H739" s="69" t="str">
        <f t="shared" si="368"/>
        <v>Senbur6_20191117_04_00</v>
      </c>
      <c r="I739" s="70">
        <f t="shared" si="370"/>
        <v>1</v>
      </c>
      <c r="J739" s="77" t="str">
        <f t="shared" si="370"/>
        <v>Senecio</v>
      </c>
      <c r="K739" s="77" t="str">
        <f t="shared" si="370"/>
        <v>burtoni</v>
      </c>
      <c r="L739" s="78">
        <f t="shared" si="370"/>
        <v>6</v>
      </c>
      <c r="M739" s="78">
        <f t="shared" si="370"/>
        <v>12</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INDEX([1]!VISITORS[INSECT ORDER], MATCH(X739,[1]!VISITORS[NAME USED],0))</f>
        <v>#REF!</v>
      </c>
      <c r="AB739" s="48" t="e">
        <f t="shared" si="352"/>
        <v>#REF!</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17</v>
      </c>
      <c r="D740" s="75">
        <f t="shared" si="345"/>
        <v>4</v>
      </c>
      <c r="E740" s="76">
        <f t="shared" si="346"/>
        <v>2</v>
      </c>
      <c r="F740" s="80"/>
      <c r="G740" s="83"/>
      <c r="H740" s="69" t="str">
        <f t="shared" si="368"/>
        <v>Senbur6_20191117_04_00</v>
      </c>
      <c r="I740" s="70">
        <f t="shared" si="370"/>
        <v>1</v>
      </c>
      <c r="J740" s="77" t="str">
        <f t="shared" si="370"/>
        <v>Senecio</v>
      </c>
      <c r="K740" s="77" t="str">
        <f t="shared" si="370"/>
        <v>burtoni</v>
      </c>
      <c r="L740" s="78">
        <f t="shared" si="370"/>
        <v>6</v>
      </c>
      <c r="M740" s="78">
        <f t="shared" si="370"/>
        <v>12</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INDEX([1]!VISITORS[INSECT ORDER], MATCH(X740,[1]!VISITORS[NAME USED],0))</f>
        <v>#REF!</v>
      </c>
      <c r="AB740" s="48" t="e">
        <f t="shared" si="352"/>
        <v>#REF!</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17</v>
      </c>
      <c r="D741" s="75">
        <f t="shared" si="345"/>
        <v>4</v>
      </c>
      <c r="E741" s="76">
        <f t="shared" si="346"/>
        <v>3</v>
      </c>
      <c r="F741" s="80"/>
      <c r="G741" s="83"/>
      <c r="H741" s="69" t="str">
        <f t="shared" si="368"/>
        <v>Senbur6_20191117_04_00</v>
      </c>
      <c r="I741" s="70">
        <f t="shared" ref="I741:N756" si="371">I740</f>
        <v>1</v>
      </c>
      <c r="J741" s="77" t="str">
        <f t="shared" si="371"/>
        <v>Senecio</v>
      </c>
      <c r="K741" s="77" t="str">
        <f t="shared" si="371"/>
        <v>burtoni</v>
      </c>
      <c r="L741" s="78">
        <f t="shared" si="371"/>
        <v>6</v>
      </c>
      <c r="M741" s="78">
        <f t="shared" si="371"/>
        <v>12</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INDEX([1]!VISITORS[INSECT ORDER], MATCH(X741,[1]!VISITORS[NAME USED],0))</f>
        <v>#REF!</v>
      </c>
      <c r="AB741" s="48" t="e">
        <f t="shared" si="352"/>
        <v>#REF!</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17</v>
      </c>
      <c r="D742" s="75">
        <f t="shared" si="345"/>
        <v>4</v>
      </c>
      <c r="E742" s="76">
        <f t="shared" si="346"/>
        <v>4</v>
      </c>
      <c r="F742" s="80"/>
      <c r="G742" s="83"/>
      <c r="H742" s="69" t="str">
        <f t="shared" si="368"/>
        <v>Senbur6_20191117_04_00</v>
      </c>
      <c r="I742" s="70">
        <f t="shared" si="371"/>
        <v>1</v>
      </c>
      <c r="J742" s="77" t="str">
        <f t="shared" si="371"/>
        <v>Senecio</v>
      </c>
      <c r="K742" s="77" t="str">
        <f t="shared" si="371"/>
        <v>burtoni</v>
      </c>
      <c r="L742" s="78">
        <f t="shared" si="371"/>
        <v>6</v>
      </c>
      <c r="M742" s="78">
        <f t="shared" si="371"/>
        <v>12</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INDEX([1]!VISITORS[INSECT ORDER], MATCH(X742,[1]!VISITORS[NAME USED],0))</f>
        <v>#REF!</v>
      </c>
      <c r="AB742" s="48" t="e">
        <f t="shared" si="352"/>
        <v>#REF!</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17</v>
      </c>
      <c r="D743" s="75">
        <f t="shared" si="345"/>
        <v>4</v>
      </c>
      <c r="E743" s="76">
        <f t="shared" si="346"/>
        <v>5</v>
      </c>
      <c r="F743" s="80"/>
      <c r="G743" s="83"/>
      <c r="H743" s="69" t="str">
        <f t="shared" si="368"/>
        <v>Senbur6_20191117_04_00</v>
      </c>
      <c r="I743" s="70">
        <f t="shared" si="371"/>
        <v>1</v>
      </c>
      <c r="J743" s="77" t="str">
        <f t="shared" si="371"/>
        <v>Senecio</v>
      </c>
      <c r="K743" s="77" t="str">
        <f t="shared" si="371"/>
        <v>burtoni</v>
      </c>
      <c r="L743" s="78">
        <f t="shared" si="371"/>
        <v>6</v>
      </c>
      <c r="M743" s="78">
        <f t="shared" si="371"/>
        <v>12</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INDEX([1]!VISITORS[INSECT ORDER], MATCH(X743,[1]!VISITORS[NAME USED],0))</f>
        <v>#REF!</v>
      </c>
      <c r="AB743" s="48" t="e">
        <f t="shared" si="352"/>
        <v>#REF!</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17</v>
      </c>
      <c r="D744" s="75">
        <f t="shared" si="345"/>
        <v>4</v>
      </c>
      <c r="E744" s="76">
        <f t="shared" si="346"/>
        <v>6</v>
      </c>
      <c r="F744" s="80"/>
      <c r="G744" s="83"/>
      <c r="H744" s="69" t="str">
        <f t="shared" si="368"/>
        <v>Senbur6_20191117_04_00</v>
      </c>
      <c r="I744" s="70">
        <f t="shared" si="371"/>
        <v>1</v>
      </c>
      <c r="J744" s="77" t="str">
        <f t="shared" si="371"/>
        <v>Senecio</v>
      </c>
      <c r="K744" s="77" t="str">
        <f t="shared" si="371"/>
        <v>burtoni</v>
      </c>
      <c r="L744" s="78">
        <f t="shared" si="371"/>
        <v>6</v>
      </c>
      <c r="M744" s="78">
        <f t="shared" si="371"/>
        <v>12</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INDEX([1]!VISITORS[INSECT ORDER], MATCH(X744,[1]!VISITORS[NAME USED],0))</f>
        <v>#REF!</v>
      </c>
      <c r="AB744" s="48" t="e">
        <f t="shared" si="352"/>
        <v>#REF!</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17</v>
      </c>
      <c r="D745" s="75">
        <f t="shared" si="345"/>
        <v>4</v>
      </c>
      <c r="E745" s="76">
        <f t="shared" si="346"/>
        <v>7</v>
      </c>
      <c r="F745" s="80"/>
      <c r="G745" s="83"/>
      <c r="H745" s="69" t="str">
        <f t="shared" si="368"/>
        <v>Senbur6_20191117_04_00</v>
      </c>
      <c r="I745" s="70">
        <f t="shared" si="371"/>
        <v>1</v>
      </c>
      <c r="J745" s="77" t="str">
        <f t="shared" si="371"/>
        <v>Senecio</v>
      </c>
      <c r="K745" s="77" t="str">
        <f t="shared" si="371"/>
        <v>burtoni</v>
      </c>
      <c r="L745" s="78">
        <f t="shared" si="371"/>
        <v>6</v>
      </c>
      <c r="M745" s="78">
        <f t="shared" si="371"/>
        <v>12</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INDEX([1]!VISITORS[INSECT ORDER], MATCH(X745,[1]!VISITORS[NAME USED],0))</f>
        <v>#REF!</v>
      </c>
      <c r="AB745" s="48" t="e">
        <f t="shared" si="352"/>
        <v>#REF!</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17</v>
      </c>
      <c r="D746" s="75">
        <f t="shared" si="345"/>
        <v>4</v>
      </c>
      <c r="E746" s="76">
        <f t="shared" si="346"/>
        <v>8</v>
      </c>
      <c r="F746" s="80"/>
      <c r="G746" s="83"/>
      <c r="H746" s="69" t="str">
        <f t="shared" si="368"/>
        <v>Senbur6_20191117_04_00</v>
      </c>
      <c r="I746" s="70">
        <f t="shared" si="371"/>
        <v>1</v>
      </c>
      <c r="J746" s="77" t="str">
        <f t="shared" si="371"/>
        <v>Senecio</v>
      </c>
      <c r="K746" s="77" t="str">
        <f t="shared" si="371"/>
        <v>burtoni</v>
      </c>
      <c r="L746" s="78">
        <f t="shared" si="371"/>
        <v>6</v>
      </c>
      <c r="M746" s="78">
        <f t="shared" si="371"/>
        <v>12</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INDEX([1]!VISITORS[INSECT ORDER], MATCH(X746,[1]!VISITORS[NAME USED],0))</f>
        <v>#REF!</v>
      </c>
      <c r="AB746" s="48" t="e">
        <f t="shared" si="352"/>
        <v>#REF!</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17</v>
      </c>
      <c r="D747" s="75">
        <f t="shared" si="345"/>
        <v>4</v>
      </c>
      <c r="E747" s="76">
        <f t="shared" si="346"/>
        <v>9</v>
      </c>
      <c r="F747" s="80"/>
      <c r="G747" s="83"/>
      <c r="H747" s="69" t="str">
        <f t="shared" si="368"/>
        <v>Senbur6_20191117_04_00</v>
      </c>
      <c r="I747" s="70">
        <f t="shared" si="371"/>
        <v>1</v>
      </c>
      <c r="J747" s="77" t="str">
        <f t="shared" si="371"/>
        <v>Senecio</v>
      </c>
      <c r="K747" s="77" t="str">
        <f t="shared" si="371"/>
        <v>burtoni</v>
      </c>
      <c r="L747" s="78">
        <f t="shared" si="371"/>
        <v>6</v>
      </c>
      <c r="M747" s="78">
        <f t="shared" si="371"/>
        <v>12</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INDEX([1]!VISITORS[INSECT ORDER], MATCH(X747,[1]!VISITORS[NAME USED],0))</f>
        <v>#REF!</v>
      </c>
      <c r="AB747" s="48" t="e">
        <f t="shared" si="352"/>
        <v>#REF!</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17</v>
      </c>
      <c r="D748" s="75">
        <f t="shared" si="345"/>
        <v>4</v>
      </c>
      <c r="E748" s="76">
        <f t="shared" si="346"/>
        <v>10</v>
      </c>
      <c r="F748" s="80"/>
      <c r="G748" s="83"/>
      <c r="H748" s="69" t="str">
        <f t="shared" si="368"/>
        <v>Senbur6_20191117_04_00</v>
      </c>
      <c r="I748" s="70">
        <f t="shared" si="371"/>
        <v>1</v>
      </c>
      <c r="J748" s="77" t="str">
        <f t="shared" si="371"/>
        <v>Senecio</v>
      </c>
      <c r="K748" s="77" t="str">
        <f t="shared" si="371"/>
        <v>burtoni</v>
      </c>
      <c r="L748" s="78">
        <f t="shared" si="371"/>
        <v>6</v>
      </c>
      <c r="M748" s="78">
        <f t="shared" si="371"/>
        <v>12</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INDEX([1]!VISITORS[INSECT ORDER], MATCH(X748,[1]!VISITORS[NAME USED],0))</f>
        <v>#REF!</v>
      </c>
      <c r="AB748" s="48" t="e">
        <f t="shared" si="352"/>
        <v>#REF!</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17</v>
      </c>
      <c r="D749" s="75">
        <f t="shared" si="345"/>
        <v>4</v>
      </c>
      <c r="E749" s="76">
        <f t="shared" si="346"/>
        <v>11</v>
      </c>
      <c r="F749" s="80"/>
      <c r="G749" s="83"/>
      <c r="H749" s="69" t="str">
        <f t="shared" si="368"/>
        <v>Senbur6_20191117_04_00</v>
      </c>
      <c r="I749" s="70">
        <f t="shared" si="371"/>
        <v>1</v>
      </c>
      <c r="J749" s="77" t="str">
        <f t="shared" si="371"/>
        <v>Senecio</v>
      </c>
      <c r="K749" s="77" t="str">
        <f t="shared" si="371"/>
        <v>burtoni</v>
      </c>
      <c r="L749" s="78">
        <f t="shared" si="371"/>
        <v>6</v>
      </c>
      <c r="M749" s="78">
        <f t="shared" si="371"/>
        <v>12</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INDEX([1]!VISITORS[INSECT ORDER], MATCH(X749,[1]!VISITORS[NAME USED],0))</f>
        <v>#REF!</v>
      </c>
      <c r="AB749" s="48" t="e">
        <f t="shared" si="352"/>
        <v>#REF!</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17</v>
      </c>
      <c r="D750" s="75">
        <f t="shared" si="345"/>
        <v>4</v>
      </c>
      <c r="E750" s="76">
        <f t="shared" si="346"/>
        <v>12</v>
      </c>
      <c r="F750" s="80"/>
      <c r="G750" s="83"/>
      <c r="H750" s="69" t="str">
        <f t="shared" si="368"/>
        <v>Senbur6_20191117_04_00</v>
      </c>
      <c r="I750" s="70">
        <f t="shared" si="371"/>
        <v>1</v>
      </c>
      <c r="J750" s="77" t="str">
        <f t="shared" si="371"/>
        <v>Senecio</v>
      </c>
      <c r="K750" s="77" t="str">
        <f t="shared" si="371"/>
        <v>burtoni</v>
      </c>
      <c r="L750" s="78">
        <f t="shared" si="371"/>
        <v>6</v>
      </c>
      <c r="M750" s="78">
        <f t="shared" si="371"/>
        <v>12</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INDEX([1]!VISITORS[INSECT ORDER], MATCH(X750,[1]!VISITORS[NAME USED],0))</f>
        <v>#REF!</v>
      </c>
      <c r="AB750" s="48" t="e">
        <f t="shared" si="352"/>
        <v>#REF!</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17</v>
      </c>
      <c r="D751" s="75">
        <f t="shared" si="345"/>
        <v>4</v>
      </c>
      <c r="E751" s="76">
        <f t="shared" si="346"/>
        <v>13</v>
      </c>
      <c r="F751" s="80"/>
      <c r="G751" s="83"/>
      <c r="H751" s="69" t="str">
        <f t="shared" si="368"/>
        <v>Senbur6_20191117_04_00</v>
      </c>
      <c r="I751" s="70">
        <f t="shared" si="371"/>
        <v>1</v>
      </c>
      <c r="J751" s="77" t="str">
        <f t="shared" si="371"/>
        <v>Senecio</v>
      </c>
      <c r="K751" s="77" t="str">
        <f t="shared" si="371"/>
        <v>burtoni</v>
      </c>
      <c r="L751" s="78">
        <f t="shared" si="371"/>
        <v>6</v>
      </c>
      <c r="M751" s="78">
        <f t="shared" si="371"/>
        <v>12</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INDEX([1]!VISITORS[INSECT ORDER], MATCH(X751,[1]!VISITORS[NAME USED],0))</f>
        <v>#REF!</v>
      </c>
      <c r="AB751" s="48" t="e">
        <f t="shared" si="352"/>
        <v>#REF!</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17</v>
      </c>
      <c r="D752" s="75">
        <f t="shared" si="345"/>
        <v>4</v>
      </c>
      <c r="E752" s="76">
        <f t="shared" si="346"/>
        <v>14</v>
      </c>
      <c r="F752" s="80"/>
      <c r="G752" s="83"/>
      <c r="H752" s="69" t="str">
        <f t="shared" si="368"/>
        <v>Senbur6_20191117_04_00</v>
      </c>
      <c r="I752" s="70">
        <f t="shared" si="371"/>
        <v>1</v>
      </c>
      <c r="J752" s="77" t="str">
        <f t="shared" si="371"/>
        <v>Senecio</v>
      </c>
      <c r="K752" s="77" t="str">
        <f t="shared" si="371"/>
        <v>burtoni</v>
      </c>
      <c r="L752" s="78">
        <f t="shared" si="371"/>
        <v>6</v>
      </c>
      <c r="M752" s="78">
        <f t="shared" si="371"/>
        <v>12</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INDEX([1]!VISITORS[INSECT ORDER], MATCH(X752,[1]!VISITORS[NAME USED],0))</f>
        <v>#REF!</v>
      </c>
      <c r="AB752" s="48" t="e">
        <f t="shared" si="352"/>
        <v>#REF!</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17</v>
      </c>
      <c r="D753" s="75">
        <f t="shared" si="345"/>
        <v>4</v>
      </c>
      <c r="E753" s="76">
        <f t="shared" si="346"/>
        <v>15</v>
      </c>
      <c r="F753" s="80"/>
      <c r="G753" s="83"/>
      <c r="H753" s="69" t="str">
        <f t="shared" si="368"/>
        <v>Senbur6_20191117_04_00</v>
      </c>
      <c r="I753" s="70">
        <f t="shared" si="371"/>
        <v>1</v>
      </c>
      <c r="J753" s="77" t="str">
        <f t="shared" si="371"/>
        <v>Senecio</v>
      </c>
      <c r="K753" s="77" t="str">
        <f t="shared" si="371"/>
        <v>burtoni</v>
      </c>
      <c r="L753" s="78">
        <f t="shared" si="371"/>
        <v>6</v>
      </c>
      <c r="M753" s="78">
        <f t="shared" si="371"/>
        <v>12</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INDEX([1]!VISITORS[INSECT ORDER], MATCH(X753,[1]!VISITORS[NAME USED],0))</f>
        <v>#REF!</v>
      </c>
      <c r="AB753" s="48" t="e">
        <f t="shared" si="352"/>
        <v>#REF!</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17</v>
      </c>
      <c r="D754" s="75">
        <f t="shared" si="345"/>
        <v>4</v>
      </c>
      <c r="E754" s="76">
        <f t="shared" si="346"/>
        <v>16</v>
      </c>
      <c r="F754" s="80"/>
      <c r="G754" s="83"/>
      <c r="H754" s="69" t="str">
        <f t="shared" si="368"/>
        <v>Senbur6_20191117_04_00</v>
      </c>
      <c r="I754" s="70">
        <f t="shared" si="371"/>
        <v>1</v>
      </c>
      <c r="J754" s="77" t="str">
        <f t="shared" si="371"/>
        <v>Senecio</v>
      </c>
      <c r="K754" s="77" t="str">
        <f t="shared" si="371"/>
        <v>burtoni</v>
      </c>
      <c r="L754" s="78">
        <f t="shared" si="371"/>
        <v>6</v>
      </c>
      <c r="M754" s="78">
        <f t="shared" si="371"/>
        <v>12</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INDEX([1]!VISITORS[INSECT ORDER], MATCH(X754,[1]!VISITORS[NAME USED],0))</f>
        <v>#REF!</v>
      </c>
      <c r="AB754" s="48" t="e">
        <f t="shared" si="352"/>
        <v>#REF!</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17</v>
      </c>
      <c r="D755" s="75">
        <f t="shared" si="345"/>
        <v>4</v>
      </c>
      <c r="E755" s="76">
        <f t="shared" si="346"/>
        <v>17</v>
      </c>
      <c r="F755" s="80"/>
      <c r="G755" s="83"/>
      <c r="H755" s="69" t="str">
        <f t="shared" si="368"/>
        <v>Senbur6_20191117_04_00</v>
      </c>
      <c r="I755" s="70">
        <f t="shared" si="371"/>
        <v>1</v>
      </c>
      <c r="J755" s="77" t="str">
        <f t="shared" si="371"/>
        <v>Senecio</v>
      </c>
      <c r="K755" s="77" t="str">
        <f t="shared" si="371"/>
        <v>burtoni</v>
      </c>
      <c r="L755" s="78">
        <f t="shared" si="371"/>
        <v>6</v>
      </c>
      <c r="M755" s="78">
        <f t="shared" si="371"/>
        <v>12</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INDEX([1]!VISITORS[INSECT ORDER], MATCH(X755,[1]!VISITORS[NAME USED],0))</f>
        <v>#REF!</v>
      </c>
      <c r="AB755" s="48" t="e">
        <f t="shared" si="352"/>
        <v>#REF!</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17</v>
      </c>
      <c r="D756" s="75">
        <f t="shared" si="345"/>
        <v>4</v>
      </c>
      <c r="E756" s="76">
        <f t="shared" si="346"/>
        <v>18</v>
      </c>
      <c r="F756" s="80"/>
      <c r="G756" s="83"/>
      <c r="H756" s="69" t="str">
        <f t="shared" si="368"/>
        <v>Senbur6_20191117_04_00</v>
      </c>
      <c r="I756" s="70">
        <f t="shared" si="371"/>
        <v>1</v>
      </c>
      <c r="J756" s="77" t="str">
        <f t="shared" si="371"/>
        <v>Senecio</v>
      </c>
      <c r="K756" s="77" t="str">
        <f t="shared" si="371"/>
        <v>burtoni</v>
      </c>
      <c r="L756" s="78">
        <f t="shared" si="371"/>
        <v>6</v>
      </c>
      <c r="M756" s="78">
        <f t="shared" si="371"/>
        <v>12</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INDEX([1]!VISITORS[INSECT ORDER], MATCH(X756,[1]!VISITORS[NAME USED],0))</f>
        <v>#REF!</v>
      </c>
      <c r="AB756" s="48" t="e">
        <f t="shared" si="352"/>
        <v>#REF!</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17</v>
      </c>
      <c r="D757" s="75">
        <f t="shared" si="345"/>
        <v>4</v>
      </c>
      <c r="E757" s="76">
        <f t="shared" si="346"/>
        <v>19</v>
      </c>
      <c r="F757" s="80"/>
      <c r="G757" s="83"/>
      <c r="H757" s="69" t="str">
        <f t="shared" si="368"/>
        <v>Senbur6_20191117_04_00</v>
      </c>
      <c r="I757" s="70">
        <f t="shared" ref="I757:N772" si="372">I756</f>
        <v>1</v>
      </c>
      <c r="J757" s="77" t="str">
        <f t="shared" si="372"/>
        <v>Senecio</v>
      </c>
      <c r="K757" s="77" t="str">
        <f t="shared" si="372"/>
        <v>burtoni</v>
      </c>
      <c r="L757" s="78">
        <f t="shared" si="372"/>
        <v>6</v>
      </c>
      <c r="M757" s="78">
        <f t="shared" si="372"/>
        <v>12</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INDEX([1]!VISITORS[INSECT ORDER], MATCH(X757,[1]!VISITORS[NAME USED],0))</f>
        <v>#REF!</v>
      </c>
      <c r="AB757" s="48" t="e">
        <f t="shared" si="352"/>
        <v>#REF!</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17</v>
      </c>
      <c r="D758" s="75">
        <f t="shared" si="345"/>
        <v>4</v>
      </c>
      <c r="E758" s="76">
        <f t="shared" si="346"/>
        <v>20</v>
      </c>
      <c r="F758" s="80"/>
      <c r="G758" s="83"/>
      <c r="H758" s="69" t="str">
        <f t="shared" si="368"/>
        <v>Senbur6_20191117_04_00</v>
      </c>
      <c r="I758" s="70">
        <f t="shared" si="372"/>
        <v>1</v>
      </c>
      <c r="J758" s="77" t="str">
        <f t="shared" si="372"/>
        <v>Senecio</v>
      </c>
      <c r="K758" s="77" t="str">
        <f t="shared" si="372"/>
        <v>burtoni</v>
      </c>
      <c r="L758" s="78">
        <f t="shared" si="372"/>
        <v>6</v>
      </c>
      <c r="M758" s="78">
        <f t="shared" si="372"/>
        <v>12</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INDEX([1]!VISITORS[INSECT ORDER], MATCH(X758,[1]!VISITORS[NAME USED],0))</f>
        <v>#REF!</v>
      </c>
      <c r="AB758" s="48" t="e">
        <f t="shared" si="352"/>
        <v>#REF!</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17</v>
      </c>
      <c r="D759" s="75">
        <f t="shared" si="345"/>
        <v>4</v>
      </c>
      <c r="E759" s="76">
        <f t="shared" si="346"/>
        <v>21</v>
      </c>
      <c r="F759" s="80"/>
      <c r="G759" s="83"/>
      <c r="H759" s="69" t="str">
        <f t="shared" si="368"/>
        <v>Senbur6_20191117_04_00</v>
      </c>
      <c r="I759" s="70">
        <f t="shared" si="372"/>
        <v>1</v>
      </c>
      <c r="J759" s="77" t="str">
        <f t="shared" si="372"/>
        <v>Senecio</v>
      </c>
      <c r="K759" s="77" t="str">
        <f t="shared" si="372"/>
        <v>burtoni</v>
      </c>
      <c r="L759" s="78">
        <f t="shared" si="372"/>
        <v>6</v>
      </c>
      <c r="M759" s="78">
        <f t="shared" si="372"/>
        <v>12</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INDEX([1]!VISITORS[INSECT ORDER], MATCH(X759,[1]!VISITORS[NAME USED],0))</f>
        <v>#REF!</v>
      </c>
      <c r="AB759" s="48" t="e">
        <f t="shared" si="352"/>
        <v>#REF!</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17</v>
      </c>
      <c r="D760" s="75">
        <f t="shared" si="345"/>
        <v>4</v>
      </c>
      <c r="E760" s="76">
        <f t="shared" si="346"/>
        <v>22</v>
      </c>
      <c r="F760" s="80"/>
      <c r="G760" s="83"/>
      <c r="H760" s="69" t="str">
        <f t="shared" si="368"/>
        <v>Senbur6_20191117_04_00</v>
      </c>
      <c r="I760" s="70">
        <f t="shared" si="372"/>
        <v>1</v>
      </c>
      <c r="J760" s="77" t="str">
        <f t="shared" si="372"/>
        <v>Senecio</v>
      </c>
      <c r="K760" s="77" t="str">
        <f t="shared" si="372"/>
        <v>burtoni</v>
      </c>
      <c r="L760" s="78">
        <f t="shared" si="372"/>
        <v>6</v>
      </c>
      <c r="M760" s="78">
        <f t="shared" si="372"/>
        <v>12</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INDEX([1]!VISITORS[INSECT ORDER], MATCH(X760,[1]!VISITORS[NAME USED],0))</f>
        <v>#REF!</v>
      </c>
      <c r="AB760" s="48" t="e">
        <f t="shared" si="352"/>
        <v>#REF!</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17</v>
      </c>
      <c r="D761" s="75">
        <f t="shared" si="345"/>
        <v>4</v>
      </c>
      <c r="E761" s="76">
        <f t="shared" si="346"/>
        <v>23</v>
      </c>
      <c r="F761" s="80"/>
      <c r="G761" s="83"/>
      <c r="H761" s="69" t="str">
        <f t="shared" si="368"/>
        <v>Senbur6_20191117_04_00</v>
      </c>
      <c r="I761" s="70">
        <f t="shared" si="372"/>
        <v>1</v>
      </c>
      <c r="J761" s="77" t="str">
        <f t="shared" si="372"/>
        <v>Senecio</v>
      </c>
      <c r="K761" s="77" t="str">
        <f t="shared" si="372"/>
        <v>burtoni</v>
      </c>
      <c r="L761" s="78">
        <f t="shared" si="372"/>
        <v>6</v>
      </c>
      <c r="M761" s="78">
        <f t="shared" si="372"/>
        <v>12</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INDEX([1]!VISITORS[INSECT ORDER], MATCH(X761,[1]!VISITORS[NAME USED],0))</f>
        <v>#REF!</v>
      </c>
      <c r="AB761" s="48" t="e">
        <f t="shared" si="352"/>
        <v>#REF!</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17</v>
      </c>
      <c r="D762" s="75">
        <f t="shared" si="345"/>
        <v>4</v>
      </c>
      <c r="E762" s="76">
        <f t="shared" si="346"/>
        <v>24</v>
      </c>
      <c r="F762" s="80"/>
      <c r="G762" s="83"/>
      <c r="H762" s="69" t="str">
        <f t="shared" si="368"/>
        <v>Senbur6_20191117_04_00</v>
      </c>
      <c r="I762" s="70">
        <f t="shared" si="372"/>
        <v>1</v>
      </c>
      <c r="J762" s="77" t="str">
        <f t="shared" si="372"/>
        <v>Senecio</v>
      </c>
      <c r="K762" s="77" t="str">
        <f t="shared" si="372"/>
        <v>burtoni</v>
      </c>
      <c r="L762" s="78">
        <f t="shared" si="372"/>
        <v>6</v>
      </c>
      <c r="M762" s="78">
        <f t="shared" si="372"/>
        <v>12</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INDEX([1]!VISITORS[INSECT ORDER], MATCH(X762,[1]!VISITORS[NAME USED],0))</f>
        <v>#REF!</v>
      </c>
      <c r="AB762" s="48" t="e">
        <f t="shared" si="352"/>
        <v>#REF!</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17</v>
      </c>
      <c r="D763" s="75">
        <f t="shared" si="345"/>
        <v>4</v>
      </c>
      <c r="E763" s="76">
        <f t="shared" si="346"/>
        <v>25</v>
      </c>
      <c r="F763" s="80"/>
      <c r="G763" s="83"/>
      <c r="H763" s="69" t="str">
        <f t="shared" si="368"/>
        <v>Senbur6_20191117_04_00</v>
      </c>
      <c r="I763" s="70">
        <f t="shared" si="372"/>
        <v>1</v>
      </c>
      <c r="J763" s="77" t="str">
        <f t="shared" si="372"/>
        <v>Senecio</v>
      </c>
      <c r="K763" s="77" t="str">
        <f t="shared" si="372"/>
        <v>burtoni</v>
      </c>
      <c r="L763" s="78">
        <f t="shared" si="372"/>
        <v>6</v>
      </c>
      <c r="M763" s="78">
        <f t="shared" si="372"/>
        <v>12</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INDEX([1]!VISITORS[INSECT ORDER], MATCH(X763,[1]!VISITORS[NAME USED],0))</f>
        <v>#REF!</v>
      </c>
      <c r="AB763" s="48" t="e">
        <f t="shared" si="352"/>
        <v>#REF!</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17</v>
      </c>
      <c r="D764" s="75">
        <f t="shared" si="345"/>
        <v>4</v>
      </c>
      <c r="E764" s="76">
        <f t="shared" si="346"/>
        <v>26</v>
      </c>
      <c r="F764" s="80"/>
      <c r="G764" s="83"/>
      <c r="H764" s="69" t="str">
        <f t="shared" si="368"/>
        <v>Senbur6_20191117_04_00</v>
      </c>
      <c r="I764" s="70">
        <f t="shared" si="372"/>
        <v>1</v>
      </c>
      <c r="J764" s="77" t="str">
        <f t="shared" si="372"/>
        <v>Senecio</v>
      </c>
      <c r="K764" s="77" t="str">
        <f t="shared" si="372"/>
        <v>burtoni</v>
      </c>
      <c r="L764" s="78">
        <f t="shared" si="372"/>
        <v>6</v>
      </c>
      <c r="M764" s="78">
        <f t="shared" si="372"/>
        <v>12</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INDEX([1]!VISITORS[INSECT ORDER], MATCH(X764,[1]!VISITORS[NAME USED],0))</f>
        <v>#REF!</v>
      </c>
      <c r="AB764" s="48" t="e">
        <f t="shared" si="352"/>
        <v>#REF!</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17</v>
      </c>
      <c r="D765" s="75">
        <f t="shared" si="345"/>
        <v>4</v>
      </c>
      <c r="E765" s="76">
        <f t="shared" si="346"/>
        <v>27</v>
      </c>
      <c r="F765" s="80"/>
      <c r="G765" s="83"/>
      <c r="H765" s="69" t="str">
        <f t="shared" si="368"/>
        <v>Senbur6_20191117_04_00</v>
      </c>
      <c r="I765" s="70">
        <f t="shared" si="372"/>
        <v>1</v>
      </c>
      <c r="J765" s="77" t="str">
        <f t="shared" si="372"/>
        <v>Senecio</v>
      </c>
      <c r="K765" s="77" t="str">
        <f t="shared" si="372"/>
        <v>burtoni</v>
      </c>
      <c r="L765" s="78">
        <f t="shared" si="372"/>
        <v>6</v>
      </c>
      <c r="M765" s="78">
        <f t="shared" si="372"/>
        <v>12</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INDEX([1]!VISITORS[INSECT ORDER], MATCH(X765,[1]!VISITORS[NAME USED],0))</f>
        <v>#REF!</v>
      </c>
      <c r="AB765" s="48" t="e">
        <f t="shared" si="352"/>
        <v>#REF!</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17</v>
      </c>
      <c r="D766" s="75">
        <f t="shared" si="345"/>
        <v>4</v>
      </c>
      <c r="E766" s="76">
        <f t="shared" si="346"/>
        <v>28</v>
      </c>
      <c r="F766" s="80"/>
      <c r="G766" s="83"/>
      <c r="H766" s="69" t="str">
        <f t="shared" si="368"/>
        <v>Senbur6_20191117_04_00</v>
      </c>
      <c r="I766" s="70">
        <f t="shared" si="372"/>
        <v>1</v>
      </c>
      <c r="J766" s="77" t="str">
        <f t="shared" si="372"/>
        <v>Senecio</v>
      </c>
      <c r="K766" s="77" t="str">
        <f t="shared" si="372"/>
        <v>burtoni</v>
      </c>
      <c r="L766" s="78">
        <f t="shared" si="372"/>
        <v>6</v>
      </c>
      <c r="M766" s="78">
        <f t="shared" si="372"/>
        <v>12</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INDEX([1]!VISITORS[INSECT ORDER], MATCH(X766,[1]!VISITORS[NAME USED],0))</f>
        <v>#REF!</v>
      </c>
      <c r="AB766" s="48" t="e">
        <f t="shared" si="352"/>
        <v>#REF!</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17</v>
      </c>
      <c r="D767" s="75">
        <f t="shared" si="345"/>
        <v>4</v>
      </c>
      <c r="E767" s="76">
        <f t="shared" si="346"/>
        <v>29</v>
      </c>
      <c r="F767" s="80"/>
      <c r="G767" s="83"/>
      <c r="H767" s="69" t="str">
        <f t="shared" si="368"/>
        <v>Senbur6_20191117_04_00</v>
      </c>
      <c r="I767" s="70">
        <f t="shared" si="372"/>
        <v>1</v>
      </c>
      <c r="J767" s="77" t="str">
        <f t="shared" si="372"/>
        <v>Senecio</v>
      </c>
      <c r="K767" s="77" t="str">
        <f t="shared" si="372"/>
        <v>burtoni</v>
      </c>
      <c r="L767" s="78">
        <f t="shared" si="372"/>
        <v>6</v>
      </c>
      <c r="M767" s="78">
        <f t="shared" si="372"/>
        <v>12</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INDEX([1]!VISITORS[INSECT ORDER], MATCH(X767,[1]!VISITORS[NAME USED],0))</f>
        <v>#REF!</v>
      </c>
      <c r="AB767" s="48" t="e">
        <f t="shared" si="352"/>
        <v>#REF!</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17</v>
      </c>
      <c r="D768" s="75">
        <f t="shared" si="345"/>
        <v>4</v>
      </c>
      <c r="E768" s="76">
        <f t="shared" si="346"/>
        <v>30</v>
      </c>
      <c r="F768" s="80"/>
      <c r="G768" s="83"/>
      <c r="H768" s="69" t="str">
        <f t="shared" si="368"/>
        <v>Senbur6_20191117_04_00</v>
      </c>
      <c r="I768" s="70">
        <f t="shared" si="372"/>
        <v>1</v>
      </c>
      <c r="J768" s="77" t="str">
        <f t="shared" si="372"/>
        <v>Senecio</v>
      </c>
      <c r="K768" s="77" t="str">
        <f t="shared" si="372"/>
        <v>burtoni</v>
      </c>
      <c r="L768" s="78">
        <f t="shared" si="372"/>
        <v>6</v>
      </c>
      <c r="M768" s="78">
        <f t="shared" si="372"/>
        <v>12</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INDEX([1]!VISITORS[INSECT ORDER], MATCH(X768,[1]!VISITORS[NAME USED],0))</f>
        <v>#REF!</v>
      </c>
      <c r="AB768" s="48" t="e">
        <f t="shared" si="352"/>
        <v>#REF!</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17</v>
      </c>
      <c r="D769" s="75">
        <f t="shared" si="345"/>
        <v>4</v>
      </c>
      <c r="E769" s="76">
        <f t="shared" si="346"/>
        <v>31</v>
      </c>
      <c r="F769" s="80"/>
      <c r="G769" s="83"/>
      <c r="H769" s="69" t="str">
        <f t="shared" si="368"/>
        <v>Senbur6_20191117_04_00</v>
      </c>
      <c r="I769" s="70">
        <f t="shared" si="372"/>
        <v>1</v>
      </c>
      <c r="J769" s="77" t="str">
        <f t="shared" si="372"/>
        <v>Senecio</v>
      </c>
      <c r="K769" s="77" t="str">
        <f t="shared" si="372"/>
        <v>burtoni</v>
      </c>
      <c r="L769" s="78">
        <f t="shared" si="372"/>
        <v>6</v>
      </c>
      <c r="M769" s="78">
        <f t="shared" si="372"/>
        <v>12</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INDEX([1]!VISITORS[INSECT ORDER], MATCH(X769,[1]!VISITORS[NAME USED],0))</f>
        <v>#REF!</v>
      </c>
      <c r="AB769" s="48" t="e">
        <f t="shared" si="352"/>
        <v>#REF!</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17</v>
      </c>
      <c r="D770" s="75">
        <f t="shared" si="345"/>
        <v>4</v>
      </c>
      <c r="E770" s="76">
        <f t="shared" si="346"/>
        <v>32</v>
      </c>
      <c r="F770" s="80"/>
      <c r="G770" s="83"/>
      <c r="H770" s="69" t="str">
        <f t="shared" si="368"/>
        <v>Senbur6_20191117_04_00</v>
      </c>
      <c r="I770" s="70">
        <f t="shared" si="372"/>
        <v>1</v>
      </c>
      <c r="J770" s="77" t="str">
        <f t="shared" si="372"/>
        <v>Senecio</v>
      </c>
      <c r="K770" s="77" t="str">
        <f t="shared" si="372"/>
        <v>burtoni</v>
      </c>
      <c r="L770" s="78">
        <f t="shared" si="372"/>
        <v>6</v>
      </c>
      <c r="M770" s="78">
        <f t="shared" si="372"/>
        <v>12</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INDEX([1]!VISITORS[INSECT ORDER], MATCH(X770,[1]!VISITORS[NAME USED],0))</f>
        <v>#REF!</v>
      </c>
      <c r="AB770" s="48" t="e">
        <f t="shared" si="352"/>
        <v>#REF!</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17</v>
      </c>
      <c r="D771" s="75">
        <f t="shared" si="345"/>
        <v>4</v>
      </c>
      <c r="E771" s="76">
        <f t="shared" si="346"/>
        <v>33</v>
      </c>
      <c r="F771" s="80"/>
      <c r="G771" s="83"/>
      <c r="H771" s="69" t="str">
        <f t="shared" si="368"/>
        <v>Senbur6_20191117_04_00</v>
      </c>
      <c r="I771" s="70">
        <f t="shared" si="372"/>
        <v>1</v>
      </c>
      <c r="J771" s="77" t="str">
        <f t="shared" si="372"/>
        <v>Senecio</v>
      </c>
      <c r="K771" s="77" t="str">
        <f t="shared" si="372"/>
        <v>burtoni</v>
      </c>
      <c r="L771" s="78">
        <f t="shared" si="372"/>
        <v>6</v>
      </c>
      <c r="M771" s="78">
        <f t="shared" si="372"/>
        <v>12</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INDEX([1]!VISITORS[INSECT ORDER], MATCH(X771,[1]!VISITORS[NAME USED],0))</f>
        <v>#REF!</v>
      </c>
      <c r="AB771" s="48" t="e">
        <f t="shared" si="352"/>
        <v>#REF!</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17</v>
      </c>
      <c r="D772" s="75">
        <f t="shared" ref="D772:D835" si="376">IF(IF(E771=59,D771+1,D771)=24,0,IF(E771=59,D771+1,D771))</f>
        <v>4</v>
      </c>
      <c r="E772" s="76">
        <f t="shared" ref="E772:E835" si="377">IF(E771&lt;59,E771+1,0)</f>
        <v>34</v>
      </c>
      <c r="F772" s="80"/>
      <c r="G772" s="83"/>
      <c r="H772" s="69" t="str">
        <f t="shared" si="368"/>
        <v>Senbur6_20191117_04_00</v>
      </c>
      <c r="I772" s="70">
        <f t="shared" si="372"/>
        <v>1</v>
      </c>
      <c r="J772" s="77" t="str">
        <f t="shared" si="372"/>
        <v>Senecio</v>
      </c>
      <c r="K772" s="77" t="str">
        <f t="shared" si="372"/>
        <v>burtoni</v>
      </c>
      <c r="L772" s="78">
        <f t="shared" si="372"/>
        <v>6</v>
      </c>
      <c r="M772" s="78">
        <f t="shared" si="372"/>
        <v>12</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INDEX([1]!VISITORS[INSECT ORDER], MATCH(X772,[1]!VISITORS[NAME USED],0))</f>
        <v>#REF!</v>
      </c>
      <c r="AB772" s="48" t="e">
        <f t="shared" ref="AB772:AB835" si="383">IF(AA772&lt;&gt;0,"NA","")</f>
        <v>#REF!</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17</v>
      </c>
      <c r="D773" s="75">
        <f t="shared" si="376"/>
        <v>4</v>
      </c>
      <c r="E773" s="76">
        <f t="shared" si="377"/>
        <v>35</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Senbur6_20191117_04_00</v>
      </c>
      <c r="I773" s="70">
        <f t="shared" ref="I773:N788" si="400">I772</f>
        <v>1</v>
      </c>
      <c r="J773" s="77" t="str">
        <f t="shared" si="400"/>
        <v>Senecio</v>
      </c>
      <c r="K773" s="77" t="str">
        <f t="shared" si="400"/>
        <v>burtoni</v>
      </c>
      <c r="L773" s="78">
        <f t="shared" si="400"/>
        <v>6</v>
      </c>
      <c r="M773" s="78">
        <f t="shared" si="400"/>
        <v>12</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INDEX([1]!VISITORS[INSECT ORDER], MATCH(X773,[1]!VISITORS[NAME USED],0))</f>
        <v>#REF!</v>
      </c>
      <c r="AB773" s="48" t="e">
        <f t="shared" si="383"/>
        <v>#REF!</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17</v>
      </c>
      <c r="D774" s="75">
        <f t="shared" si="376"/>
        <v>4</v>
      </c>
      <c r="E774" s="76">
        <f t="shared" si="377"/>
        <v>36</v>
      </c>
      <c r="F774" s="80"/>
      <c r="G774" s="83"/>
      <c r="H774" s="69" t="str">
        <f t="shared" si="399"/>
        <v>Senbur6_20191117_04_00</v>
      </c>
      <c r="I774" s="70">
        <f t="shared" si="400"/>
        <v>1</v>
      </c>
      <c r="J774" s="77" t="str">
        <f t="shared" si="400"/>
        <v>Senecio</v>
      </c>
      <c r="K774" s="77" t="str">
        <f t="shared" si="400"/>
        <v>burtoni</v>
      </c>
      <c r="L774" s="78">
        <f t="shared" si="400"/>
        <v>6</v>
      </c>
      <c r="M774" s="78">
        <f t="shared" si="400"/>
        <v>12</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INDEX([1]!VISITORS[INSECT ORDER], MATCH(X774,[1]!VISITORS[NAME USED],0))</f>
        <v>#REF!</v>
      </c>
      <c r="AB774" s="48" t="e">
        <f t="shared" si="383"/>
        <v>#REF!</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17</v>
      </c>
      <c r="D775" s="75">
        <f t="shared" si="376"/>
        <v>4</v>
      </c>
      <c r="E775" s="76">
        <f t="shared" si="377"/>
        <v>37</v>
      </c>
      <c r="F775" s="80"/>
      <c r="G775" s="83"/>
      <c r="H775" s="69" t="str">
        <f t="shared" si="399"/>
        <v>Senbur6_20191117_04_00</v>
      </c>
      <c r="I775" s="70">
        <f t="shared" si="400"/>
        <v>1</v>
      </c>
      <c r="J775" s="77" t="str">
        <f t="shared" si="400"/>
        <v>Senecio</v>
      </c>
      <c r="K775" s="77" t="str">
        <f t="shared" si="400"/>
        <v>burtoni</v>
      </c>
      <c r="L775" s="78">
        <f t="shared" si="400"/>
        <v>6</v>
      </c>
      <c r="M775" s="78">
        <f t="shared" si="400"/>
        <v>12</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INDEX([1]!VISITORS[INSECT ORDER], MATCH(X775,[1]!VISITORS[NAME USED],0))</f>
        <v>#REF!</v>
      </c>
      <c r="AB775" s="48" t="e">
        <f t="shared" si="383"/>
        <v>#REF!</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17</v>
      </c>
      <c r="D776" s="75">
        <f t="shared" si="376"/>
        <v>4</v>
      </c>
      <c r="E776" s="76">
        <f t="shared" si="377"/>
        <v>38</v>
      </c>
      <c r="F776" s="80"/>
      <c r="G776" s="83"/>
      <c r="H776" s="69" t="str">
        <f t="shared" si="399"/>
        <v>Senbur6_20191117_04_00</v>
      </c>
      <c r="I776" s="70">
        <f t="shared" si="400"/>
        <v>1</v>
      </c>
      <c r="J776" s="77" t="str">
        <f t="shared" si="400"/>
        <v>Senecio</v>
      </c>
      <c r="K776" s="77" t="str">
        <f t="shared" si="400"/>
        <v>burtoni</v>
      </c>
      <c r="L776" s="78">
        <f t="shared" si="400"/>
        <v>6</v>
      </c>
      <c r="M776" s="78">
        <f t="shared" si="400"/>
        <v>12</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INDEX([1]!VISITORS[INSECT ORDER], MATCH(X776,[1]!VISITORS[NAME USED],0))</f>
        <v>#REF!</v>
      </c>
      <c r="AB776" s="48" t="e">
        <f t="shared" si="383"/>
        <v>#REF!</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17</v>
      </c>
      <c r="D777" s="75">
        <f t="shared" si="376"/>
        <v>4</v>
      </c>
      <c r="E777" s="76">
        <f t="shared" si="377"/>
        <v>39</v>
      </c>
      <c r="F777" s="80"/>
      <c r="G777" s="83"/>
      <c r="H777" s="69" t="str">
        <f t="shared" si="399"/>
        <v>Senbur6_20191117_04_00</v>
      </c>
      <c r="I777" s="70">
        <f t="shared" si="400"/>
        <v>1</v>
      </c>
      <c r="J777" s="77" t="str">
        <f t="shared" si="400"/>
        <v>Senecio</v>
      </c>
      <c r="K777" s="77" t="str">
        <f t="shared" si="400"/>
        <v>burtoni</v>
      </c>
      <c r="L777" s="78">
        <f t="shared" si="400"/>
        <v>6</v>
      </c>
      <c r="M777" s="78">
        <f t="shared" si="400"/>
        <v>12</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INDEX([1]!VISITORS[INSECT ORDER], MATCH(X777,[1]!VISITORS[NAME USED],0))</f>
        <v>#REF!</v>
      </c>
      <c r="AB777" s="48" t="e">
        <f t="shared" si="383"/>
        <v>#REF!</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17</v>
      </c>
      <c r="D778" s="75">
        <f t="shared" si="376"/>
        <v>4</v>
      </c>
      <c r="E778" s="76">
        <f t="shared" si="377"/>
        <v>40</v>
      </c>
      <c r="F778" s="80"/>
      <c r="G778" s="83"/>
      <c r="H778" s="69" t="str">
        <f t="shared" si="399"/>
        <v>Senbur6_20191117_04_00</v>
      </c>
      <c r="I778" s="70">
        <f t="shared" si="400"/>
        <v>1</v>
      </c>
      <c r="J778" s="77" t="str">
        <f t="shared" si="400"/>
        <v>Senecio</v>
      </c>
      <c r="K778" s="77" t="str">
        <f t="shared" si="400"/>
        <v>burtoni</v>
      </c>
      <c r="L778" s="78">
        <f t="shared" si="400"/>
        <v>6</v>
      </c>
      <c r="M778" s="78">
        <f t="shared" si="400"/>
        <v>12</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INDEX([1]!VISITORS[INSECT ORDER], MATCH(X778,[1]!VISITORS[NAME USED],0))</f>
        <v>#REF!</v>
      </c>
      <c r="AB778" s="48" t="e">
        <f t="shared" si="383"/>
        <v>#REF!</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17</v>
      </c>
      <c r="D779" s="75">
        <f t="shared" si="376"/>
        <v>4</v>
      </c>
      <c r="E779" s="76">
        <f t="shared" si="377"/>
        <v>41</v>
      </c>
      <c r="F779" s="80"/>
      <c r="G779" s="83"/>
      <c r="H779" s="69" t="str">
        <f t="shared" si="399"/>
        <v>Senbur6_20191117_04_00</v>
      </c>
      <c r="I779" s="70">
        <f t="shared" si="400"/>
        <v>1</v>
      </c>
      <c r="J779" s="77" t="str">
        <f t="shared" si="400"/>
        <v>Senecio</v>
      </c>
      <c r="K779" s="77" t="str">
        <f t="shared" si="400"/>
        <v>burtoni</v>
      </c>
      <c r="L779" s="78">
        <f t="shared" si="400"/>
        <v>6</v>
      </c>
      <c r="M779" s="78">
        <f t="shared" si="400"/>
        <v>12</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INDEX([1]!VISITORS[INSECT ORDER], MATCH(X779,[1]!VISITORS[NAME USED],0))</f>
        <v>#REF!</v>
      </c>
      <c r="AB779" s="48" t="e">
        <f t="shared" si="383"/>
        <v>#REF!</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17</v>
      </c>
      <c r="D780" s="75">
        <f t="shared" si="376"/>
        <v>4</v>
      </c>
      <c r="E780" s="76">
        <f t="shared" si="377"/>
        <v>42</v>
      </c>
      <c r="F780" s="80"/>
      <c r="G780" s="83"/>
      <c r="H780" s="69" t="str">
        <f t="shared" si="399"/>
        <v>Senbur6_20191117_04_00</v>
      </c>
      <c r="I780" s="70">
        <f t="shared" si="400"/>
        <v>1</v>
      </c>
      <c r="J780" s="77" t="str">
        <f t="shared" si="400"/>
        <v>Senecio</v>
      </c>
      <c r="K780" s="77" t="str">
        <f t="shared" si="400"/>
        <v>burtoni</v>
      </c>
      <c r="L780" s="78">
        <f t="shared" si="400"/>
        <v>6</v>
      </c>
      <c r="M780" s="78">
        <f t="shared" si="400"/>
        <v>12</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INDEX([1]!VISITORS[INSECT ORDER], MATCH(X780,[1]!VISITORS[NAME USED],0))</f>
        <v>#REF!</v>
      </c>
      <c r="AB780" s="48" t="e">
        <f t="shared" si="383"/>
        <v>#REF!</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17</v>
      </c>
      <c r="D781" s="75">
        <f t="shared" si="376"/>
        <v>4</v>
      </c>
      <c r="E781" s="76">
        <f t="shared" si="377"/>
        <v>43</v>
      </c>
      <c r="F781" s="80"/>
      <c r="G781" s="83"/>
      <c r="H781" s="69" t="str">
        <f t="shared" si="399"/>
        <v>Senbur6_20191117_04_00</v>
      </c>
      <c r="I781" s="70">
        <f t="shared" si="400"/>
        <v>1</v>
      </c>
      <c r="J781" s="77" t="str">
        <f t="shared" si="400"/>
        <v>Senecio</v>
      </c>
      <c r="K781" s="77" t="str">
        <f t="shared" si="400"/>
        <v>burtoni</v>
      </c>
      <c r="L781" s="78">
        <f t="shared" si="400"/>
        <v>6</v>
      </c>
      <c r="M781" s="78">
        <f t="shared" si="400"/>
        <v>12</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INDEX([1]!VISITORS[INSECT ORDER], MATCH(X781,[1]!VISITORS[NAME USED],0))</f>
        <v>#REF!</v>
      </c>
      <c r="AB781" s="48" t="e">
        <f t="shared" si="383"/>
        <v>#REF!</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17</v>
      </c>
      <c r="D782" s="75">
        <f t="shared" si="376"/>
        <v>4</v>
      </c>
      <c r="E782" s="76">
        <f t="shared" si="377"/>
        <v>44</v>
      </c>
      <c r="F782" s="80"/>
      <c r="G782" s="83"/>
      <c r="H782" s="69" t="str">
        <f t="shared" si="399"/>
        <v>Senbur6_20191117_04_00</v>
      </c>
      <c r="I782" s="70">
        <f t="shared" si="400"/>
        <v>1</v>
      </c>
      <c r="J782" s="77" t="str">
        <f t="shared" si="400"/>
        <v>Senecio</v>
      </c>
      <c r="K782" s="77" t="str">
        <f t="shared" si="400"/>
        <v>burtoni</v>
      </c>
      <c r="L782" s="78">
        <f t="shared" si="400"/>
        <v>6</v>
      </c>
      <c r="M782" s="78">
        <f t="shared" si="400"/>
        <v>12</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INDEX([1]!VISITORS[INSECT ORDER], MATCH(X782,[1]!VISITORS[NAME USED],0))</f>
        <v>#REF!</v>
      </c>
      <c r="AB782" s="48" t="e">
        <f t="shared" si="383"/>
        <v>#REF!</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17</v>
      </c>
      <c r="D783" s="75">
        <f t="shared" si="376"/>
        <v>4</v>
      </c>
      <c r="E783" s="76">
        <f t="shared" si="377"/>
        <v>45</v>
      </c>
      <c r="F783" s="80"/>
      <c r="G783" s="83"/>
      <c r="H783" s="69" t="str">
        <f t="shared" si="399"/>
        <v>Senbur6_20191117_04_00</v>
      </c>
      <c r="I783" s="70">
        <f t="shared" si="400"/>
        <v>1</v>
      </c>
      <c r="J783" s="77" t="str">
        <f t="shared" si="400"/>
        <v>Senecio</v>
      </c>
      <c r="K783" s="77" t="str">
        <f t="shared" si="400"/>
        <v>burtoni</v>
      </c>
      <c r="L783" s="78">
        <f t="shared" si="400"/>
        <v>6</v>
      </c>
      <c r="M783" s="78">
        <f t="shared" si="400"/>
        <v>12</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INDEX([1]!VISITORS[INSECT ORDER], MATCH(X783,[1]!VISITORS[NAME USED],0))</f>
        <v>#REF!</v>
      </c>
      <c r="AB783" s="48" t="e">
        <f t="shared" si="383"/>
        <v>#REF!</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17</v>
      </c>
      <c r="D784" s="75">
        <f t="shared" si="376"/>
        <v>4</v>
      </c>
      <c r="E784" s="76">
        <f t="shared" si="377"/>
        <v>46</v>
      </c>
      <c r="F784" s="80"/>
      <c r="G784" s="83"/>
      <c r="H784" s="69" t="str">
        <f t="shared" si="399"/>
        <v>Senbur6_20191117_04_00</v>
      </c>
      <c r="I784" s="70">
        <f t="shared" si="400"/>
        <v>1</v>
      </c>
      <c r="J784" s="77" t="str">
        <f t="shared" si="400"/>
        <v>Senecio</v>
      </c>
      <c r="K784" s="77" t="str">
        <f t="shared" si="400"/>
        <v>burtoni</v>
      </c>
      <c r="L784" s="78">
        <f t="shared" si="400"/>
        <v>6</v>
      </c>
      <c r="M784" s="78">
        <f t="shared" si="400"/>
        <v>12</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INDEX([1]!VISITORS[INSECT ORDER], MATCH(X784,[1]!VISITORS[NAME USED],0))</f>
        <v>#REF!</v>
      </c>
      <c r="AB784" s="48" t="e">
        <f t="shared" si="383"/>
        <v>#REF!</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17</v>
      </c>
      <c r="D785" s="75">
        <f t="shared" si="376"/>
        <v>4</v>
      </c>
      <c r="E785" s="76">
        <f t="shared" si="377"/>
        <v>47</v>
      </c>
      <c r="F785" s="80"/>
      <c r="G785" s="83"/>
      <c r="H785" s="69" t="str">
        <f t="shared" si="399"/>
        <v>Senbur6_20191117_04_00</v>
      </c>
      <c r="I785" s="70">
        <f t="shared" si="400"/>
        <v>1</v>
      </c>
      <c r="J785" s="77" t="str">
        <f t="shared" si="400"/>
        <v>Senecio</v>
      </c>
      <c r="K785" s="77" t="str">
        <f t="shared" si="400"/>
        <v>burtoni</v>
      </c>
      <c r="L785" s="78">
        <f t="shared" si="400"/>
        <v>6</v>
      </c>
      <c r="M785" s="78">
        <f t="shared" si="400"/>
        <v>12</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INDEX([1]!VISITORS[INSECT ORDER], MATCH(X785,[1]!VISITORS[NAME USED],0))</f>
        <v>#REF!</v>
      </c>
      <c r="AB785" s="48" t="e">
        <f t="shared" si="383"/>
        <v>#REF!</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17</v>
      </c>
      <c r="D786" s="75">
        <f t="shared" si="376"/>
        <v>4</v>
      </c>
      <c r="E786" s="76">
        <f t="shared" si="377"/>
        <v>48</v>
      </c>
      <c r="F786" s="80"/>
      <c r="G786" s="83"/>
      <c r="H786" s="69" t="str">
        <f t="shared" si="399"/>
        <v>Senbur6_20191117_04_00</v>
      </c>
      <c r="I786" s="70">
        <f t="shared" si="400"/>
        <v>1</v>
      </c>
      <c r="J786" s="77" t="str">
        <f t="shared" si="400"/>
        <v>Senecio</v>
      </c>
      <c r="K786" s="77" t="str">
        <f t="shared" si="400"/>
        <v>burtoni</v>
      </c>
      <c r="L786" s="78">
        <f t="shared" si="400"/>
        <v>6</v>
      </c>
      <c r="M786" s="78">
        <f t="shared" si="400"/>
        <v>12</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INDEX([1]!VISITORS[INSECT ORDER], MATCH(X786,[1]!VISITORS[NAME USED],0))</f>
        <v>#REF!</v>
      </c>
      <c r="AB786" s="48" t="e">
        <f t="shared" si="383"/>
        <v>#REF!</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17</v>
      </c>
      <c r="D787" s="75">
        <f t="shared" si="376"/>
        <v>4</v>
      </c>
      <c r="E787" s="76">
        <f t="shared" si="377"/>
        <v>49</v>
      </c>
      <c r="F787" s="80"/>
      <c r="G787" s="83"/>
      <c r="H787" s="69" t="str">
        <f t="shared" si="399"/>
        <v>Senbur6_20191117_04_00</v>
      </c>
      <c r="I787" s="70">
        <f t="shared" si="400"/>
        <v>1</v>
      </c>
      <c r="J787" s="77" t="str">
        <f t="shared" si="400"/>
        <v>Senecio</v>
      </c>
      <c r="K787" s="77" t="str">
        <f t="shared" si="400"/>
        <v>burtoni</v>
      </c>
      <c r="L787" s="78">
        <f t="shared" si="400"/>
        <v>6</v>
      </c>
      <c r="M787" s="78">
        <f t="shared" si="400"/>
        <v>12</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INDEX([1]!VISITORS[INSECT ORDER], MATCH(X787,[1]!VISITORS[NAME USED],0))</f>
        <v>#REF!</v>
      </c>
      <c r="AB787" s="48" t="e">
        <f t="shared" si="383"/>
        <v>#REF!</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17</v>
      </c>
      <c r="D788" s="75">
        <f t="shared" si="376"/>
        <v>4</v>
      </c>
      <c r="E788" s="76">
        <f t="shared" si="377"/>
        <v>50</v>
      </c>
      <c r="F788" s="80"/>
      <c r="G788" s="83"/>
      <c r="H788" s="69" t="str">
        <f t="shared" si="399"/>
        <v>Senbur6_20191117_04_00</v>
      </c>
      <c r="I788" s="70">
        <f t="shared" si="400"/>
        <v>1</v>
      </c>
      <c r="J788" s="77" t="str">
        <f t="shared" si="400"/>
        <v>Senecio</v>
      </c>
      <c r="K788" s="77" t="str">
        <f t="shared" si="400"/>
        <v>burtoni</v>
      </c>
      <c r="L788" s="78">
        <f t="shared" si="400"/>
        <v>6</v>
      </c>
      <c r="M788" s="78">
        <f t="shared" si="400"/>
        <v>12</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INDEX([1]!VISITORS[INSECT ORDER], MATCH(X788,[1]!VISITORS[NAME USED],0))</f>
        <v>#REF!</v>
      </c>
      <c r="AB788" s="48" t="e">
        <f t="shared" si="383"/>
        <v>#REF!</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17</v>
      </c>
      <c r="D789" s="75">
        <f t="shared" si="376"/>
        <v>4</v>
      </c>
      <c r="E789" s="76">
        <f t="shared" si="377"/>
        <v>51</v>
      </c>
      <c r="F789" s="80"/>
      <c r="G789" s="83"/>
      <c r="H789" s="69" t="str">
        <f t="shared" si="399"/>
        <v>Senbur6_20191117_04_00</v>
      </c>
      <c r="I789" s="70">
        <f t="shared" ref="I789:N804" si="401">I788</f>
        <v>1</v>
      </c>
      <c r="J789" s="77" t="str">
        <f t="shared" si="401"/>
        <v>Senecio</v>
      </c>
      <c r="K789" s="77" t="str">
        <f t="shared" si="401"/>
        <v>burtoni</v>
      </c>
      <c r="L789" s="78">
        <f t="shared" si="401"/>
        <v>6</v>
      </c>
      <c r="M789" s="78">
        <f t="shared" si="401"/>
        <v>12</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INDEX([1]!VISITORS[INSECT ORDER], MATCH(X789,[1]!VISITORS[NAME USED],0))</f>
        <v>#REF!</v>
      </c>
      <c r="AB789" s="48" t="e">
        <f t="shared" si="383"/>
        <v>#REF!</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17</v>
      </c>
      <c r="D790" s="75">
        <f t="shared" si="376"/>
        <v>4</v>
      </c>
      <c r="E790" s="76">
        <f t="shared" si="377"/>
        <v>52</v>
      </c>
      <c r="F790" s="80"/>
      <c r="G790" s="83"/>
      <c r="H790" s="69" t="str">
        <f t="shared" si="399"/>
        <v>Senbur6_20191117_04_00</v>
      </c>
      <c r="I790" s="70">
        <f t="shared" si="401"/>
        <v>1</v>
      </c>
      <c r="J790" s="77" t="str">
        <f t="shared" si="401"/>
        <v>Senecio</v>
      </c>
      <c r="K790" s="77" t="str">
        <f t="shared" si="401"/>
        <v>burtoni</v>
      </c>
      <c r="L790" s="78">
        <f t="shared" si="401"/>
        <v>6</v>
      </c>
      <c r="M790" s="78">
        <f t="shared" si="401"/>
        <v>12</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INDEX([1]!VISITORS[INSECT ORDER], MATCH(X790,[1]!VISITORS[NAME USED],0))</f>
        <v>#REF!</v>
      </c>
      <c r="AB790" s="48" t="e">
        <f t="shared" si="383"/>
        <v>#REF!</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17</v>
      </c>
      <c r="D791" s="75">
        <f t="shared" si="376"/>
        <v>4</v>
      </c>
      <c r="E791" s="76">
        <f t="shared" si="377"/>
        <v>53</v>
      </c>
      <c r="F791" s="80"/>
      <c r="G791" s="83"/>
      <c r="H791" s="69" t="str">
        <f t="shared" si="399"/>
        <v>Senbur6_20191117_04_00</v>
      </c>
      <c r="I791" s="70">
        <f t="shared" si="401"/>
        <v>1</v>
      </c>
      <c r="J791" s="77" t="str">
        <f t="shared" si="401"/>
        <v>Senecio</v>
      </c>
      <c r="K791" s="77" t="str">
        <f t="shared" si="401"/>
        <v>burtoni</v>
      </c>
      <c r="L791" s="78">
        <f t="shared" si="401"/>
        <v>6</v>
      </c>
      <c r="M791" s="78">
        <f t="shared" si="401"/>
        <v>12</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INDEX([1]!VISITORS[INSECT ORDER], MATCH(X791,[1]!VISITORS[NAME USED],0))</f>
        <v>#REF!</v>
      </c>
      <c r="AB791" s="48" t="e">
        <f t="shared" si="383"/>
        <v>#REF!</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17</v>
      </c>
      <c r="D792" s="75">
        <f t="shared" si="376"/>
        <v>4</v>
      </c>
      <c r="E792" s="76">
        <f t="shared" si="377"/>
        <v>54</v>
      </c>
      <c r="F792" s="80"/>
      <c r="G792" s="83"/>
      <c r="H792" s="69" t="str">
        <f t="shared" si="399"/>
        <v>Senbur6_20191117_04_00</v>
      </c>
      <c r="I792" s="70">
        <f t="shared" si="401"/>
        <v>1</v>
      </c>
      <c r="J792" s="77" t="str">
        <f t="shared" si="401"/>
        <v>Senecio</v>
      </c>
      <c r="K792" s="77" t="str">
        <f t="shared" si="401"/>
        <v>burtoni</v>
      </c>
      <c r="L792" s="78">
        <f t="shared" si="401"/>
        <v>6</v>
      </c>
      <c r="M792" s="78">
        <f t="shared" si="401"/>
        <v>12</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INDEX([1]!VISITORS[INSECT ORDER], MATCH(X792,[1]!VISITORS[NAME USED],0))</f>
        <v>#REF!</v>
      </c>
      <c r="AB792" s="48" t="e">
        <f t="shared" si="383"/>
        <v>#REF!</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17</v>
      </c>
      <c r="D793" s="75">
        <f t="shared" si="376"/>
        <v>4</v>
      </c>
      <c r="E793" s="76">
        <f t="shared" si="377"/>
        <v>55</v>
      </c>
      <c r="F793" s="80"/>
      <c r="G793" s="83"/>
      <c r="H793" s="69" t="str">
        <f t="shared" si="399"/>
        <v>Senbur6_20191117_04_00</v>
      </c>
      <c r="I793" s="70">
        <f t="shared" si="401"/>
        <v>1</v>
      </c>
      <c r="J793" s="77" t="str">
        <f t="shared" si="401"/>
        <v>Senecio</v>
      </c>
      <c r="K793" s="77" t="str">
        <f t="shared" si="401"/>
        <v>burtoni</v>
      </c>
      <c r="L793" s="78">
        <f t="shared" si="401"/>
        <v>6</v>
      </c>
      <c r="M793" s="78">
        <f t="shared" si="401"/>
        <v>12</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INDEX([1]!VISITORS[INSECT ORDER], MATCH(X793,[1]!VISITORS[NAME USED],0))</f>
        <v>#REF!</v>
      </c>
      <c r="AB793" s="48" t="e">
        <f t="shared" si="383"/>
        <v>#REF!</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17</v>
      </c>
      <c r="D794" s="75">
        <f t="shared" si="376"/>
        <v>4</v>
      </c>
      <c r="E794" s="76">
        <f t="shared" si="377"/>
        <v>56</v>
      </c>
      <c r="F794" s="80"/>
      <c r="G794" s="83"/>
      <c r="H794" s="69" t="str">
        <f t="shared" si="399"/>
        <v>Senbur6_20191117_04_00</v>
      </c>
      <c r="I794" s="70">
        <f t="shared" si="401"/>
        <v>1</v>
      </c>
      <c r="J794" s="77" t="str">
        <f t="shared" si="401"/>
        <v>Senecio</v>
      </c>
      <c r="K794" s="77" t="str">
        <f t="shared" si="401"/>
        <v>burtoni</v>
      </c>
      <c r="L794" s="78">
        <f t="shared" si="401"/>
        <v>6</v>
      </c>
      <c r="M794" s="78">
        <f t="shared" si="401"/>
        <v>12</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INDEX([1]!VISITORS[INSECT ORDER], MATCH(X794,[1]!VISITORS[NAME USED],0))</f>
        <v>#REF!</v>
      </c>
      <c r="AB794" s="48" t="e">
        <f t="shared" si="383"/>
        <v>#REF!</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17</v>
      </c>
      <c r="D795" s="75">
        <f t="shared" si="376"/>
        <v>4</v>
      </c>
      <c r="E795" s="76">
        <f t="shared" si="377"/>
        <v>57</v>
      </c>
      <c r="F795" s="80"/>
      <c r="G795" s="83"/>
      <c r="H795" s="69" t="str">
        <f t="shared" si="399"/>
        <v>Senbur6_20191117_04_00</v>
      </c>
      <c r="I795" s="70">
        <f t="shared" si="401"/>
        <v>1</v>
      </c>
      <c r="J795" s="77" t="str">
        <f t="shared" si="401"/>
        <v>Senecio</v>
      </c>
      <c r="K795" s="77" t="str">
        <f t="shared" si="401"/>
        <v>burtoni</v>
      </c>
      <c r="L795" s="78">
        <f t="shared" si="401"/>
        <v>6</v>
      </c>
      <c r="M795" s="78">
        <f t="shared" si="401"/>
        <v>12</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INDEX([1]!VISITORS[INSECT ORDER], MATCH(X795,[1]!VISITORS[NAME USED],0))</f>
        <v>#REF!</v>
      </c>
      <c r="AB795" s="48" t="e">
        <f t="shared" si="383"/>
        <v>#REF!</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17</v>
      </c>
      <c r="D796" s="75">
        <f t="shared" si="376"/>
        <v>4</v>
      </c>
      <c r="E796" s="76">
        <f t="shared" si="377"/>
        <v>58</v>
      </c>
      <c r="F796" s="80"/>
      <c r="G796" s="83"/>
      <c r="H796" s="69" t="str">
        <f t="shared" si="399"/>
        <v>Senbur6_20191117_04_00</v>
      </c>
      <c r="I796" s="70">
        <f t="shared" si="401"/>
        <v>1</v>
      </c>
      <c r="J796" s="77" t="str">
        <f t="shared" si="401"/>
        <v>Senecio</v>
      </c>
      <c r="K796" s="77" t="str">
        <f t="shared" si="401"/>
        <v>burtoni</v>
      </c>
      <c r="L796" s="78">
        <f t="shared" si="401"/>
        <v>6</v>
      </c>
      <c r="M796" s="78">
        <f t="shared" si="401"/>
        <v>12</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INDEX([1]!VISITORS[INSECT ORDER], MATCH(X796,[1]!VISITORS[NAME USED],0))</f>
        <v>#REF!</v>
      </c>
      <c r="AB796" s="48" t="e">
        <f t="shared" si="383"/>
        <v>#REF!</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17</v>
      </c>
      <c r="D797" s="75">
        <f t="shared" si="376"/>
        <v>4</v>
      </c>
      <c r="E797" s="76">
        <f t="shared" si="377"/>
        <v>59</v>
      </c>
      <c r="F797" s="80"/>
      <c r="G797" s="83"/>
      <c r="H797" s="69" t="str">
        <f t="shared" si="399"/>
        <v>Senbur6_20191117_04_00</v>
      </c>
      <c r="I797" s="70">
        <f t="shared" si="401"/>
        <v>1</v>
      </c>
      <c r="J797" s="77" t="str">
        <f t="shared" si="401"/>
        <v>Senecio</v>
      </c>
      <c r="K797" s="77" t="str">
        <f t="shared" si="401"/>
        <v>burtoni</v>
      </c>
      <c r="L797" s="78">
        <f t="shared" si="401"/>
        <v>6</v>
      </c>
      <c r="M797" s="78">
        <f t="shared" si="401"/>
        <v>12</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INDEX([1]!VISITORS[INSECT ORDER], MATCH(X797,[1]!VISITORS[NAME USED],0))</f>
        <v>#REF!</v>
      </c>
      <c r="AB797" s="48" t="e">
        <f t="shared" si="383"/>
        <v>#REF!</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17</v>
      </c>
      <c r="D798" s="75">
        <f t="shared" si="376"/>
        <v>5</v>
      </c>
      <c r="E798" s="76">
        <f t="shared" si="377"/>
        <v>0</v>
      </c>
      <c r="F798" s="80"/>
      <c r="G798" s="83"/>
      <c r="H798" s="69" t="str">
        <f t="shared" si="399"/>
        <v>Senbur6_20191117_05_00</v>
      </c>
      <c r="I798" s="70">
        <f t="shared" si="401"/>
        <v>1</v>
      </c>
      <c r="J798" s="77" t="str">
        <f t="shared" si="401"/>
        <v>Senecio</v>
      </c>
      <c r="K798" s="77" t="str">
        <f t="shared" si="401"/>
        <v>burtoni</v>
      </c>
      <c r="L798" s="78">
        <f t="shared" si="401"/>
        <v>6</v>
      </c>
      <c r="M798" s="78">
        <f t="shared" si="401"/>
        <v>12</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INDEX([1]!VISITORS[INSECT ORDER], MATCH(X798,[1]!VISITORS[NAME USED],0))</f>
        <v>#REF!</v>
      </c>
      <c r="AB798" s="48" t="e">
        <f t="shared" si="383"/>
        <v>#REF!</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17</v>
      </c>
      <c r="D799" s="75">
        <f t="shared" si="376"/>
        <v>5</v>
      </c>
      <c r="E799" s="76">
        <f t="shared" si="377"/>
        <v>1</v>
      </c>
      <c r="F799" s="80"/>
      <c r="G799" s="83"/>
      <c r="H799" s="69" t="str">
        <f t="shared" si="399"/>
        <v>Senbur6_20191117_05_00</v>
      </c>
      <c r="I799" s="70">
        <f t="shared" si="401"/>
        <v>1</v>
      </c>
      <c r="J799" s="77" t="str">
        <f t="shared" si="401"/>
        <v>Senecio</v>
      </c>
      <c r="K799" s="77" t="str">
        <f t="shared" si="401"/>
        <v>burtoni</v>
      </c>
      <c r="L799" s="78">
        <f t="shared" si="401"/>
        <v>6</v>
      </c>
      <c r="M799" s="78">
        <f t="shared" si="401"/>
        <v>12</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INDEX([1]!VISITORS[INSECT ORDER], MATCH(X799,[1]!VISITORS[NAME USED],0))</f>
        <v>#REF!</v>
      </c>
      <c r="AB799" s="48" t="e">
        <f t="shared" si="383"/>
        <v>#REF!</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17</v>
      </c>
      <c r="D800" s="75">
        <f t="shared" si="376"/>
        <v>5</v>
      </c>
      <c r="E800" s="76">
        <f t="shared" si="377"/>
        <v>2</v>
      </c>
      <c r="F800" s="80"/>
      <c r="G800" s="83"/>
      <c r="H800" s="69" t="str">
        <f t="shared" si="399"/>
        <v>Senbur6_20191117_05_00</v>
      </c>
      <c r="I800" s="70">
        <f t="shared" si="401"/>
        <v>1</v>
      </c>
      <c r="J800" s="77" t="str">
        <f t="shared" si="401"/>
        <v>Senecio</v>
      </c>
      <c r="K800" s="77" t="str">
        <f t="shared" si="401"/>
        <v>burtoni</v>
      </c>
      <c r="L800" s="78">
        <f t="shared" si="401"/>
        <v>6</v>
      </c>
      <c r="M800" s="78">
        <f t="shared" si="401"/>
        <v>12</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INDEX([1]!VISITORS[INSECT ORDER], MATCH(X800,[1]!VISITORS[NAME USED],0))</f>
        <v>#REF!</v>
      </c>
      <c r="AB800" s="48" t="e">
        <f t="shared" si="383"/>
        <v>#REF!</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17</v>
      </c>
      <c r="D801" s="75">
        <f t="shared" si="376"/>
        <v>5</v>
      </c>
      <c r="E801" s="76">
        <f t="shared" si="377"/>
        <v>3</v>
      </c>
      <c r="F801" s="80"/>
      <c r="G801" s="83"/>
      <c r="H801" s="69" t="str">
        <f t="shared" si="399"/>
        <v>Senbur6_20191117_05_00</v>
      </c>
      <c r="I801" s="70">
        <f t="shared" si="401"/>
        <v>1</v>
      </c>
      <c r="J801" s="77" t="str">
        <f t="shared" si="401"/>
        <v>Senecio</v>
      </c>
      <c r="K801" s="77" t="str">
        <f t="shared" si="401"/>
        <v>burtoni</v>
      </c>
      <c r="L801" s="78">
        <f t="shared" si="401"/>
        <v>6</v>
      </c>
      <c r="M801" s="78">
        <f t="shared" si="401"/>
        <v>12</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INDEX([1]!VISITORS[INSECT ORDER], MATCH(X801,[1]!VISITORS[NAME USED],0))</f>
        <v>#REF!</v>
      </c>
      <c r="AB801" s="48" t="e">
        <f t="shared" si="383"/>
        <v>#REF!</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17</v>
      </c>
      <c r="D802" s="75">
        <f t="shared" si="376"/>
        <v>5</v>
      </c>
      <c r="E802" s="76">
        <f t="shared" si="377"/>
        <v>4</v>
      </c>
      <c r="F802" s="80"/>
      <c r="G802" s="83"/>
      <c r="H802" s="69" t="str">
        <f t="shared" si="399"/>
        <v>Senbur6_20191117_05_00</v>
      </c>
      <c r="I802" s="70">
        <f t="shared" si="401"/>
        <v>1</v>
      </c>
      <c r="J802" s="77" t="str">
        <f t="shared" si="401"/>
        <v>Senecio</v>
      </c>
      <c r="K802" s="77" t="str">
        <f t="shared" si="401"/>
        <v>burtoni</v>
      </c>
      <c r="L802" s="78">
        <f t="shared" si="401"/>
        <v>6</v>
      </c>
      <c r="M802" s="78">
        <f t="shared" si="401"/>
        <v>12</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INDEX([1]!VISITORS[INSECT ORDER], MATCH(X802,[1]!VISITORS[NAME USED],0))</f>
        <v>#REF!</v>
      </c>
      <c r="AB802" s="48" t="e">
        <f t="shared" si="383"/>
        <v>#REF!</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17</v>
      </c>
      <c r="D803" s="75">
        <f t="shared" si="376"/>
        <v>5</v>
      </c>
      <c r="E803" s="76">
        <f t="shared" si="377"/>
        <v>5</v>
      </c>
      <c r="F803" s="80"/>
      <c r="G803" s="83"/>
      <c r="H803" s="69" t="str">
        <f t="shared" si="399"/>
        <v>Senbur6_20191117_05_00</v>
      </c>
      <c r="I803" s="70">
        <f t="shared" si="401"/>
        <v>1</v>
      </c>
      <c r="J803" s="77" t="str">
        <f t="shared" si="401"/>
        <v>Senecio</v>
      </c>
      <c r="K803" s="77" t="str">
        <f t="shared" si="401"/>
        <v>burtoni</v>
      </c>
      <c r="L803" s="78">
        <f t="shared" si="401"/>
        <v>6</v>
      </c>
      <c r="M803" s="78">
        <f t="shared" si="401"/>
        <v>12</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INDEX([1]!VISITORS[INSECT ORDER], MATCH(X803,[1]!VISITORS[NAME USED],0))</f>
        <v>#REF!</v>
      </c>
      <c r="AB803" s="48" t="e">
        <f t="shared" si="383"/>
        <v>#REF!</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17</v>
      </c>
      <c r="D804" s="75">
        <f t="shared" si="376"/>
        <v>5</v>
      </c>
      <c r="E804" s="76">
        <f t="shared" si="377"/>
        <v>6</v>
      </c>
      <c r="F804" s="80"/>
      <c r="G804" s="83"/>
      <c r="H804" s="69" t="str">
        <f t="shared" si="399"/>
        <v>Senbur6_20191117_05_00</v>
      </c>
      <c r="I804" s="70">
        <f t="shared" si="401"/>
        <v>1</v>
      </c>
      <c r="J804" s="77" t="str">
        <f t="shared" si="401"/>
        <v>Senecio</v>
      </c>
      <c r="K804" s="77" t="str">
        <f t="shared" si="401"/>
        <v>burtoni</v>
      </c>
      <c r="L804" s="78">
        <f t="shared" si="401"/>
        <v>6</v>
      </c>
      <c r="M804" s="78">
        <f t="shared" si="401"/>
        <v>12</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INDEX([1]!VISITORS[INSECT ORDER], MATCH(X804,[1]!VISITORS[NAME USED],0))</f>
        <v>#REF!</v>
      </c>
      <c r="AB804" s="48" t="e">
        <f t="shared" si="383"/>
        <v>#REF!</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17</v>
      </c>
      <c r="D805" s="75">
        <f t="shared" si="376"/>
        <v>5</v>
      </c>
      <c r="E805" s="76">
        <f t="shared" si="377"/>
        <v>7</v>
      </c>
      <c r="F805" s="80"/>
      <c r="G805" s="83"/>
      <c r="H805" s="69" t="str">
        <f t="shared" si="399"/>
        <v>Senbur6_20191117_05_00</v>
      </c>
      <c r="I805" s="70">
        <f t="shared" ref="I805:N820" si="402">I804</f>
        <v>1</v>
      </c>
      <c r="J805" s="77" t="str">
        <f t="shared" si="402"/>
        <v>Senecio</v>
      </c>
      <c r="K805" s="77" t="str">
        <f t="shared" si="402"/>
        <v>burtoni</v>
      </c>
      <c r="L805" s="78">
        <f t="shared" si="402"/>
        <v>6</v>
      </c>
      <c r="M805" s="78">
        <f t="shared" si="402"/>
        <v>12</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INDEX([1]!VISITORS[INSECT ORDER], MATCH(X805,[1]!VISITORS[NAME USED],0))</f>
        <v>#REF!</v>
      </c>
      <c r="AB805" s="48" t="e">
        <f t="shared" si="383"/>
        <v>#REF!</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17</v>
      </c>
      <c r="D806" s="75">
        <f t="shared" si="376"/>
        <v>5</v>
      </c>
      <c r="E806" s="76">
        <f t="shared" si="377"/>
        <v>8</v>
      </c>
      <c r="F806" s="80"/>
      <c r="G806" s="83"/>
      <c r="H806" s="69" t="str">
        <f t="shared" si="399"/>
        <v>Senbur6_20191117_05_00</v>
      </c>
      <c r="I806" s="70">
        <f t="shared" si="402"/>
        <v>1</v>
      </c>
      <c r="J806" s="77" t="str">
        <f t="shared" si="402"/>
        <v>Senecio</v>
      </c>
      <c r="K806" s="77" t="str">
        <f t="shared" si="402"/>
        <v>burtoni</v>
      </c>
      <c r="L806" s="78">
        <f t="shared" si="402"/>
        <v>6</v>
      </c>
      <c r="M806" s="78">
        <f t="shared" si="402"/>
        <v>12</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INDEX([1]!VISITORS[INSECT ORDER], MATCH(X806,[1]!VISITORS[NAME USED],0))</f>
        <v>#REF!</v>
      </c>
      <c r="AB806" s="48" t="e">
        <f t="shared" si="383"/>
        <v>#REF!</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17</v>
      </c>
      <c r="D807" s="75">
        <f t="shared" si="376"/>
        <v>5</v>
      </c>
      <c r="E807" s="76">
        <f t="shared" si="377"/>
        <v>9</v>
      </c>
      <c r="F807" s="80"/>
      <c r="G807" s="83"/>
      <c r="H807" s="69" t="str">
        <f t="shared" si="399"/>
        <v>Senbur6_20191117_05_00</v>
      </c>
      <c r="I807" s="70">
        <f t="shared" si="402"/>
        <v>1</v>
      </c>
      <c r="J807" s="77" t="str">
        <f t="shared" si="402"/>
        <v>Senecio</v>
      </c>
      <c r="K807" s="77" t="str">
        <f t="shared" si="402"/>
        <v>burtoni</v>
      </c>
      <c r="L807" s="78">
        <f t="shared" si="402"/>
        <v>6</v>
      </c>
      <c r="M807" s="78">
        <f t="shared" si="402"/>
        <v>12</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INDEX([1]!VISITORS[INSECT ORDER], MATCH(X807,[1]!VISITORS[NAME USED],0))</f>
        <v>#REF!</v>
      </c>
      <c r="AB807" s="48" t="e">
        <f t="shared" si="383"/>
        <v>#REF!</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17</v>
      </c>
      <c r="D808" s="75">
        <f t="shared" si="376"/>
        <v>5</v>
      </c>
      <c r="E808" s="76">
        <f t="shared" si="377"/>
        <v>10</v>
      </c>
      <c r="F808" s="80"/>
      <c r="G808" s="83"/>
      <c r="H808" s="69" t="str">
        <f t="shared" si="399"/>
        <v>Senbur6_20191117_05_00</v>
      </c>
      <c r="I808" s="70">
        <f t="shared" si="402"/>
        <v>1</v>
      </c>
      <c r="J808" s="77" t="str">
        <f t="shared" si="402"/>
        <v>Senecio</v>
      </c>
      <c r="K808" s="77" t="str">
        <f t="shared" si="402"/>
        <v>burtoni</v>
      </c>
      <c r="L808" s="78">
        <f t="shared" si="402"/>
        <v>6</v>
      </c>
      <c r="M808" s="78">
        <f t="shared" si="402"/>
        <v>12</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INDEX([1]!VISITORS[INSECT ORDER], MATCH(X808,[1]!VISITORS[NAME USED],0))</f>
        <v>#REF!</v>
      </c>
      <c r="AB808" s="48" t="e">
        <f t="shared" si="383"/>
        <v>#REF!</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17</v>
      </c>
      <c r="D809" s="75">
        <f t="shared" si="376"/>
        <v>5</v>
      </c>
      <c r="E809" s="76">
        <f t="shared" si="377"/>
        <v>11</v>
      </c>
      <c r="F809" s="80"/>
      <c r="G809" s="83"/>
      <c r="H809" s="69" t="str">
        <f t="shared" si="399"/>
        <v>Senbur6_20191117_05_00</v>
      </c>
      <c r="I809" s="70">
        <f t="shared" si="402"/>
        <v>1</v>
      </c>
      <c r="J809" s="77" t="str">
        <f t="shared" si="402"/>
        <v>Senecio</v>
      </c>
      <c r="K809" s="77" t="str">
        <f t="shared" si="402"/>
        <v>burtoni</v>
      </c>
      <c r="L809" s="78">
        <f t="shared" si="402"/>
        <v>6</v>
      </c>
      <c r="M809" s="78">
        <f t="shared" si="402"/>
        <v>12</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INDEX([1]!VISITORS[INSECT ORDER], MATCH(X809,[1]!VISITORS[NAME USED],0))</f>
        <v>#REF!</v>
      </c>
      <c r="AB809" s="48" t="e">
        <f t="shared" si="383"/>
        <v>#REF!</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17</v>
      </c>
      <c r="D810" s="75">
        <f t="shared" si="376"/>
        <v>5</v>
      </c>
      <c r="E810" s="76">
        <f t="shared" si="377"/>
        <v>12</v>
      </c>
      <c r="F810" s="80"/>
      <c r="G810" s="83"/>
      <c r="H810" s="69" t="str">
        <f t="shared" si="399"/>
        <v>Senbur6_20191117_05_00</v>
      </c>
      <c r="I810" s="70">
        <f t="shared" si="402"/>
        <v>1</v>
      </c>
      <c r="J810" s="77" t="str">
        <f t="shared" si="402"/>
        <v>Senecio</v>
      </c>
      <c r="K810" s="77" t="str">
        <f t="shared" si="402"/>
        <v>burtoni</v>
      </c>
      <c r="L810" s="78">
        <f t="shared" si="402"/>
        <v>6</v>
      </c>
      <c r="M810" s="78">
        <f t="shared" si="402"/>
        <v>12</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INDEX([1]!VISITORS[INSECT ORDER], MATCH(X810,[1]!VISITORS[NAME USED],0))</f>
        <v>#REF!</v>
      </c>
      <c r="AB810" s="48" t="e">
        <f t="shared" si="383"/>
        <v>#REF!</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17</v>
      </c>
      <c r="D811" s="75">
        <f t="shared" si="376"/>
        <v>5</v>
      </c>
      <c r="E811" s="76">
        <f t="shared" si="377"/>
        <v>13</v>
      </c>
      <c r="F811" s="80"/>
      <c r="G811" s="83"/>
      <c r="H811" s="69" t="str">
        <f t="shared" si="399"/>
        <v>Senbur6_20191117_05_00</v>
      </c>
      <c r="I811" s="70">
        <f t="shared" si="402"/>
        <v>1</v>
      </c>
      <c r="J811" s="77" t="str">
        <f t="shared" si="402"/>
        <v>Senecio</v>
      </c>
      <c r="K811" s="77" t="str">
        <f t="shared" si="402"/>
        <v>burtoni</v>
      </c>
      <c r="L811" s="78">
        <f t="shared" si="402"/>
        <v>6</v>
      </c>
      <c r="M811" s="78">
        <f t="shared" si="402"/>
        <v>12</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INDEX([1]!VISITORS[INSECT ORDER], MATCH(X811,[1]!VISITORS[NAME USED],0))</f>
        <v>#REF!</v>
      </c>
      <c r="AB811" s="48" t="e">
        <f t="shared" si="383"/>
        <v>#REF!</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17</v>
      </c>
      <c r="D812" s="75">
        <f t="shared" si="376"/>
        <v>5</v>
      </c>
      <c r="E812" s="76">
        <f t="shared" si="377"/>
        <v>14</v>
      </c>
      <c r="F812" s="80"/>
      <c r="G812" s="83"/>
      <c r="H812" s="69" t="str">
        <f t="shared" si="399"/>
        <v>Senbur6_20191117_05_00</v>
      </c>
      <c r="I812" s="70">
        <f t="shared" si="402"/>
        <v>1</v>
      </c>
      <c r="J812" s="77" t="str">
        <f t="shared" si="402"/>
        <v>Senecio</v>
      </c>
      <c r="K812" s="77" t="str">
        <f t="shared" si="402"/>
        <v>burtoni</v>
      </c>
      <c r="L812" s="78">
        <f t="shared" si="402"/>
        <v>6</v>
      </c>
      <c r="M812" s="78">
        <f t="shared" si="402"/>
        <v>12</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INDEX([1]!VISITORS[INSECT ORDER], MATCH(X812,[1]!VISITORS[NAME USED],0))</f>
        <v>#REF!</v>
      </c>
      <c r="AB812" s="48" t="e">
        <f t="shared" si="383"/>
        <v>#REF!</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17</v>
      </c>
      <c r="D813" s="75">
        <f t="shared" si="376"/>
        <v>5</v>
      </c>
      <c r="E813" s="76">
        <f t="shared" si="377"/>
        <v>15</v>
      </c>
      <c r="F813" s="80"/>
      <c r="G813" s="83"/>
      <c r="H813" s="69" t="str">
        <f t="shared" si="399"/>
        <v>Senbur6_20191117_05_00</v>
      </c>
      <c r="I813" s="70">
        <f t="shared" si="402"/>
        <v>1</v>
      </c>
      <c r="J813" s="77" t="str">
        <f t="shared" si="402"/>
        <v>Senecio</v>
      </c>
      <c r="K813" s="77" t="str">
        <f t="shared" si="402"/>
        <v>burtoni</v>
      </c>
      <c r="L813" s="78">
        <f t="shared" si="402"/>
        <v>6</v>
      </c>
      <c r="M813" s="78">
        <f t="shared" si="402"/>
        <v>12</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INDEX([1]!VISITORS[INSECT ORDER], MATCH(X813,[1]!VISITORS[NAME USED],0))</f>
        <v>#REF!</v>
      </c>
      <c r="AB813" s="48" t="e">
        <f t="shared" si="383"/>
        <v>#REF!</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17</v>
      </c>
      <c r="D814" s="75">
        <f t="shared" si="376"/>
        <v>5</v>
      </c>
      <c r="E814" s="76">
        <f t="shared" si="377"/>
        <v>16</v>
      </c>
      <c r="F814" s="80"/>
      <c r="G814" s="83"/>
      <c r="H814" s="69" t="str">
        <f t="shared" si="399"/>
        <v>Senbur6_20191117_05_00</v>
      </c>
      <c r="I814" s="70">
        <f t="shared" si="402"/>
        <v>1</v>
      </c>
      <c r="J814" s="77" t="str">
        <f t="shared" si="402"/>
        <v>Senecio</v>
      </c>
      <c r="K814" s="77" t="str">
        <f t="shared" si="402"/>
        <v>burtoni</v>
      </c>
      <c r="L814" s="78">
        <f t="shared" si="402"/>
        <v>6</v>
      </c>
      <c r="M814" s="78">
        <f t="shared" si="402"/>
        <v>12</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INDEX([1]!VISITORS[INSECT ORDER], MATCH(X814,[1]!VISITORS[NAME USED],0))</f>
        <v>#REF!</v>
      </c>
      <c r="AB814" s="48" t="e">
        <f t="shared" si="383"/>
        <v>#REF!</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17</v>
      </c>
      <c r="D815" s="75">
        <f t="shared" si="376"/>
        <v>5</v>
      </c>
      <c r="E815" s="76">
        <f t="shared" si="377"/>
        <v>17</v>
      </c>
      <c r="F815" s="80"/>
      <c r="G815" s="83"/>
      <c r="H815" s="69" t="str">
        <f t="shared" si="399"/>
        <v>Senbur6_20191117_05_00</v>
      </c>
      <c r="I815" s="70">
        <f t="shared" si="402"/>
        <v>1</v>
      </c>
      <c r="J815" s="77" t="str">
        <f t="shared" si="402"/>
        <v>Senecio</v>
      </c>
      <c r="K815" s="77" t="str">
        <f t="shared" si="402"/>
        <v>burtoni</v>
      </c>
      <c r="L815" s="78">
        <f t="shared" si="402"/>
        <v>6</v>
      </c>
      <c r="M815" s="78">
        <f t="shared" si="402"/>
        <v>12</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INDEX([1]!VISITORS[INSECT ORDER], MATCH(X815,[1]!VISITORS[NAME USED],0))</f>
        <v>#REF!</v>
      </c>
      <c r="AB815" s="48" t="e">
        <f t="shared" si="383"/>
        <v>#REF!</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17</v>
      </c>
      <c r="D816" s="75">
        <f t="shared" si="376"/>
        <v>5</v>
      </c>
      <c r="E816" s="76">
        <f t="shared" si="377"/>
        <v>18</v>
      </c>
      <c r="F816" s="80"/>
      <c r="G816" s="83"/>
      <c r="H816" s="69" t="str">
        <f t="shared" si="399"/>
        <v>Senbur6_20191117_05_00</v>
      </c>
      <c r="I816" s="70">
        <f t="shared" si="402"/>
        <v>1</v>
      </c>
      <c r="J816" s="77" t="str">
        <f t="shared" si="402"/>
        <v>Senecio</v>
      </c>
      <c r="K816" s="77" t="str">
        <f t="shared" si="402"/>
        <v>burtoni</v>
      </c>
      <c r="L816" s="78">
        <f t="shared" si="402"/>
        <v>6</v>
      </c>
      <c r="M816" s="78">
        <f t="shared" si="402"/>
        <v>12</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INDEX([1]!VISITORS[INSECT ORDER], MATCH(X816,[1]!VISITORS[NAME USED],0))</f>
        <v>#REF!</v>
      </c>
      <c r="AB816" s="48" t="e">
        <f t="shared" si="383"/>
        <v>#REF!</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17</v>
      </c>
      <c r="D817" s="75">
        <f t="shared" si="376"/>
        <v>5</v>
      </c>
      <c r="E817" s="76">
        <f t="shared" si="377"/>
        <v>19</v>
      </c>
      <c r="F817" s="80"/>
      <c r="G817" s="83"/>
      <c r="H817" s="69" t="str">
        <f t="shared" si="399"/>
        <v>Senbur6_20191117_05_00</v>
      </c>
      <c r="I817" s="70">
        <f t="shared" si="402"/>
        <v>1</v>
      </c>
      <c r="J817" s="77" t="str">
        <f t="shared" si="402"/>
        <v>Senecio</v>
      </c>
      <c r="K817" s="77" t="str">
        <f t="shared" si="402"/>
        <v>burtoni</v>
      </c>
      <c r="L817" s="78">
        <f t="shared" si="402"/>
        <v>6</v>
      </c>
      <c r="M817" s="78">
        <f t="shared" si="402"/>
        <v>12</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INDEX([1]!VISITORS[INSECT ORDER], MATCH(X817,[1]!VISITORS[NAME USED],0))</f>
        <v>#REF!</v>
      </c>
      <c r="AB817" s="48" t="e">
        <f t="shared" si="383"/>
        <v>#REF!</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17</v>
      </c>
      <c r="D818" s="75">
        <f t="shared" si="376"/>
        <v>5</v>
      </c>
      <c r="E818" s="76">
        <f t="shared" si="377"/>
        <v>20</v>
      </c>
      <c r="F818" s="80"/>
      <c r="G818" s="83"/>
      <c r="H818" s="69" t="str">
        <f t="shared" si="399"/>
        <v>Senbur6_20191117_05_00</v>
      </c>
      <c r="I818" s="70">
        <f t="shared" si="402"/>
        <v>1</v>
      </c>
      <c r="J818" s="77" t="str">
        <f t="shared" si="402"/>
        <v>Senecio</v>
      </c>
      <c r="K818" s="77" t="str">
        <f t="shared" si="402"/>
        <v>burtoni</v>
      </c>
      <c r="L818" s="78">
        <f t="shared" si="402"/>
        <v>6</v>
      </c>
      <c r="M818" s="78">
        <f t="shared" si="402"/>
        <v>12</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INDEX([1]!VISITORS[INSECT ORDER], MATCH(X818,[1]!VISITORS[NAME USED],0))</f>
        <v>#REF!</v>
      </c>
      <c r="AB818" s="48" t="e">
        <f t="shared" si="383"/>
        <v>#REF!</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17</v>
      </c>
      <c r="D819" s="75">
        <f t="shared" si="376"/>
        <v>5</v>
      </c>
      <c r="E819" s="76">
        <f t="shared" si="377"/>
        <v>21</v>
      </c>
      <c r="F819" s="80"/>
      <c r="G819" s="83"/>
      <c r="H819" s="69" t="str">
        <f t="shared" si="399"/>
        <v>Senbur6_20191117_05_00</v>
      </c>
      <c r="I819" s="70">
        <f t="shared" si="402"/>
        <v>1</v>
      </c>
      <c r="J819" s="77" t="str">
        <f t="shared" si="402"/>
        <v>Senecio</v>
      </c>
      <c r="K819" s="77" t="str">
        <f t="shared" si="402"/>
        <v>burtoni</v>
      </c>
      <c r="L819" s="78">
        <f t="shared" si="402"/>
        <v>6</v>
      </c>
      <c r="M819" s="78">
        <f t="shared" si="402"/>
        <v>12</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INDEX([1]!VISITORS[INSECT ORDER], MATCH(X819,[1]!VISITORS[NAME USED],0))</f>
        <v>#REF!</v>
      </c>
      <c r="AB819" s="48" t="e">
        <f t="shared" si="383"/>
        <v>#REF!</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17</v>
      </c>
      <c r="D820" s="75">
        <f t="shared" si="376"/>
        <v>5</v>
      </c>
      <c r="E820" s="76">
        <f t="shared" si="377"/>
        <v>22</v>
      </c>
      <c r="F820" s="80"/>
      <c r="G820" s="83"/>
      <c r="H820" s="69" t="str">
        <f t="shared" si="399"/>
        <v>Senbur6_20191117_05_00</v>
      </c>
      <c r="I820" s="70">
        <f t="shared" si="402"/>
        <v>1</v>
      </c>
      <c r="J820" s="77" t="str">
        <f t="shared" si="402"/>
        <v>Senecio</v>
      </c>
      <c r="K820" s="77" t="str">
        <f t="shared" si="402"/>
        <v>burtoni</v>
      </c>
      <c r="L820" s="78">
        <f t="shared" si="402"/>
        <v>6</v>
      </c>
      <c r="M820" s="78">
        <f t="shared" si="402"/>
        <v>12</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INDEX([1]!VISITORS[INSECT ORDER], MATCH(X820,[1]!VISITORS[NAME USED],0))</f>
        <v>#REF!</v>
      </c>
      <c r="AB820" s="48" t="e">
        <f t="shared" si="383"/>
        <v>#REF!</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17</v>
      </c>
      <c r="D821" s="75">
        <f t="shared" si="376"/>
        <v>5</v>
      </c>
      <c r="E821" s="76">
        <f t="shared" si="377"/>
        <v>23</v>
      </c>
      <c r="F821" s="80"/>
      <c r="G821" s="83"/>
      <c r="H821" s="69" t="str">
        <f t="shared" si="399"/>
        <v>Senbur6_20191117_05_00</v>
      </c>
      <c r="I821" s="70">
        <f t="shared" ref="I821:N836" si="403">I820</f>
        <v>1</v>
      </c>
      <c r="J821" s="77" t="str">
        <f t="shared" si="403"/>
        <v>Senecio</v>
      </c>
      <c r="K821" s="77" t="str">
        <f t="shared" si="403"/>
        <v>burtoni</v>
      </c>
      <c r="L821" s="78">
        <f t="shared" si="403"/>
        <v>6</v>
      </c>
      <c r="M821" s="78">
        <f t="shared" si="403"/>
        <v>12</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INDEX([1]!VISITORS[INSECT ORDER], MATCH(X821,[1]!VISITORS[NAME USED],0))</f>
        <v>#REF!</v>
      </c>
      <c r="AB821" s="48" t="e">
        <f t="shared" si="383"/>
        <v>#REF!</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17</v>
      </c>
      <c r="D822" s="75">
        <f t="shared" si="376"/>
        <v>5</v>
      </c>
      <c r="E822" s="76">
        <f t="shared" si="377"/>
        <v>24</v>
      </c>
      <c r="F822" s="80"/>
      <c r="G822" s="83"/>
      <c r="H822" s="69" t="str">
        <f t="shared" si="399"/>
        <v>Senbur6_20191117_05_00</v>
      </c>
      <c r="I822" s="70">
        <f t="shared" si="403"/>
        <v>1</v>
      </c>
      <c r="J822" s="77" t="str">
        <f t="shared" si="403"/>
        <v>Senecio</v>
      </c>
      <c r="K822" s="77" t="str">
        <f t="shared" si="403"/>
        <v>burtoni</v>
      </c>
      <c r="L822" s="78">
        <f t="shared" si="403"/>
        <v>6</v>
      </c>
      <c r="M822" s="78">
        <f t="shared" si="403"/>
        <v>12</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INDEX([1]!VISITORS[INSECT ORDER], MATCH(X822,[1]!VISITORS[NAME USED],0))</f>
        <v>#REF!</v>
      </c>
      <c r="AB822" s="48" t="e">
        <f t="shared" si="383"/>
        <v>#REF!</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17</v>
      </c>
      <c r="D823" s="75">
        <f t="shared" si="376"/>
        <v>5</v>
      </c>
      <c r="E823" s="76">
        <f t="shared" si="377"/>
        <v>25</v>
      </c>
      <c r="F823" s="80"/>
      <c r="G823" s="83"/>
      <c r="H823" s="69" t="str">
        <f t="shared" si="399"/>
        <v>Senbur6_20191117_05_00</v>
      </c>
      <c r="I823" s="70">
        <f t="shared" si="403"/>
        <v>1</v>
      </c>
      <c r="J823" s="77" t="str">
        <f t="shared" si="403"/>
        <v>Senecio</v>
      </c>
      <c r="K823" s="77" t="str">
        <f t="shared" si="403"/>
        <v>burtoni</v>
      </c>
      <c r="L823" s="78">
        <f t="shared" si="403"/>
        <v>6</v>
      </c>
      <c r="M823" s="78">
        <f t="shared" si="403"/>
        <v>12</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INDEX([1]!VISITORS[INSECT ORDER], MATCH(X823,[1]!VISITORS[NAME USED],0))</f>
        <v>#REF!</v>
      </c>
      <c r="AB823" s="48" t="e">
        <f t="shared" si="383"/>
        <v>#REF!</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17</v>
      </c>
      <c r="D824" s="75">
        <f t="shared" si="376"/>
        <v>5</v>
      </c>
      <c r="E824" s="76">
        <f t="shared" si="377"/>
        <v>26</v>
      </c>
      <c r="F824" s="80"/>
      <c r="G824" s="83"/>
      <c r="H824" s="69" t="str">
        <f t="shared" si="399"/>
        <v>Senbur6_20191117_05_00</v>
      </c>
      <c r="I824" s="70">
        <f t="shared" si="403"/>
        <v>1</v>
      </c>
      <c r="J824" s="77" t="str">
        <f t="shared" si="403"/>
        <v>Senecio</v>
      </c>
      <c r="K824" s="77" t="str">
        <f t="shared" si="403"/>
        <v>burtoni</v>
      </c>
      <c r="L824" s="78">
        <f t="shared" si="403"/>
        <v>6</v>
      </c>
      <c r="M824" s="78">
        <f t="shared" si="403"/>
        <v>12</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INDEX([1]!VISITORS[INSECT ORDER], MATCH(X824,[1]!VISITORS[NAME USED],0))</f>
        <v>#REF!</v>
      </c>
      <c r="AB824" s="48" t="e">
        <f t="shared" si="383"/>
        <v>#REF!</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17</v>
      </c>
      <c r="D825" s="75">
        <f t="shared" si="376"/>
        <v>5</v>
      </c>
      <c r="E825" s="76">
        <f t="shared" si="377"/>
        <v>27</v>
      </c>
      <c r="F825" s="80"/>
      <c r="G825" s="83"/>
      <c r="H825" s="69" t="str">
        <f t="shared" si="399"/>
        <v>Senbur6_20191117_05_00</v>
      </c>
      <c r="I825" s="70">
        <f t="shared" si="403"/>
        <v>1</v>
      </c>
      <c r="J825" s="77" t="str">
        <f t="shared" si="403"/>
        <v>Senecio</v>
      </c>
      <c r="K825" s="77" t="str">
        <f t="shared" si="403"/>
        <v>burtoni</v>
      </c>
      <c r="L825" s="78">
        <f t="shared" si="403"/>
        <v>6</v>
      </c>
      <c r="M825" s="78">
        <f t="shared" si="403"/>
        <v>12</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INDEX([1]!VISITORS[INSECT ORDER], MATCH(X825,[1]!VISITORS[NAME USED],0))</f>
        <v>#REF!</v>
      </c>
      <c r="AB825" s="48" t="e">
        <f t="shared" si="383"/>
        <v>#REF!</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17</v>
      </c>
      <c r="D826" s="75">
        <f t="shared" si="376"/>
        <v>5</v>
      </c>
      <c r="E826" s="76">
        <f t="shared" si="377"/>
        <v>28</v>
      </c>
      <c r="F826" s="80"/>
      <c r="G826" s="83"/>
      <c r="H826" s="69" t="str">
        <f t="shared" si="399"/>
        <v>Senbur6_20191117_05_00</v>
      </c>
      <c r="I826" s="70">
        <f t="shared" si="403"/>
        <v>1</v>
      </c>
      <c r="J826" s="77" t="str">
        <f t="shared" si="403"/>
        <v>Senecio</v>
      </c>
      <c r="K826" s="77" t="str">
        <f t="shared" si="403"/>
        <v>burtoni</v>
      </c>
      <c r="L826" s="78">
        <f t="shared" si="403"/>
        <v>6</v>
      </c>
      <c r="M826" s="78">
        <f t="shared" si="403"/>
        <v>12</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INDEX([1]!VISITORS[INSECT ORDER], MATCH(X826,[1]!VISITORS[NAME USED],0))</f>
        <v>#REF!</v>
      </c>
      <c r="AB826" s="48" t="e">
        <f t="shared" si="383"/>
        <v>#REF!</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17</v>
      </c>
      <c r="D827" s="75">
        <f t="shared" si="376"/>
        <v>5</v>
      </c>
      <c r="E827" s="76">
        <f t="shared" si="377"/>
        <v>29</v>
      </c>
      <c r="F827" s="80"/>
      <c r="G827" s="83"/>
      <c r="H827" s="69" t="str">
        <f t="shared" si="399"/>
        <v>Senbur6_20191117_05_00</v>
      </c>
      <c r="I827" s="70">
        <f t="shared" si="403"/>
        <v>1</v>
      </c>
      <c r="J827" s="77" t="str">
        <f t="shared" si="403"/>
        <v>Senecio</v>
      </c>
      <c r="K827" s="77" t="str">
        <f t="shared" si="403"/>
        <v>burtoni</v>
      </c>
      <c r="L827" s="78">
        <f t="shared" si="403"/>
        <v>6</v>
      </c>
      <c r="M827" s="78">
        <f t="shared" si="403"/>
        <v>12</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INDEX([1]!VISITORS[INSECT ORDER], MATCH(X827,[1]!VISITORS[NAME USED],0))</f>
        <v>#REF!</v>
      </c>
      <c r="AB827" s="48" t="e">
        <f t="shared" si="383"/>
        <v>#REF!</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17</v>
      </c>
      <c r="D828" s="75">
        <f t="shared" si="376"/>
        <v>5</v>
      </c>
      <c r="E828" s="76">
        <f t="shared" si="377"/>
        <v>30</v>
      </c>
      <c r="F828" s="80"/>
      <c r="G828" s="83"/>
      <c r="H828" s="69" t="str">
        <f t="shared" si="399"/>
        <v>Senbur6_20191117_05_00</v>
      </c>
      <c r="I828" s="70">
        <f t="shared" si="403"/>
        <v>1</v>
      </c>
      <c r="J828" s="77" t="str">
        <f t="shared" si="403"/>
        <v>Senecio</v>
      </c>
      <c r="K828" s="77" t="str">
        <f t="shared" si="403"/>
        <v>burtoni</v>
      </c>
      <c r="L828" s="78">
        <f t="shared" si="403"/>
        <v>6</v>
      </c>
      <c r="M828" s="78">
        <f t="shared" si="403"/>
        <v>12</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INDEX([1]!VISITORS[INSECT ORDER], MATCH(X828,[1]!VISITORS[NAME USED],0))</f>
        <v>#REF!</v>
      </c>
      <c r="AB828" s="48" t="e">
        <f t="shared" si="383"/>
        <v>#REF!</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17</v>
      </c>
      <c r="D829" s="75">
        <f t="shared" si="376"/>
        <v>5</v>
      </c>
      <c r="E829" s="76">
        <f t="shared" si="377"/>
        <v>31</v>
      </c>
      <c r="F829" s="80"/>
      <c r="G829" s="83"/>
      <c r="H829" s="69" t="str">
        <f t="shared" si="399"/>
        <v>Senbur6_20191117_05_00</v>
      </c>
      <c r="I829" s="70">
        <f t="shared" si="403"/>
        <v>1</v>
      </c>
      <c r="J829" s="77" t="str">
        <f t="shared" si="403"/>
        <v>Senecio</v>
      </c>
      <c r="K829" s="77" t="str">
        <f t="shared" si="403"/>
        <v>burtoni</v>
      </c>
      <c r="L829" s="78">
        <f t="shared" si="403"/>
        <v>6</v>
      </c>
      <c r="M829" s="78">
        <f t="shared" si="403"/>
        <v>12</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INDEX([1]!VISITORS[INSECT ORDER], MATCH(X829,[1]!VISITORS[NAME USED],0))</f>
        <v>#REF!</v>
      </c>
      <c r="AB829" s="48" t="e">
        <f t="shared" si="383"/>
        <v>#REF!</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17</v>
      </c>
      <c r="D830" s="75">
        <f t="shared" si="376"/>
        <v>5</v>
      </c>
      <c r="E830" s="76">
        <f t="shared" si="377"/>
        <v>32</v>
      </c>
      <c r="F830" s="80"/>
      <c r="G830" s="83"/>
      <c r="H830" s="69" t="str">
        <f t="shared" si="399"/>
        <v>Senbur6_20191117_05_00</v>
      </c>
      <c r="I830" s="70">
        <f t="shared" si="403"/>
        <v>1</v>
      </c>
      <c r="J830" s="77" t="str">
        <f t="shared" si="403"/>
        <v>Senecio</v>
      </c>
      <c r="K830" s="77" t="str">
        <f t="shared" si="403"/>
        <v>burtoni</v>
      </c>
      <c r="L830" s="78">
        <f t="shared" si="403"/>
        <v>6</v>
      </c>
      <c r="M830" s="78">
        <f t="shared" si="403"/>
        <v>12</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INDEX([1]!VISITORS[INSECT ORDER], MATCH(X830,[1]!VISITORS[NAME USED],0))</f>
        <v>#REF!</v>
      </c>
      <c r="AB830" s="48" t="e">
        <f t="shared" si="383"/>
        <v>#REF!</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17</v>
      </c>
      <c r="D831" s="75">
        <f t="shared" si="376"/>
        <v>5</v>
      </c>
      <c r="E831" s="76">
        <f t="shared" si="377"/>
        <v>33</v>
      </c>
      <c r="F831" s="80"/>
      <c r="G831" s="83"/>
      <c r="H831" s="69" t="str">
        <f t="shared" si="399"/>
        <v>Senbur6_20191117_05_00</v>
      </c>
      <c r="I831" s="70">
        <f t="shared" si="403"/>
        <v>1</v>
      </c>
      <c r="J831" s="77" t="str">
        <f t="shared" si="403"/>
        <v>Senecio</v>
      </c>
      <c r="K831" s="77" t="str">
        <f t="shared" si="403"/>
        <v>burtoni</v>
      </c>
      <c r="L831" s="78">
        <f t="shared" si="403"/>
        <v>6</v>
      </c>
      <c r="M831" s="78">
        <f t="shared" si="403"/>
        <v>12</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INDEX([1]!VISITORS[INSECT ORDER], MATCH(X831,[1]!VISITORS[NAME USED],0))</f>
        <v>#REF!</v>
      </c>
      <c r="AB831" s="48" t="e">
        <f t="shared" si="383"/>
        <v>#REF!</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17</v>
      </c>
      <c r="D832" s="75">
        <f t="shared" si="376"/>
        <v>5</v>
      </c>
      <c r="E832" s="76">
        <f t="shared" si="377"/>
        <v>34</v>
      </c>
      <c r="F832" s="80"/>
      <c r="G832" s="83"/>
      <c r="H832" s="69" t="str">
        <f t="shared" si="399"/>
        <v>Senbur6_20191117_05_00</v>
      </c>
      <c r="I832" s="70">
        <f t="shared" si="403"/>
        <v>1</v>
      </c>
      <c r="J832" s="77" t="str">
        <f t="shared" si="403"/>
        <v>Senecio</v>
      </c>
      <c r="K832" s="77" t="str">
        <f t="shared" si="403"/>
        <v>burtoni</v>
      </c>
      <c r="L832" s="78">
        <f t="shared" si="403"/>
        <v>6</v>
      </c>
      <c r="M832" s="78">
        <f t="shared" si="403"/>
        <v>12</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INDEX([1]!VISITORS[INSECT ORDER], MATCH(X832,[1]!VISITORS[NAME USED],0))</f>
        <v>#REF!</v>
      </c>
      <c r="AB832" s="48" t="e">
        <f t="shared" si="383"/>
        <v>#REF!</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17</v>
      </c>
      <c r="D833" s="75">
        <f t="shared" si="376"/>
        <v>5</v>
      </c>
      <c r="E833" s="76">
        <f t="shared" si="377"/>
        <v>35</v>
      </c>
      <c r="F833" s="80"/>
      <c r="G833" s="83"/>
      <c r="H833" s="69" t="str">
        <f t="shared" si="399"/>
        <v>Senbur6_20191117_05_00</v>
      </c>
      <c r="I833" s="70">
        <f t="shared" si="403"/>
        <v>1</v>
      </c>
      <c r="J833" s="77" t="str">
        <f t="shared" si="403"/>
        <v>Senecio</v>
      </c>
      <c r="K833" s="77" t="str">
        <f t="shared" si="403"/>
        <v>burtoni</v>
      </c>
      <c r="L833" s="78">
        <f t="shared" si="403"/>
        <v>6</v>
      </c>
      <c r="M833" s="78">
        <f t="shared" si="403"/>
        <v>12</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INDEX([1]!VISITORS[INSECT ORDER], MATCH(X833,[1]!VISITORS[NAME USED],0))</f>
        <v>#REF!</v>
      </c>
      <c r="AB833" s="48" t="e">
        <f t="shared" si="383"/>
        <v>#REF!</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17</v>
      </c>
      <c r="D834" s="75">
        <f t="shared" si="376"/>
        <v>5</v>
      </c>
      <c r="E834" s="76">
        <f t="shared" si="377"/>
        <v>36</v>
      </c>
      <c r="F834" s="80"/>
      <c r="G834" s="83"/>
      <c r="H834" s="69" t="str">
        <f t="shared" si="399"/>
        <v>Senbur6_20191117_05_00</v>
      </c>
      <c r="I834" s="70">
        <f t="shared" si="403"/>
        <v>1</v>
      </c>
      <c r="J834" s="77" t="str">
        <f t="shared" si="403"/>
        <v>Senecio</v>
      </c>
      <c r="K834" s="77" t="str">
        <f t="shared" si="403"/>
        <v>burtoni</v>
      </c>
      <c r="L834" s="78">
        <f t="shared" si="403"/>
        <v>6</v>
      </c>
      <c r="M834" s="78">
        <f t="shared" si="403"/>
        <v>12</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INDEX([1]!VISITORS[INSECT ORDER], MATCH(X834,[1]!VISITORS[NAME USED],0))</f>
        <v>#REF!</v>
      </c>
      <c r="AB834" s="48" t="e">
        <f t="shared" si="383"/>
        <v>#REF!</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17</v>
      </c>
      <c r="D835" s="75">
        <f t="shared" si="376"/>
        <v>5</v>
      </c>
      <c r="E835" s="76">
        <f t="shared" si="377"/>
        <v>37</v>
      </c>
      <c r="F835" s="80"/>
      <c r="G835" s="83"/>
      <c r="H835" s="69" t="str">
        <f t="shared" si="399"/>
        <v>Senbur6_20191117_05_00</v>
      </c>
      <c r="I835" s="70">
        <f t="shared" si="403"/>
        <v>1</v>
      </c>
      <c r="J835" s="77" t="str">
        <f t="shared" si="403"/>
        <v>Senecio</v>
      </c>
      <c r="K835" s="77" t="str">
        <f t="shared" si="403"/>
        <v>burtoni</v>
      </c>
      <c r="L835" s="78">
        <f t="shared" si="403"/>
        <v>6</v>
      </c>
      <c r="M835" s="78">
        <f t="shared" si="403"/>
        <v>12</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INDEX([1]!VISITORS[INSECT ORDER], MATCH(X835,[1]!VISITORS[NAME USED],0))</f>
        <v>#REF!</v>
      </c>
      <c r="AB835" s="48" t="e">
        <f t="shared" si="383"/>
        <v>#REF!</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17</v>
      </c>
      <c r="D836" s="75">
        <f t="shared" ref="D836:D899" si="407">IF(IF(E835=59,D835+1,D835)=24,0,IF(E835=59,D835+1,D835))</f>
        <v>5</v>
      </c>
      <c r="E836" s="76">
        <f t="shared" ref="E836:E899" si="408">IF(E835&lt;59,E835+1,0)</f>
        <v>38</v>
      </c>
      <c r="F836" s="80"/>
      <c r="G836" s="83"/>
      <c r="H836" s="69" t="str">
        <f t="shared" si="399"/>
        <v>Senbur6_20191117_05_00</v>
      </c>
      <c r="I836" s="70">
        <f t="shared" si="403"/>
        <v>1</v>
      </c>
      <c r="J836" s="77" t="str">
        <f t="shared" si="403"/>
        <v>Senecio</v>
      </c>
      <c r="K836" s="77" t="str">
        <f t="shared" si="403"/>
        <v>burtoni</v>
      </c>
      <c r="L836" s="78">
        <f t="shared" si="403"/>
        <v>6</v>
      </c>
      <c r="M836" s="78">
        <f t="shared" si="403"/>
        <v>12</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INDEX([1]!VISITORS[INSECT ORDER], MATCH(X836,[1]!VISITORS[NAME USED],0))</f>
        <v>#REF!</v>
      </c>
      <c r="AB836" s="48" t="e">
        <f t="shared" ref="AB836:AB899" si="414">IF(AA836&lt;&gt;0,"NA","")</f>
        <v>#REF!</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17</v>
      </c>
      <c r="D837" s="75">
        <f t="shared" si="407"/>
        <v>5</v>
      </c>
      <c r="E837" s="76">
        <f t="shared" si="408"/>
        <v>39</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Senbur6_20191117_05_00</v>
      </c>
      <c r="I837" s="70">
        <f t="shared" ref="I837:N852" si="431">I836</f>
        <v>1</v>
      </c>
      <c r="J837" s="77" t="str">
        <f t="shared" si="431"/>
        <v>Senecio</v>
      </c>
      <c r="K837" s="77" t="str">
        <f t="shared" si="431"/>
        <v>burtoni</v>
      </c>
      <c r="L837" s="78">
        <f t="shared" si="431"/>
        <v>6</v>
      </c>
      <c r="M837" s="78">
        <f t="shared" si="431"/>
        <v>12</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INDEX([1]!VISITORS[INSECT ORDER], MATCH(X837,[1]!VISITORS[NAME USED],0))</f>
        <v>#REF!</v>
      </c>
      <c r="AB837" s="48" t="e">
        <f t="shared" si="414"/>
        <v>#REF!</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17</v>
      </c>
      <c r="D838" s="75">
        <f t="shared" si="407"/>
        <v>5</v>
      </c>
      <c r="E838" s="76">
        <f t="shared" si="408"/>
        <v>40</v>
      </c>
      <c r="F838" s="80"/>
      <c r="G838" s="83"/>
      <c r="H838" s="69" t="str">
        <f t="shared" si="430"/>
        <v>Senbur6_20191117_05_00</v>
      </c>
      <c r="I838" s="70">
        <f t="shared" si="431"/>
        <v>1</v>
      </c>
      <c r="J838" s="77" t="str">
        <f t="shared" si="431"/>
        <v>Senecio</v>
      </c>
      <c r="K838" s="77" t="str">
        <f t="shared" si="431"/>
        <v>burtoni</v>
      </c>
      <c r="L838" s="78">
        <f t="shared" si="431"/>
        <v>6</v>
      </c>
      <c r="M838" s="78">
        <f t="shared" si="431"/>
        <v>12</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INDEX([1]!VISITORS[INSECT ORDER], MATCH(X838,[1]!VISITORS[NAME USED],0))</f>
        <v>#REF!</v>
      </c>
      <c r="AB838" s="48" t="e">
        <f t="shared" si="414"/>
        <v>#REF!</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17</v>
      </c>
      <c r="D839" s="75">
        <f t="shared" si="407"/>
        <v>5</v>
      </c>
      <c r="E839" s="76">
        <f t="shared" si="408"/>
        <v>41</v>
      </c>
      <c r="F839" s="80"/>
      <c r="G839" s="83"/>
      <c r="H839" s="69" t="str">
        <f t="shared" si="430"/>
        <v>Senbur6_20191117_05_00</v>
      </c>
      <c r="I839" s="70">
        <f t="shared" si="431"/>
        <v>1</v>
      </c>
      <c r="J839" s="77" t="str">
        <f t="shared" si="431"/>
        <v>Senecio</v>
      </c>
      <c r="K839" s="77" t="str">
        <f t="shared" si="431"/>
        <v>burtoni</v>
      </c>
      <c r="L839" s="78">
        <f t="shared" si="431"/>
        <v>6</v>
      </c>
      <c r="M839" s="78">
        <f t="shared" si="431"/>
        <v>12</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INDEX([1]!VISITORS[INSECT ORDER], MATCH(X839,[1]!VISITORS[NAME USED],0))</f>
        <v>#REF!</v>
      </c>
      <c r="AB839" s="48" t="e">
        <f t="shared" si="414"/>
        <v>#REF!</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17</v>
      </c>
      <c r="D840" s="75">
        <f t="shared" si="407"/>
        <v>5</v>
      </c>
      <c r="E840" s="76">
        <f t="shared" si="408"/>
        <v>42</v>
      </c>
      <c r="F840" s="80"/>
      <c r="G840" s="83"/>
      <c r="H840" s="69" t="str">
        <f t="shared" si="430"/>
        <v>Senbur6_20191117_05_00</v>
      </c>
      <c r="I840" s="70">
        <f t="shared" si="431"/>
        <v>1</v>
      </c>
      <c r="J840" s="77" t="str">
        <f t="shared" si="431"/>
        <v>Senecio</v>
      </c>
      <c r="K840" s="77" t="str">
        <f t="shared" si="431"/>
        <v>burtoni</v>
      </c>
      <c r="L840" s="78">
        <f t="shared" si="431"/>
        <v>6</v>
      </c>
      <c r="M840" s="78">
        <f t="shared" si="431"/>
        <v>12</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INDEX([1]!VISITORS[INSECT ORDER], MATCH(X840,[1]!VISITORS[NAME USED],0))</f>
        <v>#REF!</v>
      </c>
      <c r="AB840" s="48" t="e">
        <f t="shared" si="414"/>
        <v>#REF!</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17</v>
      </c>
      <c r="D841" s="75">
        <f t="shared" si="407"/>
        <v>5</v>
      </c>
      <c r="E841" s="76">
        <f t="shared" si="408"/>
        <v>43</v>
      </c>
      <c r="F841" s="80"/>
      <c r="G841" s="83"/>
      <c r="H841" s="69" t="str">
        <f t="shared" si="430"/>
        <v>Senbur6_20191117_05_00</v>
      </c>
      <c r="I841" s="70">
        <f t="shared" si="431"/>
        <v>1</v>
      </c>
      <c r="J841" s="77" t="str">
        <f t="shared" si="431"/>
        <v>Senecio</v>
      </c>
      <c r="K841" s="77" t="str">
        <f t="shared" si="431"/>
        <v>burtoni</v>
      </c>
      <c r="L841" s="78">
        <f t="shared" si="431"/>
        <v>6</v>
      </c>
      <c r="M841" s="78">
        <f t="shared" si="431"/>
        <v>12</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INDEX([1]!VISITORS[INSECT ORDER], MATCH(X841,[1]!VISITORS[NAME USED],0))</f>
        <v>#REF!</v>
      </c>
      <c r="AB841" s="48" t="e">
        <f t="shared" si="414"/>
        <v>#REF!</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17</v>
      </c>
      <c r="D842" s="75">
        <f t="shared" si="407"/>
        <v>5</v>
      </c>
      <c r="E842" s="76">
        <f t="shared" si="408"/>
        <v>44</v>
      </c>
      <c r="F842" s="80"/>
      <c r="G842" s="83"/>
      <c r="H842" s="69" t="str">
        <f t="shared" si="430"/>
        <v>Senbur6_20191117_05_00</v>
      </c>
      <c r="I842" s="70">
        <f t="shared" si="431"/>
        <v>1</v>
      </c>
      <c r="J842" s="77" t="str">
        <f t="shared" si="431"/>
        <v>Senecio</v>
      </c>
      <c r="K842" s="77" t="str">
        <f t="shared" si="431"/>
        <v>burtoni</v>
      </c>
      <c r="L842" s="78">
        <f t="shared" si="431"/>
        <v>6</v>
      </c>
      <c r="M842" s="78">
        <f t="shared" si="431"/>
        <v>12</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INDEX([1]!VISITORS[INSECT ORDER], MATCH(X842,[1]!VISITORS[NAME USED],0))</f>
        <v>#REF!</v>
      </c>
      <c r="AB842" s="48" t="e">
        <f t="shared" si="414"/>
        <v>#REF!</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17</v>
      </c>
      <c r="D843" s="75">
        <f t="shared" si="407"/>
        <v>5</v>
      </c>
      <c r="E843" s="76">
        <f t="shared" si="408"/>
        <v>45</v>
      </c>
      <c r="F843" s="80"/>
      <c r="G843" s="83"/>
      <c r="H843" s="69" t="str">
        <f t="shared" si="430"/>
        <v>Senbur6_20191117_05_00</v>
      </c>
      <c r="I843" s="70">
        <f t="shared" si="431"/>
        <v>1</v>
      </c>
      <c r="J843" s="77" t="str">
        <f t="shared" si="431"/>
        <v>Senecio</v>
      </c>
      <c r="K843" s="77" t="str">
        <f t="shared" si="431"/>
        <v>burtoni</v>
      </c>
      <c r="L843" s="78">
        <f t="shared" si="431"/>
        <v>6</v>
      </c>
      <c r="M843" s="78">
        <f t="shared" si="431"/>
        <v>12</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INDEX([1]!VISITORS[INSECT ORDER], MATCH(X843,[1]!VISITORS[NAME USED],0))</f>
        <v>#REF!</v>
      </c>
      <c r="AB843" s="48" t="e">
        <f t="shared" si="414"/>
        <v>#REF!</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17</v>
      </c>
      <c r="D844" s="75">
        <f t="shared" si="407"/>
        <v>5</v>
      </c>
      <c r="E844" s="76">
        <f t="shared" si="408"/>
        <v>46</v>
      </c>
      <c r="F844" s="80"/>
      <c r="G844" s="83"/>
      <c r="H844" s="69" t="str">
        <f t="shared" si="430"/>
        <v>Senbur6_20191117_05_00</v>
      </c>
      <c r="I844" s="70">
        <f t="shared" si="431"/>
        <v>1</v>
      </c>
      <c r="J844" s="77" t="str">
        <f t="shared" si="431"/>
        <v>Senecio</v>
      </c>
      <c r="K844" s="77" t="str">
        <f t="shared" si="431"/>
        <v>burtoni</v>
      </c>
      <c r="L844" s="78">
        <f t="shared" si="431"/>
        <v>6</v>
      </c>
      <c r="M844" s="78">
        <f t="shared" si="431"/>
        <v>12</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INDEX([1]!VISITORS[INSECT ORDER], MATCH(X844,[1]!VISITORS[NAME USED],0))</f>
        <v>#REF!</v>
      </c>
      <c r="AB844" s="48" t="e">
        <f t="shared" si="414"/>
        <v>#REF!</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17</v>
      </c>
      <c r="D845" s="75">
        <f t="shared" si="407"/>
        <v>5</v>
      </c>
      <c r="E845" s="76">
        <f t="shared" si="408"/>
        <v>47</v>
      </c>
      <c r="F845" s="80"/>
      <c r="G845" s="83"/>
      <c r="H845" s="69" t="str">
        <f t="shared" si="430"/>
        <v>Senbur6_20191117_05_00</v>
      </c>
      <c r="I845" s="70">
        <f t="shared" si="431"/>
        <v>1</v>
      </c>
      <c r="J845" s="77" t="str">
        <f t="shared" si="431"/>
        <v>Senecio</v>
      </c>
      <c r="K845" s="77" t="str">
        <f t="shared" si="431"/>
        <v>burtoni</v>
      </c>
      <c r="L845" s="78">
        <f t="shared" si="431"/>
        <v>6</v>
      </c>
      <c r="M845" s="78">
        <f t="shared" si="431"/>
        <v>12</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INDEX([1]!VISITORS[INSECT ORDER], MATCH(X845,[1]!VISITORS[NAME USED],0))</f>
        <v>#REF!</v>
      </c>
      <c r="AB845" s="48" t="e">
        <f t="shared" si="414"/>
        <v>#REF!</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17</v>
      </c>
      <c r="D846" s="75">
        <f t="shared" si="407"/>
        <v>5</v>
      </c>
      <c r="E846" s="76">
        <f t="shared" si="408"/>
        <v>48</v>
      </c>
      <c r="F846" s="80"/>
      <c r="G846" s="83"/>
      <c r="H846" s="69" t="str">
        <f t="shared" si="430"/>
        <v>Senbur6_20191117_05_00</v>
      </c>
      <c r="I846" s="70">
        <f t="shared" si="431"/>
        <v>1</v>
      </c>
      <c r="J846" s="77" t="str">
        <f t="shared" si="431"/>
        <v>Senecio</v>
      </c>
      <c r="K846" s="77" t="str">
        <f t="shared" si="431"/>
        <v>burtoni</v>
      </c>
      <c r="L846" s="78">
        <f t="shared" si="431"/>
        <v>6</v>
      </c>
      <c r="M846" s="78">
        <f t="shared" si="431"/>
        <v>12</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INDEX([1]!VISITORS[INSECT ORDER], MATCH(X846,[1]!VISITORS[NAME USED],0))</f>
        <v>#REF!</v>
      </c>
      <c r="AB846" s="48" t="e">
        <f t="shared" si="414"/>
        <v>#REF!</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17</v>
      </c>
      <c r="D847" s="75">
        <f t="shared" si="407"/>
        <v>5</v>
      </c>
      <c r="E847" s="76">
        <f t="shared" si="408"/>
        <v>49</v>
      </c>
      <c r="F847" s="80"/>
      <c r="G847" s="83"/>
      <c r="H847" s="69" t="str">
        <f t="shared" si="430"/>
        <v>Senbur6_20191117_05_00</v>
      </c>
      <c r="I847" s="70">
        <f t="shared" si="431"/>
        <v>1</v>
      </c>
      <c r="J847" s="77" t="str">
        <f t="shared" si="431"/>
        <v>Senecio</v>
      </c>
      <c r="K847" s="77" t="str">
        <f t="shared" si="431"/>
        <v>burtoni</v>
      </c>
      <c r="L847" s="78">
        <f t="shared" si="431"/>
        <v>6</v>
      </c>
      <c r="M847" s="78">
        <f t="shared" si="431"/>
        <v>12</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INDEX([1]!VISITORS[INSECT ORDER], MATCH(X847,[1]!VISITORS[NAME USED],0))</f>
        <v>#REF!</v>
      </c>
      <c r="AB847" s="48" t="e">
        <f t="shared" si="414"/>
        <v>#REF!</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17</v>
      </c>
      <c r="D848" s="75">
        <f t="shared" si="407"/>
        <v>5</v>
      </c>
      <c r="E848" s="76">
        <f t="shared" si="408"/>
        <v>50</v>
      </c>
      <c r="F848" s="80"/>
      <c r="G848" s="83"/>
      <c r="H848" s="69" t="str">
        <f t="shared" si="430"/>
        <v>Senbur6_20191117_05_00</v>
      </c>
      <c r="I848" s="70">
        <f t="shared" si="431"/>
        <v>1</v>
      </c>
      <c r="J848" s="77" t="str">
        <f t="shared" si="431"/>
        <v>Senecio</v>
      </c>
      <c r="K848" s="77" t="str">
        <f t="shared" si="431"/>
        <v>burtoni</v>
      </c>
      <c r="L848" s="78">
        <f t="shared" si="431"/>
        <v>6</v>
      </c>
      <c r="M848" s="78">
        <f t="shared" si="431"/>
        <v>12</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INDEX([1]!VISITORS[INSECT ORDER], MATCH(X848,[1]!VISITORS[NAME USED],0))</f>
        <v>#REF!</v>
      </c>
      <c r="AB848" s="48" t="e">
        <f t="shared" si="414"/>
        <v>#REF!</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17</v>
      </c>
      <c r="D849" s="75">
        <f t="shared" si="407"/>
        <v>5</v>
      </c>
      <c r="E849" s="76">
        <f t="shared" si="408"/>
        <v>51</v>
      </c>
      <c r="F849" s="80"/>
      <c r="G849" s="83"/>
      <c r="H849" s="69" t="str">
        <f t="shared" si="430"/>
        <v>Senbur6_20191117_05_00</v>
      </c>
      <c r="I849" s="70">
        <f t="shared" si="431"/>
        <v>1</v>
      </c>
      <c r="J849" s="77" t="str">
        <f t="shared" si="431"/>
        <v>Senecio</v>
      </c>
      <c r="K849" s="77" t="str">
        <f t="shared" si="431"/>
        <v>burtoni</v>
      </c>
      <c r="L849" s="78">
        <f t="shared" si="431"/>
        <v>6</v>
      </c>
      <c r="M849" s="78">
        <f t="shared" si="431"/>
        <v>12</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INDEX([1]!VISITORS[INSECT ORDER], MATCH(X849,[1]!VISITORS[NAME USED],0))</f>
        <v>#REF!</v>
      </c>
      <c r="AB849" s="48" t="e">
        <f t="shared" si="414"/>
        <v>#REF!</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17</v>
      </c>
      <c r="D850" s="75">
        <f t="shared" si="407"/>
        <v>5</v>
      </c>
      <c r="E850" s="76">
        <f t="shared" si="408"/>
        <v>52</v>
      </c>
      <c r="F850" s="80"/>
      <c r="G850" s="83"/>
      <c r="H850" s="69" t="str">
        <f t="shared" si="430"/>
        <v>Senbur6_20191117_05_00</v>
      </c>
      <c r="I850" s="70">
        <f t="shared" si="431"/>
        <v>1</v>
      </c>
      <c r="J850" s="77" t="str">
        <f t="shared" si="431"/>
        <v>Senecio</v>
      </c>
      <c r="K850" s="77" t="str">
        <f t="shared" si="431"/>
        <v>burtoni</v>
      </c>
      <c r="L850" s="78">
        <f t="shared" si="431"/>
        <v>6</v>
      </c>
      <c r="M850" s="78">
        <f t="shared" si="431"/>
        <v>12</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INDEX([1]!VISITORS[INSECT ORDER], MATCH(X850,[1]!VISITORS[NAME USED],0))</f>
        <v>#REF!</v>
      </c>
      <c r="AB850" s="48" t="e">
        <f t="shared" si="414"/>
        <v>#REF!</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17</v>
      </c>
      <c r="D851" s="75">
        <f t="shared" si="407"/>
        <v>5</v>
      </c>
      <c r="E851" s="76">
        <f t="shared" si="408"/>
        <v>53</v>
      </c>
      <c r="F851" s="80"/>
      <c r="G851" s="83"/>
      <c r="H851" s="69" t="str">
        <f t="shared" si="430"/>
        <v>Senbur6_20191117_05_00</v>
      </c>
      <c r="I851" s="70">
        <f t="shared" si="431"/>
        <v>1</v>
      </c>
      <c r="J851" s="77" t="str">
        <f t="shared" si="431"/>
        <v>Senecio</v>
      </c>
      <c r="K851" s="77" t="str">
        <f t="shared" si="431"/>
        <v>burtoni</v>
      </c>
      <c r="L851" s="78">
        <f t="shared" si="431"/>
        <v>6</v>
      </c>
      <c r="M851" s="78">
        <f t="shared" si="431"/>
        <v>12</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INDEX([1]!VISITORS[INSECT ORDER], MATCH(X851,[1]!VISITORS[NAME USED],0))</f>
        <v>#REF!</v>
      </c>
      <c r="AB851" s="48" t="e">
        <f t="shared" si="414"/>
        <v>#REF!</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17</v>
      </c>
      <c r="D852" s="75">
        <f t="shared" si="407"/>
        <v>5</v>
      </c>
      <c r="E852" s="76">
        <f t="shared" si="408"/>
        <v>54</v>
      </c>
      <c r="F852" s="80"/>
      <c r="G852" s="83"/>
      <c r="H852" s="69" t="str">
        <f t="shared" si="430"/>
        <v>Senbur6_20191117_05_00</v>
      </c>
      <c r="I852" s="70">
        <f t="shared" si="431"/>
        <v>1</v>
      </c>
      <c r="J852" s="77" t="str">
        <f t="shared" si="431"/>
        <v>Senecio</v>
      </c>
      <c r="K852" s="77" t="str">
        <f t="shared" si="431"/>
        <v>burtoni</v>
      </c>
      <c r="L852" s="78">
        <f t="shared" si="431"/>
        <v>6</v>
      </c>
      <c r="M852" s="78">
        <f t="shared" si="431"/>
        <v>12</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INDEX([1]!VISITORS[INSECT ORDER], MATCH(X852,[1]!VISITORS[NAME USED],0))</f>
        <v>#REF!</v>
      </c>
      <c r="AB852" s="48" t="e">
        <f t="shared" si="414"/>
        <v>#REF!</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17</v>
      </c>
      <c r="D853" s="75">
        <f t="shared" si="407"/>
        <v>5</v>
      </c>
      <c r="E853" s="76">
        <f t="shared" si="408"/>
        <v>55</v>
      </c>
      <c r="F853" s="80"/>
      <c r="G853" s="83"/>
      <c r="H853" s="69" t="str">
        <f t="shared" si="430"/>
        <v>Senbur6_20191117_05_00</v>
      </c>
      <c r="I853" s="70">
        <f t="shared" ref="I853:N868" si="432">I852</f>
        <v>1</v>
      </c>
      <c r="J853" s="77" t="str">
        <f t="shared" si="432"/>
        <v>Senecio</v>
      </c>
      <c r="K853" s="77" t="str">
        <f t="shared" si="432"/>
        <v>burtoni</v>
      </c>
      <c r="L853" s="78">
        <f t="shared" si="432"/>
        <v>6</v>
      </c>
      <c r="M853" s="78">
        <f t="shared" si="432"/>
        <v>12</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INDEX([1]!VISITORS[INSECT ORDER], MATCH(X853,[1]!VISITORS[NAME USED],0))</f>
        <v>#REF!</v>
      </c>
      <c r="AB853" s="48" t="e">
        <f t="shared" si="414"/>
        <v>#REF!</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17</v>
      </c>
      <c r="D854" s="75">
        <f t="shared" si="407"/>
        <v>5</v>
      </c>
      <c r="E854" s="76">
        <f t="shared" si="408"/>
        <v>56</v>
      </c>
      <c r="F854" s="80"/>
      <c r="G854" s="83"/>
      <c r="H854" s="69" t="str">
        <f t="shared" si="430"/>
        <v>Senbur6_20191117_05_00</v>
      </c>
      <c r="I854" s="70">
        <f t="shared" si="432"/>
        <v>1</v>
      </c>
      <c r="J854" s="77" t="str">
        <f t="shared" si="432"/>
        <v>Senecio</v>
      </c>
      <c r="K854" s="77" t="str">
        <f t="shared" si="432"/>
        <v>burtoni</v>
      </c>
      <c r="L854" s="78">
        <f t="shared" si="432"/>
        <v>6</v>
      </c>
      <c r="M854" s="78">
        <f t="shared" si="432"/>
        <v>12</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INDEX([1]!VISITORS[INSECT ORDER], MATCH(X854,[1]!VISITORS[NAME USED],0))</f>
        <v>#REF!</v>
      </c>
      <c r="AB854" s="48" t="e">
        <f t="shared" si="414"/>
        <v>#REF!</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17</v>
      </c>
      <c r="D855" s="75">
        <f t="shared" si="407"/>
        <v>5</v>
      </c>
      <c r="E855" s="76">
        <f t="shared" si="408"/>
        <v>57</v>
      </c>
      <c r="F855" s="80"/>
      <c r="G855" s="83"/>
      <c r="H855" s="69" t="str">
        <f t="shared" si="430"/>
        <v>Senbur6_20191117_05_00</v>
      </c>
      <c r="I855" s="70">
        <f t="shared" si="432"/>
        <v>1</v>
      </c>
      <c r="J855" s="77" t="str">
        <f t="shared" si="432"/>
        <v>Senecio</v>
      </c>
      <c r="K855" s="77" t="str">
        <f t="shared" si="432"/>
        <v>burtoni</v>
      </c>
      <c r="L855" s="78">
        <f t="shared" si="432"/>
        <v>6</v>
      </c>
      <c r="M855" s="78">
        <f t="shared" si="432"/>
        <v>12</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INDEX([1]!VISITORS[INSECT ORDER], MATCH(X855,[1]!VISITORS[NAME USED],0))</f>
        <v>#REF!</v>
      </c>
      <c r="AB855" s="48" t="e">
        <f t="shared" si="414"/>
        <v>#REF!</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17</v>
      </c>
      <c r="D856" s="75">
        <f t="shared" si="407"/>
        <v>5</v>
      </c>
      <c r="E856" s="76">
        <f t="shared" si="408"/>
        <v>58</v>
      </c>
      <c r="F856" s="80"/>
      <c r="G856" s="83"/>
      <c r="H856" s="69" t="str">
        <f t="shared" si="430"/>
        <v>Senbur6_20191117_05_00</v>
      </c>
      <c r="I856" s="70">
        <f t="shared" si="432"/>
        <v>1</v>
      </c>
      <c r="J856" s="77" t="str">
        <f t="shared" si="432"/>
        <v>Senecio</v>
      </c>
      <c r="K856" s="77" t="str">
        <f t="shared" si="432"/>
        <v>burtoni</v>
      </c>
      <c r="L856" s="78">
        <f t="shared" si="432"/>
        <v>6</v>
      </c>
      <c r="M856" s="78">
        <f t="shared" si="432"/>
        <v>12</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INDEX([1]!VISITORS[INSECT ORDER], MATCH(X856,[1]!VISITORS[NAME USED],0))</f>
        <v>#REF!</v>
      </c>
      <c r="AB856" s="48" t="e">
        <f t="shared" si="414"/>
        <v>#REF!</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17</v>
      </c>
      <c r="D857" s="75">
        <f t="shared" si="407"/>
        <v>5</v>
      </c>
      <c r="E857" s="76">
        <f t="shared" si="408"/>
        <v>59</v>
      </c>
      <c r="F857" s="80"/>
      <c r="G857" s="83"/>
      <c r="H857" s="69" t="str">
        <f t="shared" si="430"/>
        <v>Senbur6_20191117_05_00</v>
      </c>
      <c r="I857" s="70">
        <f t="shared" si="432"/>
        <v>1</v>
      </c>
      <c r="J857" s="77" t="str">
        <f t="shared" si="432"/>
        <v>Senecio</v>
      </c>
      <c r="K857" s="77" t="str">
        <f t="shared" si="432"/>
        <v>burtoni</v>
      </c>
      <c r="L857" s="78">
        <f t="shared" si="432"/>
        <v>6</v>
      </c>
      <c r="M857" s="78">
        <f t="shared" si="432"/>
        <v>12</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INDEX([1]!VISITORS[INSECT ORDER], MATCH(X857,[1]!VISITORS[NAME USED],0))</f>
        <v>#REF!</v>
      </c>
      <c r="AB857" s="48" t="e">
        <f t="shared" si="414"/>
        <v>#REF!</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17</v>
      </c>
      <c r="D858" s="75">
        <f t="shared" si="407"/>
        <v>6</v>
      </c>
      <c r="E858" s="76">
        <f t="shared" si="408"/>
        <v>0</v>
      </c>
      <c r="F858" s="80"/>
      <c r="G858" s="83"/>
      <c r="H858" s="69" t="str">
        <f t="shared" si="430"/>
        <v>Senbur6_20191117_06_00</v>
      </c>
      <c r="I858" s="70">
        <f t="shared" si="432"/>
        <v>1</v>
      </c>
      <c r="J858" s="77" t="str">
        <f t="shared" si="432"/>
        <v>Senecio</v>
      </c>
      <c r="K858" s="77" t="str">
        <f t="shared" si="432"/>
        <v>burtoni</v>
      </c>
      <c r="L858" s="78">
        <f t="shared" si="432"/>
        <v>6</v>
      </c>
      <c r="M858" s="78">
        <f t="shared" si="432"/>
        <v>12</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INDEX([1]!VISITORS[INSECT ORDER], MATCH(X858,[1]!VISITORS[NAME USED],0))</f>
        <v>#REF!</v>
      </c>
      <c r="AB858" s="48" t="e">
        <f t="shared" si="414"/>
        <v>#REF!</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17</v>
      </c>
      <c r="D859" s="75">
        <f t="shared" si="407"/>
        <v>6</v>
      </c>
      <c r="E859" s="76">
        <f t="shared" si="408"/>
        <v>1</v>
      </c>
      <c r="F859" s="80"/>
      <c r="G859" s="83"/>
      <c r="H859" s="69" t="str">
        <f t="shared" si="430"/>
        <v>Senbur6_20191117_06_00</v>
      </c>
      <c r="I859" s="70">
        <f t="shared" si="432"/>
        <v>1</v>
      </c>
      <c r="J859" s="77" t="str">
        <f t="shared" si="432"/>
        <v>Senecio</v>
      </c>
      <c r="K859" s="77" t="str">
        <f t="shared" si="432"/>
        <v>burtoni</v>
      </c>
      <c r="L859" s="78">
        <f t="shared" si="432"/>
        <v>6</v>
      </c>
      <c r="M859" s="78">
        <f t="shared" si="432"/>
        <v>12</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INDEX([1]!VISITORS[INSECT ORDER], MATCH(X859,[1]!VISITORS[NAME USED],0))</f>
        <v>#REF!</v>
      </c>
      <c r="AB859" s="48" t="e">
        <f t="shared" si="414"/>
        <v>#REF!</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17</v>
      </c>
      <c r="D860" s="75">
        <f t="shared" si="407"/>
        <v>6</v>
      </c>
      <c r="E860" s="76">
        <f t="shared" si="408"/>
        <v>2</v>
      </c>
      <c r="F860" s="80"/>
      <c r="G860" s="83"/>
      <c r="H860" s="69" t="str">
        <f t="shared" si="430"/>
        <v>Senbur6_20191117_06_00</v>
      </c>
      <c r="I860" s="70">
        <f t="shared" si="432"/>
        <v>1</v>
      </c>
      <c r="J860" s="77" t="str">
        <f t="shared" si="432"/>
        <v>Senecio</v>
      </c>
      <c r="K860" s="77" t="str">
        <f t="shared" si="432"/>
        <v>burtoni</v>
      </c>
      <c r="L860" s="78">
        <f t="shared" si="432"/>
        <v>6</v>
      </c>
      <c r="M860" s="78">
        <f t="shared" si="432"/>
        <v>12</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INDEX([1]!VISITORS[INSECT ORDER], MATCH(X860,[1]!VISITORS[NAME USED],0))</f>
        <v>#REF!</v>
      </c>
      <c r="AB860" s="48" t="e">
        <f t="shared" si="414"/>
        <v>#REF!</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17</v>
      </c>
      <c r="D861" s="75">
        <f t="shared" si="407"/>
        <v>6</v>
      </c>
      <c r="E861" s="76">
        <f t="shared" si="408"/>
        <v>3</v>
      </c>
      <c r="F861" s="80"/>
      <c r="G861" s="83"/>
      <c r="H861" s="69" t="str">
        <f t="shared" si="430"/>
        <v>Senbur6_20191117_06_00</v>
      </c>
      <c r="I861" s="70">
        <f t="shared" si="432"/>
        <v>1</v>
      </c>
      <c r="J861" s="77" t="str">
        <f t="shared" si="432"/>
        <v>Senecio</v>
      </c>
      <c r="K861" s="77" t="str">
        <f t="shared" si="432"/>
        <v>burtoni</v>
      </c>
      <c r="L861" s="78">
        <f t="shared" si="432"/>
        <v>6</v>
      </c>
      <c r="M861" s="78">
        <f t="shared" si="432"/>
        <v>12</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INDEX([1]!VISITORS[INSECT ORDER], MATCH(X861,[1]!VISITORS[NAME USED],0))</f>
        <v>#REF!</v>
      </c>
      <c r="AB861" s="48" t="e">
        <f t="shared" si="414"/>
        <v>#REF!</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17</v>
      </c>
      <c r="D862" s="75">
        <f t="shared" si="407"/>
        <v>6</v>
      </c>
      <c r="E862" s="76">
        <f t="shared" si="408"/>
        <v>4</v>
      </c>
      <c r="F862" s="80"/>
      <c r="G862" s="83"/>
      <c r="H862" s="69" t="str">
        <f t="shared" si="430"/>
        <v>Senbur6_20191117_06_00</v>
      </c>
      <c r="I862" s="70">
        <f t="shared" si="432"/>
        <v>1</v>
      </c>
      <c r="J862" s="77" t="str">
        <f t="shared" si="432"/>
        <v>Senecio</v>
      </c>
      <c r="K862" s="77" t="str">
        <f t="shared" si="432"/>
        <v>burtoni</v>
      </c>
      <c r="L862" s="78">
        <f t="shared" si="432"/>
        <v>6</v>
      </c>
      <c r="M862" s="78">
        <f t="shared" si="432"/>
        <v>12</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INDEX([1]!VISITORS[INSECT ORDER], MATCH(X862,[1]!VISITORS[NAME USED],0))</f>
        <v>#REF!</v>
      </c>
      <c r="AB862" s="48" t="e">
        <f t="shared" si="414"/>
        <v>#REF!</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17</v>
      </c>
      <c r="D863" s="75">
        <f t="shared" si="407"/>
        <v>6</v>
      </c>
      <c r="E863" s="76">
        <f t="shared" si="408"/>
        <v>5</v>
      </c>
      <c r="F863" s="80"/>
      <c r="G863" s="83"/>
      <c r="H863" s="69" t="str">
        <f t="shared" si="430"/>
        <v>Senbur6_20191117_06_00</v>
      </c>
      <c r="I863" s="70">
        <f t="shared" si="432"/>
        <v>1</v>
      </c>
      <c r="J863" s="77" t="str">
        <f t="shared" si="432"/>
        <v>Senecio</v>
      </c>
      <c r="K863" s="77" t="str">
        <f t="shared" si="432"/>
        <v>burtoni</v>
      </c>
      <c r="L863" s="78">
        <f t="shared" si="432"/>
        <v>6</v>
      </c>
      <c r="M863" s="78">
        <f t="shared" si="432"/>
        <v>12</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INDEX([1]!VISITORS[INSECT ORDER], MATCH(X863,[1]!VISITORS[NAME USED],0))</f>
        <v>#REF!</v>
      </c>
      <c r="AB863" s="48" t="e">
        <f t="shared" si="414"/>
        <v>#REF!</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17</v>
      </c>
      <c r="D864" s="75">
        <f t="shared" si="407"/>
        <v>6</v>
      </c>
      <c r="E864" s="76">
        <f t="shared" si="408"/>
        <v>6</v>
      </c>
      <c r="F864" s="80"/>
      <c r="G864" s="83"/>
      <c r="H864" s="69" t="str">
        <f t="shared" si="430"/>
        <v>Senbur6_20191117_06_00</v>
      </c>
      <c r="I864" s="70">
        <f t="shared" si="432"/>
        <v>1</v>
      </c>
      <c r="J864" s="77" t="str">
        <f t="shared" si="432"/>
        <v>Senecio</v>
      </c>
      <c r="K864" s="77" t="str">
        <f t="shared" si="432"/>
        <v>burtoni</v>
      </c>
      <c r="L864" s="78">
        <f t="shared" si="432"/>
        <v>6</v>
      </c>
      <c r="M864" s="78">
        <f t="shared" si="432"/>
        <v>12</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INDEX([1]!VISITORS[INSECT ORDER], MATCH(X864,[1]!VISITORS[NAME USED],0))</f>
        <v>#REF!</v>
      </c>
      <c r="AB864" s="48" t="e">
        <f t="shared" si="414"/>
        <v>#REF!</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17</v>
      </c>
      <c r="D865" s="75">
        <f t="shared" si="407"/>
        <v>6</v>
      </c>
      <c r="E865" s="76">
        <f t="shared" si="408"/>
        <v>7</v>
      </c>
      <c r="F865" s="80"/>
      <c r="G865" s="83"/>
      <c r="H865" s="69" t="str">
        <f t="shared" si="430"/>
        <v>Senbur6_20191117_06_00</v>
      </c>
      <c r="I865" s="70">
        <f t="shared" si="432"/>
        <v>1</v>
      </c>
      <c r="J865" s="77" t="str">
        <f t="shared" si="432"/>
        <v>Senecio</v>
      </c>
      <c r="K865" s="77" t="str">
        <f t="shared" si="432"/>
        <v>burtoni</v>
      </c>
      <c r="L865" s="78">
        <f t="shared" si="432"/>
        <v>6</v>
      </c>
      <c r="M865" s="78">
        <f t="shared" si="432"/>
        <v>12</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INDEX([1]!VISITORS[INSECT ORDER], MATCH(X865,[1]!VISITORS[NAME USED],0))</f>
        <v>#REF!</v>
      </c>
      <c r="AB865" s="48" t="e">
        <f t="shared" si="414"/>
        <v>#REF!</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17</v>
      </c>
      <c r="D866" s="75">
        <f t="shared" si="407"/>
        <v>6</v>
      </c>
      <c r="E866" s="76">
        <f t="shared" si="408"/>
        <v>8</v>
      </c>
      <c r="F866" s="80"/>
      <c r="G866" s="83"/>
      <c r="H866" s="69" t="str">
        <f t="shared" si="430"/>
        <v>Senbur6_20191117_06_00</v>
      </c>
      <c r="I866" s="70">
        <f t="shared" si="432"/>
        <v>1</v>
      </c>
      <c r="J866" s="77" t="str">
        <f t="shared" si="432"/>
        <v>Senecio</v>
      </c>
      <c r="K866" s="77" t="str">
        <f t="shared" si="432"/>
        <v>burtoni</v>
      </c>
      <c r="L866" s="78">
        <f t="shared" si="432"/>
        <v>6</v>
      </c>
      <c r="M866" s="78">
        <f t="shared" si="432"/>
        <v>12</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INDEX([1]!VISITORS[INSECT ORDER], MATCH(X866,[1]!VISITORS[NAME USED],0))</f>
        <v>#REF!</v>
      </c>
      <c r="AB866" s="48" t="e">
        <f t="shared" si="414"/>
        <v>#REF!</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17</v>
      </c>
      <c r="D867" s="75">
        <f t="shared" si="407"/>
        <v>6</v>
      </c>
      <c r="E867" s="76">
        <f t="shared" si="408"/>
        <v>9</v>
      </c>
      <c r="F867" s="80"/>
      <c r="G867" s="83"/>
      <c r="H867" s="69" t="str">
        <f t="shared" si="430"/>
        <v>Senbur6_20191117_06_00</v>
      </c>
      <c r="I867" s="70">
        <f t="shared" si="432"/>
        <v>1</v>
      </c>
      <c r="J867" s="77" t="str">
        <f t="shared" si="432"/>
        <v>Senecio</v>
      </c>
      <c r="K867" s="77" t="str">
        <f t="shared" si="432"/>
        <v>burtoni</v>
      </c>
      <c r="L867" s="78">
        <f t="shared" si="432"/>
        <v>6</v>
      </c>
      <c r="M867" s="78">
        <f t="shared" si="432"/>
        <v>12</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INDEX([1]!VISITORS[INSECT ORDER], MATCH(X867,[1]!VISITORS[NAME USED],0))</f>
        <v>#REF!</v>
      </c>
      <c r="AB867" s="48" t="e">
        <f t="shared" si="414"/>
        <v>#REF!</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17</v>
      </c>
      <c r="D868" s="75">
        <f t="shared" si="407"/>
        <v>6</v>
      </c>
      <c r="E868" s="76">
        <f t="shared" si="408"/>
        <v>10</v>
      </c>
      <c r="F868" s="80"/>
      <c r="G868" s="83"/>
      <c r="H868" s="69" t="str">
        <f t="shared" si="430"/>
        <v>Senbur6_20191117_06_00</v>
      </c>
      <c r="I868" s="70">
        <f t="shared" si="432"/>
        <v>1</v>
      </c>
      <c r="J868" s="77" t="str">
        <f t="shared" si="432"/>
        <v>Senecio</v>
      </c>
      <c r="K868" s="77" t="str">
        <f t="shared" si="432"/>
        <v>burtoni</v>
      </c>
      <c r="L868" s="78">
        <f t="shared" si="432"/>
        <v>6</v>
      </c>
      <c r="M868" s="78">
        <f t="shared" si="432"/>
        <v>12</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INDEX([1]!VISITORS[INSECT ORDER], MATCH(X868,[1]!VISITORS[NAME USED],0))</f>
        <v>#REF!</v>
      </c>
      <c r="AB868" s="48" t="e">
        <f t="shared" si="414"/>
        <v>#REF!</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17</v>
      </c>
      <c r="D869" s="75">
        <f t="shared" si="407"/>
        <v>6</v>
      </c>
      <c r="E869" s="76">
        <f t="shared" si="408"/>
        <v>11</v>
      </c>
      <c r="F869" s="80"/>
      <c r="G869" s="83"/>
      <c r="H869" s="69" t="str">
        <f t="shared" si="430"/>
        <v>Senbur6_20191117_06_00</v>
      </c>
      <c r="I869" s="70">
        <f t="shared" ref="I869:N884" si="433">I868</f>
        <v>1</v>
      </c>
      <c r="J869" s="77" t="str">
        <f t="shared" si="433"/>
        <v>Senecio</v>
      </c>
      <c r="K869" s="77" t="str">
        <f t="shared" si="433"/>
        <v>burtoni</v>
      </c>
      <c r="L869" s="78">
        <f t="shared" si="433"/>
        <v>6</v>
      </c>
      <c r="M869" s="78">
        <f t="shared" si="433"/>
        <v>12</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INDEX([1]!VISITORS[INSECT ORDER], MATCH(X869,[1]!VISITORS[NAME USED],0))</f>
        <v>#REF!</v>
      </c>
      <c r="AB869" s="48" t="e">
        <f t="shared" si="414"/>
        <v>#REF!</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17</v>
      </c>
      <c r="D870" s="75">
        <f t="shared" si="407"/>
        <v>6</v>
      </c>
      <c r="E870" s="76">
        <f t="shared" si="408"/>
        <v>12</v>
      </c>
      <c r="F870" s="80"/>
      <c r="G870" s="83"/>
      <c r="H870" s="69" t="str">
        <f t="shared" si="430"/>
        <v>Senbur6_20191117_06_00</v>
      </c>
      <c r="I870" s="70">
        <f t="shared" si="433"/>
        <v>1</v>
      </c>
      <c r="J870" s="77" t="str">
        <f t="shared" si="433"/>
        <v>Senecio</v>
      </c>
      <c r="K870" s="77" t="str">
        <f t="shared" si="433"/>
        <v>burtoni</v>
      </c>
      <c r="L870" s="78">
        <f t="shared" si="433"/>
        <v>6</v>
      </c>
      <c r="M870" s="78">
        <f t="shared" si="433"/>
        <v>12</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INDEX([1]!VISITORS[INSECT ORDER], MATCH(X870,[1]!VISITORS[NAME USED],0))</f>
        <v>#REF!</v>
      </c>
      <c r="AB870" s="48" t="e">
        <f t="shared" si="414"/>
        <v>#REF!</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17</v>
      </c>
      <c r="D871" s="75">
        <f t="shared" si="407"/>
        <v>6</v>
      </c>
      <c r="E871" s="76">
        <f t="shared" si="408"/>
        <v>13</v>
      </c>
      <c r="F871" s="80"/>
      <c r="G871" s="83"/>
      <c r="H871" s="69" t="str">
        <f t="shared" si="430"/>
        <v>Senbur6_20191117_06_00</v>
      </c>
      <c r="I871" s="70">
        <f t="shared" si="433"/>
        <v>1</v>
      </c>
      <c r="J871" s="77" t="str">
        <f t="shared" si="433"/>
        <v>Senecio</v>
      </c>
      <c r="K871" s="77" t="str">
        <f t="shared" si="433"/>
        <v>burtoni</v>
      </c>
      <c r="L871" s="78">
        <f t="shared" si="433"/>
        <v>6</v>
      </c>
      <c r="M871" s="78">
        <f t="shared" si="433"/>
        <v>12</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INDEX([1]!VISITORS[INSECT ORDER], MATCH(X871,[1]!VISITORS[NAME USED],0))</f>
        <v>#REF!</v>
      </c>
      <c r="AB871" s="48" t="e">
        <f t="shared" si="414"/>
        <v>#REF!</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17</v>
      </c>
      <c r="D872" s="75">
        <f t="shared" si="407"/>
        <v>6</v>
      </c>
      <c r="E872" s="76">
        <f t="shared" si="408"/>
        <v>14</v>
      </c>
      <c r="F872" s="80"/>
      <c r="G872" s="83"/>
      <c r="H872" s="69" t="str">
        <f t="shared" si="430"/>
        <v>Senbur6_20191117_06_00</v>
      </c>
      <c r="I872" s="70">
        <f t="shared" si="433"/>
        <v>1</v>
      </c>
      <c r="J872" s="77" t="str">
        <f t="shared" si="433"/>
        <v>Senecio</v>
      </c>
      <c r="K872" s="77" t="str">
        <f t="shared" si="433"/>
        <v>burtoni</v>
      </c>
      <c r="L872" s="78">
        <f t="shared" si="433"/>
        <v>6</v>
      </c>
      <c r="M872" s="78">
        <f t="shared" si="433"/>
        <v>12</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INDEX([1]!VISITORS[INSECT ORDER], MATCH(X872,[1]!VISITORS[NAME USED],0))</f>
        <v>#REF!</v>
      </c>
      <c r="AB872" s="48" t="e">
        <f t="shared" si="414"/>
        <v>#REF!</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17</v>
      </c>
      <c r="D873" s="75">
        <f t="shared" si="407"/>
        <v>6</v>
      </c>
      <c r="E873" s="76">
        <f t="shared" si="408"/>
        <v>15</v>
      </c>
      <c r="F873" s="80"/>
      <c r="G873" s="83"/>
      <c r="H873" s="69" t="str">
        <f t="shared" si="430"/>
        <v>Senbur6_20191117_06_00</v>
      </c>
      <c r="I873" s="70">
        <f t="shared" si="433"/>
        <v>1</v>
      </c>
      <c r="J873" s="77" t="str">
        <f t="shared" si="433"/>
        <v>Senecio</v>
      </c>
      <c r="K873" s="77" t="str">
        <f t="shared" si="433"/>
        <v>burtoni</v>
      </c>
      <c r="L873" s="78">
        <f t="shared" si="433"/>
        <v>6</v>
      </c>
      <c r="M873" s="78">
        <f t="shared" si="433"/>
        <v>12</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INDEX([1]!VISITORS[INSECT ORDER], MATCH(X873,[1]!VISITORS[NAME USED],0))</f>
        <v>#REF!</v>
      </c>
      <c r="AB873" s="48" t="e">
        <f t="shared" si="414"/>
        <v>#REF!</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17</v>
      </c>
      <c r="D874" s="75">
        <f t="shared" si="407"/>
        <v>6</v>
      </c>
      <c r="E874" s="76">
        <f t="shared" si="408"/>
        <v>16</v>
      </c>
      <c r="F874" s="80"/>
      <c r="G874" s="83"/>
      <c r="H874" s="69" t="str">
        <f t="shared" si="430"/>
        <v>Senbur6_20191117_06_00</v>
      </c>
      <c r="I874" s="70">
        <f t="shared" si="433"/>
        <v>1</v>
      </c>
      <c r="J874" s="77" t="str">
        <f t="shared" si="433"/>
        <v>Senecio</v>
      </c>
      <c r="K874" s="77" t="str">
        <f t="shared" si="433"/>
        <v>burtoni</v>
      </c>
      <c r="L874" s="78">
        <f t="shared" si="433"/>
        <v>6</v>
      </c>
      <c r="M874" s="78">
        <f t="shared" si="433"/>
        <v>12</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INDEX([1]!VISITORS[INSECT ORDER], MATCH(X874,[1]!VISITORS[NAME USED],0))</f>
        <v>#REF!</v>
      </c>
      <c r="AB874" s="48" t="e">
        <f t="shared" si="414"/>
        <v>#REF!</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17</v>
      </c>
      <c r="D875" s="75">
        <f t="shared" si="407"/>
        <v>6</v>
      </c>
      <c r="E875" s="76">
        <f t="shared" si="408"/>
        <v>17</v>
      </c>
      <c r="F875" s="80"/>
      <c r="G875" s="83"/>
      <c r="H875" s="69" t="str">
        <f t="shared" si="430"/>
        <v>Senbur6_20191117_06_00</v>
      </c>
      <c r="I875" s="70">
        <f t="shared" si="433"/>
        <v>1</v>
      </c>
      <c r="J875" s="77" t="str">
        <f t="shared" si="433"/>
        <v>Senecio</v>
      </c>
      <c r="K875" s="77" t="str">
        <f t="shared" si="433"/>
        <v>burtoni</v>
      </c>
      <c r="L875" s="78">
        <f t="shared" si="433"/>
        <v>6</v>
      </c>
      <c r="M875" s="78">
        <f t="shared" si="433"/>
        <v>12</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INDEX([1]!VISITORS[INSECT ORDER], MATCH(X875,[1]!VISITORS[NAME USED],0))</f>
        <v>#REF!</v>
      </c>
      <c r="AB875" s="48" t="e">
        <f t="shared" si="414"/>
        <v>#REF!</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17</v>
      </c>
      <c r="D876" s="75">
        <f t="shared" si="407"/>
        <v>6</v>
      </c>
      <c r="E876" s="76">
        <f t="shared" si="408"/>
        <v>18</v>
      </c>
      <c r="F876" s="80"/>
      <c r="G876" s="83"/>
      <c r="H876" s="69" t="str">
        <f t="shared" si="430"/>
        <v>Senbur6_20191117_06_00</v>
      </c>
      <c r="I876" s="70">
        <f t="shared" si="433"/>
        <v>1</v>
      </c>
      <c r="J876" s="77" t="str">
        <f t="shared" si="433"/>
        <v>Senecio</v>
      </c>
      <c r="K876" s="77" t="str">
        <f t="shared" si="433"/>
        <v>burtoni</v>
      </c>
      <c r="L876" s="78">
        <f t="shared" si="433"/>
        <v>6</v>
      </c>
      <c r="M876" s="78">
        <f t="shared" si="433"/>
        <v>12</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INDEX([1]!VISITORS[INSECT ORDER], MATCH(X876,[1]!VISITORS[NAME USED],0))</f>
        <v>#REF!</v>
      </c>
      <c r="AB876" s="48" t="e">
        <f t="shared" si="414"/>
        <v>#REF!</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17</v>
      </c>
      <c r="D877" s="75">
        <f t="shared" si="407"/>
        <v>6</v>
      </c>
      <c r="E877" s="76">
        <f t="shared" si="408"/>
        <v>19</v>
      </c>
      <c r="F877" s="80"/>
      <c r="G877" s="83"/>
      <c r="H877" s="69" t="str">
        <f t="shared" si="430"/>
        <v>Senbur6_20191117_06_00</v>
      </c>
      <c r="I877" s="70">
        <f t="shared" si="433"/>
        <v>1</v>
      </c>
      <c r="J877" s="77" t="str">
        <f t="shared" si="433"/>
        <v>Senecio</v>
      </c>
      <c r="K877" s="77" t="str">
        <f t="shared" si="433"/>
        <v>burtoni</v>
      </c>
      <c r="L877" s="78">
        <f t="shared" si="433"/>
        <v>6</v>
      </c>
      <c r="M877" s="78">
        <f t="shared" si="433"/>
        <v>12</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INDEX([1]!VISITORS[INSECT ORDER], MATCH(X877,[1]!VISITORS[NAME USED],0))</f>
        <v>#REF!</v>
      </c>
      <c r="AB877" s="48" t="e">
        <f t="shared" si="414"/>
        <v>#REF!</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17</v>
      </c>
      <c r="D878" s="75">
        <f t="shared" si="407"/>
        <v>6</v>
      </c>
      <c r="E878" s="76">
        <f t="shared" si="408"/>
        <v>20</v>
      </c>
      <c r="F878" s="80"/>
      <c r="G878" s="83"/>
      <c r="H878" s="69" t="str">
        <f t="shared" si="430"/>
        <v>Senbur6_20191117_06_00</v>
      </c>
      <c r="I878" s="70">
        <f t="shared" si="433"/>
        <v>1</v>
      </c>
      <c r="J878" s="77" t="str">
        <f t="shared" si="433"/>
        <v>Senecio</v>
      </c>
      <c r="K878" s="77" t="str">
        <f t="shared" si="433"/>
        <v>burtoni</v>
      </c>
      <c r="L878" s="78">
        <f t="shared" si="433"/>
        <v>6</v>
      </c>
      <c r="M878" s="78">
        <f t="shared" si="433"/>
        <v>12</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INDEX([1]!VISITORS[INSECT ORDER], MATCH(X878,[1]!VISITORS[NAME USED],0))</f>
        <v>#REF!</v>
      </c>
      <c r="AB878" s="48" t="e">
        <f t="shared" si="414"/>
        <v>#REF!</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17</v>
      </c>
      <c r="D879" s="75">
        <f t="shared" si="407"/>
        <v>6</v>
      </c>
      <c r="E879" s="76">
        <f t="shared" si="408"/>
        <v>21</v>
      </c>
      <c r="F879" s="80"/>
      <c r="G879" s="83"/>
      <c r="H879" s="69" t="str">
        <f t="shared" si="430"/>
        <v>Senbur6_20191117_06_00</v>
      </c>
      <c r="I879" s="70">
        <f t="shared" si="433"/>
        <v>1</v>
      </c>
      <c r="J879" s="77" t="str">
        <f t="shared" si="433"/>
        <v>Senecio</v>
      </c>
      <c r="K879" s="77" t="str">
        <f t="shared" si="433"/>
        <v>burtoni</v>
      </c>
      <c r="L879" s="78">
        <f t="shared" si="433"/>
        <v>6</v>
      </c>
      <c r="M879" s="78">
        <f t="shared" si="433"/>
        <v>12</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INDEX([1]!VISITORS[INSECT ORDER], MATCH(X879,[1]!VISITORS[NAME USED],0))</f>
        <v>#REF!</v>
      </c>
      <c r="AB879" s="48" t="e">
        <f t="shared" si="414"/>
        <v>#REF!</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17</v>
      </c>
      <c r="D880" s="75">
        <f t="shared" si="407"/>
        <v>6</v>
      </c>
      <c r="E880" s="76">
        <f t="shared" si="408"/>
        <v>22</v>
      </c>
      <c r="F880" s="80"/>
      <c r="G880" s="83"/>
      <c r="H880" s="69" t="str">
        <f t="shared" si="430"/>
        <v>Senbur6_20191117_06_00</v>
      </c>
      <c r="I880" s="70">
        <f t="shared" si="433"/>
        <v>1</v>
      </c>
      <c r="J880" s="77" t="str">
        <f t="shared" si="433"/>
        <v>Senecio</v>
      </c>
      <c r="K880" s="77" t="str">
        <f t="shared" si="433"/>
        <v>burtoni</v>
      </c>
      <c r="L880" s="78">
        <f t="shared" si="433"/>
        <v>6</v>
      </c>
      <c r="M880" s="78">
        <f t="shared" si="433"/>
        <v>12</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INDEX([1]!VISITORS[INSECT ORDER], MATCH(X880,[1]!VISITORS[NAME USED],0))</f>
        <v>#REF!</v>
      </c>
      <c r="AB880" s="48" t="e">
        <f t="shared" si="414"/>
        <v>#REF!</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17</v>
      </c>
      <c r="D881" s="75">
        <f t="shared" si="407"/>
        <v>6</v>
      </c>
      <c r="E881" s="76">
        <f t="shared" si="408"/>
        <v>23</v>
      </c>
      <c r="F881" s="80"/>
      <c r="G881" s="83"/>
      <c r="H881" s="69" t="str">
        <f t="shared" si="430"/>
        <v>Senbur6_20191117_06_00</v>
      </c>
      <c r="I881" s="70">
        <f t="shared" si="433"/>
        <v>1</v>
      </c>
      <c r="J881" s="77" t="str">
        <f t="shared" si="433"/>
        <v>Senecio</v>
      </c>
      <c r="K881" s="77" t="str">
        <f t="shared" si="433"/>
        <v>burtoni</v>
      </c>
      <c r="L881" s="78">
        <f t="shared" si="433"/>
        <v>6</v>
      </c>
      <c r="M881" s="78">
        <f t="shared" si="433"/>
        <v>12</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INDEX([1]!VISITORS[INSECT ORDER], MATCH(X881,[1]!VISITORS[NAME USED],0))</f>
        <v>#REF!</v>
      </c>
      <c r="AB881" s="48" t="e">
        <f t="shared" si="414"/>
        <v>#REF!</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17</v>
      </c>
      <c r="D882" s="75">
        <f t="shared" si="407"/>
        <v>6</v>
      </c>
      <c r="E882" s="76">
        <f t="shared" si="408"/>
        <v>24</v>
      </c>
      <c r="F882" s="80"/>
      <c r="G882" s="83"/>
      <c r="H882" s="69" t="str">
        <f t="shared" si="430"/>
        <v>Senbur6_20191117_06_00</v>
      </c>
      <c r="I882" s="70">
        <f t="shared" si="433"/>
        <v>1</v>
      </c>
      <c r="J882" s="77" t="str">
        <f t="shared" si="433"/>
        <v>Senecio</v>
      </c>
      <c r="K882" s="77" t="str">
        <f t="shared" si="433"/>
        <v>burtoni</v>
      </c>
      <c r="L882" s="78">
        <f t="shared" si="433"/>
        <v>6</v>
      </c>
      <c r="M882" s="78">
        <f t="shared" si="433"/>
        <v>12</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INDEX([1]!VISITORS[INSECT ORDER], MATCH(X882,[1]!VISITORS[NAME USED],0))</f>
        <v>#REF!</v>
      </c>
      <c r="AB882" s="48" t="e">
        <f t="shared" si="414"/>
        <v>#REF!</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17</v>
      </c>
      <c r="D883" s="75">
        <f t="shared" si="407"/>
        <v>6</v>
      </c>
      <c r="E883" s="76">
        <f t="shared" si="408"/>
        <v>25</v>
      </c>
      <c r="F883" s="80"/>
      <c r="G883" s="83"/>
      <c r="H883" s="69" t="str">
        <f t="shared" si="430"/>
        <v>Senbur6_20191117_06_00</v>
      </c>
      <c r="I883" s="70">
        <f t="shared" si="433"/>
        <v>1</v>
      </c>
      <c r="J883" s="77" t="str">
        <f t="shared" si="433"/>
        <v>Senecio</v>
      </c>
      <c r="K883" s="77" t="str">
        <f t="shared" si="433"/>
        <v>burtoni</v>
      </c>
      <c r="L883" s="78">
        <f t="shared" si="433"/>
        <v>6</v>
      </c>
      <c r="M883" s="78">
        <f t="shared" si="433"/>
        <v>12</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INDEX([1]!VISITORS[INSECT ORDER], MATCH(X883,[1]!VISITORS[NAME USED],0))</f>
        <v>#REF!</v>
      </c>
      <c r="AB883" s="48" t="e">
        <f t="shared" si="414"/>
        <v>#REF!</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17</v>
      </c>
      <c r="D884" s="75">
        <f t="shared" si="407"/>
        <v>6</v>
      </c>
      <c r="E884" s="76">
        <f t="shared" si="408"/>
        <v>26</v>
      </c>
      <c r="F884" s="80"/>
      <c r="G884" s="83"/>
      <c r="H884" s="69" t="str">
        <f t="shared" si="430"/>
        <v>Senbur6_20191117_06_00</v>
      </c>
      <c r="I884" s="70">
        <f t="shared" si="433"/>
        <v>1</v>
      </c>
      <c r="J884" s="77" t="str">
        <f t="shared" si="433"/>
        <v>Senecio</v>
      </c>
      <c r="K884" s="77" t="str">
        <f t="shared" si="433"/>
        <v>burtoni</v>
      </c>
      <c r="L884" s="78">
        <f t="shared" si="433"/>
        <v>6</v>
      </c>
      <c r="M884" s="78">
        <f t="shared" si="433"/>
        <v>12</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INDEX([1]!VISITORS[INSECT ORDER], MATCH(X884,[1]!VISITORS[NAME USED],0))</f>
        <v>#REF!</v>
      </c>
      <c r="AB884" s="48" t="e">
        <f t="shared" si="414"/>
        <v>#REF!</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17</v>
      </c>
      <c r="D885" s="75">
        <f t="shared" si="407"/>
        <v>6</v>
      </c>
      <c r="E885" s="76">
        <f t="shared" si="408"/>
        <v>27</v>
      </c>
      <c r="F885" s="80"/>
      <c r="G885" s="83"/>
      <c r="H885" s="69" t="str">
        <f t="shared" si="430"/>
        <v>Senbur6_20191117_06_00</v>
      </c>
      <c r="I885" s="70">
        <f t="shared" ref="I885:N900" si="434">I884</f>
        <v>1</v>
      </c>
      <c r="J885" s="77" t="str">
        <f t="shared" si="434"/>
        <v>Senecio</v>
      </c>
      <c r="K885" s="77" t="str">
        <f t="shared" si="434"/>
        <v>burtoni</v>
      </c>
      <c r="L885" s="78">
        <f t="shared" si="434"/>
        <v>6</v>
      </c>
      <c r="M885" s="78">
        <f t="shared" si="434"/>
        <v>12</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INDEX([1]!VISITORS[INSECT ORDER], MATCH(X885,[1]!VISITORS[NAME USED],0))</f>
        <v>#REF!</v>
      </c>
      <c r="AB885" s="48" t="e">
        <f t="shared" si="414"/>
        <v>#REF!</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17</v>
      </c>
      <c r="D886" s="75">
        <f t="shared" si="407"/>
        <v>6</v>
      </c>
      <c r="E886" s="76">
        <f t="shared" si="408"/>
        <v>28</v>
      </c>
      <c r="F886" s="80"/>
      <c r="G886" s="83"/>
      <c r="H886" s="69" t="str">
        <f t="shared" si="430"/>
        <v>Senbur6_20191117_06_00</v>
      </c>
      <c r="I886" s="70">
        <f t="shared" si="434"/>
        <v>1</v>
      </c>
      <c r="J886" s="77" t="str">
        <f t="shared" si="434"/>
        <v>Senecio</v>
      </c>
      <c r="K886" s="77" t="str">
        <f t="shared" si="434"/>
        <v>burtoni</v>
      </c>
      <c r="L886" s="78">
        <f t="shared" si="434"/>
        <v>6</v>
      </c>
      <c r="M886" s="78">
        <f t="shared" si="434"/>
        <v>12</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INDEX([1]!VISITORS[INSECT ORDER], MATCH(X886,[1]!VISITORS[NAME USED],0))</f>
        <v>#REF!</v>
      </c>
      <c r="AB886" s="48" t="e">
        <f t="shared" si="414"/>
        <v>#REF!</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17</v>
      </c>
      <c r="D887" s="75">
        <f t="shared" si="407"/>
        <v>6</v>
      </c>
      <c r="E887" s="76">
        <f t="shared" si="408"/>
        <v>29</v>
      </c>
      <c r="F887" s="80"/>
      <c r="G887" s="83"/>
      <c r="H887" s="69" t="str">
        <f t="shared" si="430"/>
        <v>Senbur6_20191117_06_00</v>
      </c>
      <c r="I887" s="70">
        <f t="shared" si="434"/>
        <v>1</v>
      </c>
      <c r="J887" s="77" t="str">
        <f t="shared" si="434"/>
        <v>Senecio</v>
      </c>
      <c r="K887" s="77" t="str">
        <f t="shared" si="434"/>
        <v>burtoni</v>
      </c>
      <c r="L887" s="78">
        <f t="shared" si="434"/>
        <v>6</v>
      </c>
      <c r="M887" s="78">
        <f t="shared" si="434"/>
        <v>12</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INDEX([1]!VISITORS[INSECT ORDER], MATCH(X887,[1]!VISITORS[NAME USED],0))</f>
        <v>#REF!</v>
      </c>
      <c r="AB887" s="48" t="e">
        <f t="shared" si="414"/>
        <v>#REF!</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17</v>
      </c>
      <c r="D888" s="75">
        <f t="shared" si="407"/>
        <v>6</v>
      </c>
      <c r="E888" s="76">
        <f t="shared" si="408"/>
        <v>30</v>
      </c>
      <c r="F888" s="80"/>
      <c r="G888" s="83"/>
      <c r="H888" s="69" t="str">
        <f t="shared" si="430"/>
        <v>Senbur6_20191117_06_00</v>
      </c>
      <c r="I888" s="70">
        <f t="shared" si="434"/>
        <v>1</v>
      </c>
      <c r="J888" s="77" t="str">
        <f t="shared" si="434"/>
        <v>Senecio</v>
      </c>
      <c r="K888" s="77" t="str">
        <f t="shared" si="434"/>
        <v>burtoni</v>
      </c>
      <c r="L888" s="78">
        <f t="shared" si="434"/>
        <v>6</v>
      </c>
      <c r="M888" s="78">
        <f t="shared" si="434"/>
        <v>12</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INDEX([1]!VISITORS[INSECT ORDER], MATCH(X888,[1]!VISITORS[NAME USED],0))</f>
        <v>#REF!</v>
      </c>
      <c r="AB888" s="48" t="e">
        <f t="shared" si="414"/>
        <v>#REF!</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17</v>
      </c>
      <c r="D889" s="75">
        <f t="shared" si="407"/>
        <v>6</v>
      </c>
      <c r="E889" s="76">
        <f t="shared" si="408"/>
        <v>31</v>
      </c>
      <c r="F889" s="80"/>
      <c r="G889" s="83"/>
      <c r="H889" s="69" t="str">
        <f t="shared" si="430"/>
        <v>Senbur6_20191117_06_00</v>
      </c>
      <c r="I889" s="70">
        <f t="shared" si="434"/>
        <v>1</v>
      </c>
      <c r="J889" s="77" t="str">
        <f t="shared" si="434"/>
        <v>Senecio</v>
      </c>
      <c r="K889" s="77" t="str">
        <f t="shared" si="434"/>
        <v>burtoni</v>
      </c>
      <c r="L889" s="78">
        <f t="shared" si="434"/>
        <v>6</v>
      </c>
      <c r="M889" s="78">
        <f t="shared" si="434"/>
        <v>12</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INDEX([1]!VISITORS[INSECT ORDER], MATCH(X889,[1]!VISITORS[NAME USED],0))</f>
        <v>#REF!</v>
      </c>
      <c r="AB889" s="48" t="e">
        <f t="shared" si="414"/>
        <v>#REF!</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17</v>
      </c>
      <c r="D890" s="75">
        <f t="shared" si="407"/>
        <v>6</v>
      </c>
      <c r="E890" s="76">
        <f t="shared" si="408"/>
        <v>32</v>
      </c>
      <c r="F890" s="80"/>
      <c r="G890" s="83"/>
      <c r="H890" s="69" t="str">
        <f t="shared" si="430"/>
        <v>Senbur6_20191117_06_00</v>
      </c>
      <c r="I890" s="70">
        <f t="shared" si="434"/>
        <v>1</v>
      </c>
      <c r="J890" s="77" t="str">
        <f t="shared" si="434"/>
        <v>Senecio</v>
      </c>
      <c r="K890" s="77" t="str">
        <f t="shared" si="434"/>
        <v>burtoni</v>
      </c>
      <c r="L890" s="78">
        <f t="shared" si="434"/>
        <v>6</v>
      </c>
      <c r="M890" s="78">
        <f t="shared" si="434"/>
        <v>12</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INDEX([1]!VISITORS[INSECT ORDER], MATCH(X890,[1]!VISITORS[NAME USED],0))</f>
        <v>#REF!</v>
      </c>
      <c r="AB890" s="48" t="e">
        <f t="shared" si="414"/>
        <v>#REF!</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17</v>
      </c>
      <c r="D891" s="75">
        <f t="shared" si="407"/>
        <v>6</v>
      </c>
      <c r="E891" s="76">
        <f t="shared" si="408"/>
        <v>33</v>
      </c>
      <c r="F891" s="80"/>
      <c r="G891" s="83"/>
      <c r="H891" s="69" t="str">
        <f t="shared" si="430"/>
        <v>Senbur6_20191117_06_00</v>
      </c>
      <c r="I891" s="70">
        <f t="shared" si="434"/>
        <v>1</v>
      </c>
      <c r="J891" s="77" t="str">
        <f t="shared" si="434"/>
        <v>Senecio</v>
      </c>
      <c r="K891" s="77" t="str">
        <f t="shared" si="434"/>
        <v>burtoni</v>
      </c>
      <c r="L891" s="78">
        <f t="shared" si="434"/>
        <v>6</v>
      </c>
      <c r="M891" s="78">
        <f t="shared" si="434"/>
        <v>12</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INDEX([1]!VISITORS[INSECT ORDER], MATCH(X891,[1]!VISITORS[NAME USED],0))</f>
        <v>#REF!</v>
      </c>
      <c r="AB891" s="48" t="e">
        <f t="shared" si="414"/>
        <v>#REF!</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17</v>
      </c>
      <c r="D892" s="75">
        <f t="shared" si="407"/>
        <v>6</v>
      </c>
      <c r="E892" s="76">
        <f t="shared" si="408"/>
        <v>34</v>
      </c>
      <c r="F892" s="80"/>
      <c r="G892" s="83"/>
      <c r="H892" s="69" t="str">
        <f t="shared" si="430"/>
        <v>Senbur6_20191117_06_00</v>
      </c>
      <c r="I892" s="70">
        <f t="shared" si="434"/>
        <v>1</v>
      </c>
      <c r="J892" s="77" t="str">
        <f t="shared" si="434"/>
        <v>Senecio</v>
      </c>
      <c r="K892" s="77" t="str">
        <f t="shared" si="434"/>
        <v>burtoni</v>
      </c>
      <c r="L892" s="78">
        <f t="shared" si="434"/>
        <v>6</v>
      </c>
      <c r="M892" s="78">
        <f t="shared" si="434"/>
        <v>12</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INDEX([1]!VISITORS[INSECT ORDER], MATCH(X892,[1]!VISITORS[NAME USED],0))</f>
        <v>#REF!</v>
      </c>
      <c r="AB892" s="48" t="e">
        <f t="shared" si="414"/>
        <v>#REF!</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17</v>
      </c>
      <c r="D893" s="75">
        <f t="shared" si="407"/>
        <v>6</v>
      </c>
      <c r="E893" s="76">
        <f t="shared" si="408"/>
        <v>35</v>
      </c>
      <c r="F893" s="80"/>
      <c r="G893" s="83"/>
      <c r="H893" s="69" t="str">
        <f t="shared" si="430"/>
        <v>Senbur6_20191117_06_00</v>
      </c>
      <c r="I893" s="70">
        <f t="shared" si="434"/>
        <v>1</v>
      </c>
      <c r="J893" s="77" t="str">
        <f t="shared" si="434"/>
        <v>Senecio</v>
      </c>
      <c r="K893" s="77" t="str">
        <f t="shared" si="434"/>
        <v>burtoni</v>
      </c>
      <c r="L893" s="78">
        <f t="shared" si="434"/>
        <v>6</v>
      </c>
      <c r="M893" s="78">
        <f t="shared" si="434"/>
        <v>12</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INDEX([1]!VISITORS[INSECT ORDER], MATCH(X893,[1]!VISITORS[NAME USED],0))</f>
        <v>#REF!</v>
      </c>
      <c r="AB893" s="48" t="e">
        <f t="shared" si="414"/>
        <v>#REF!</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17</v>
      </c>
      <c r="D894" s="75">
        <f t="shared" si="407"/>
        <v>6</v>
      </c>
      <c r="E894" s="76">
        <f t="shared" si="408"/>
        <v>36</v>
      </c>
      <c r="F894" s="80"/>
      <c r="G894" s="83"/>
      <c r="H894" s="69" t="str">
        <f t="shared" si="430"/>
        <v>Senbur6_20191117_06_00</v>
      </c>
      <c r="I894" s="70">
        <f t="shared" si="434"/>
        <v>1</v>
      </c>
      <c r="J894" s="77" t="str">
        <f t="shared" si="434"/>
        <v>Senecio</v>
      </c>
      <c r="K894" s="77" t="str">
        <f t="shared" si="434"/>
        <v>burtoni</v>
      </c>
      <c r="L894" s="78">
        <f t="shared" si="434"/>
        <v>6</v>
      </c>
      <c r="M894" s="78">
        <f t="shared" si="434"/>
        <v>12</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INDEX([1]!VISITORS[INSECT ORDER], MATCH(X894,[1]!VISITORS[NAME USED],0))</f>
        <v>#REF!</v>
      </c>
      <c r="AB894" s="48" t="e">
        <f t="shared" si="414"/>
        <v>#REF!</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17</v>
      </c>
      <c r="D895" s="75">
        <f t="shared" si="407"/>
        <v>6</v>
      </c>
      <c r="E895" s="76">
        <f t="shared" si="408"/>
        <v>37</v>
      </c>
      <c r="F895" s="80"/>
      <c r="G895" s="83"/>
      <c r="H895" s="69" t="str">
        <f t="shared" si="430"/>
        <v>Senbur6_20191117_06_00</v>
      </c>
      <c r="I895" s="70">
        <f t="shared" si="434"/>
        <v>1</v>
      </c>
      <c r="J895" s="77" t="str">
        <f t="shared" si="434"/>
        <v>Senecio</v>
      </c>
      <c r="K895" s="77" t="str">
        <f t="shared" si="434"/>
        <v>burtoni</v>
      </c>
      <c r="L895" s="78">
        <f t="shared" si="434"/>
        <v>6</v>
      </c>
      <c r="M895" s="78">
        <f t="shared" si="434"/>
        <v>12</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INDEX([1]!VISITORS[INSECT ORDER], MATCH(X895,[1]!VISITORS[NAME USED],0))</f>
        <v>#REF!</v>
      </c>
      <c r="AB895" s="48" t="e">
        <f t="shared" si="414"/>
        <v>#REF!</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17</v>
      </c>
      <c r="D896" s="75">
        <f t="shared" si="407"/>
        <v>6</v>
      </c>
      <c r="E896" s="76">
        <f t="shared" si="408"/>
        <v>38</v>
      </c>
      <c r="F896" s="80"/>
      <c r="G896" s="83"/>
      <c r="H896" s="69" t="str">
        <f t="shared" si="430"/>
        <v>Senbur6_20191117_06_00</v>
      </c>
      <c r="I896" s="70">
        <f t="shared" si="434"/>
        <v>1</v>
      </c>
      <c r="J896" s="77" t="str">
        <f t="shared" si="434"/>
        <v>Senecio</v>
      </c>
      <c r="K896" s="77" t="str">
        <f t="shared" si="434"/>
        <v>burtoni</v>
      </c>
      <c r="L896" s="78">
        <f t="shared" si="434"/>
        <v>6</v>
      </c>
      <c r="M896" s="78">
        <f t="shared" si="434"/>
        <v>12</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INDEX([1]!VISITORS[INSECT ORDER], MATCH(X896,[1]!VISITORS[NAME USED],0))</f>
        <v>#REF!</v>
      </c>
      <c r="AB896" s="48" t="e">
        <f t="shared" si="414"/>
        <v>#REF!</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17</v>
      </c>
      <c r="D897" s="75">
        <f t="shared" si="407"/>
        <v>6</v>
      </c>
      <c r="E897" s="76">
        <f t="shared" si="408"/>
        <v>39</v>
      </c>
      <c r="F897" s="80"/>
      <c r="G897" s="83"/>
      <c r="H897" s="69" t="str">
        <f t="shared" si="430"/>
        <v>Senbur6_20191117_06_00</v>
      </c>
      <c r="I897" s="70">
        <f t="shared" si="434"/>
        <v>1</v>
      </c>
      <c r="J897" s="77" t="str">
        <f t="shared" si="434"/>
        <v>Senecio</v>
      </c>
      <c r="K897" s="77" t="str">
        <f t="shared" si="434"/>
        <v>burtoni</v>
      </c>
      <c r="L897" s="78">
        <f t="shared" si="434"/>
        <v>6</v>
      </c>
      <c r="M897" s="78">
        <f t="shared" si="434"/>
        <v>12</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INDEX([1]!VISITORS[INSECT ORDER], MATCH(X897,[1]!VISITORS[NAME USED],0))</f>
        <v>#REF!</v>
      </c>
      <c r="AB897" s="48" t="e">
        <f t="shared" si="414"/>
        <v>#REF!</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17</v>
      </c>
      <c r="D898" s="75">
        <f t="shared" si="407"/>
        <v>6</v>
      </c>
      <c r="E898" s="76">
        <f t="shared" si="408"/>
        <v>40</v>
      </c>
      <c r="F898" s="80"/>
      <c r="G898" s="83"/>
      <c r="H898" s="69" t="str">
        <f t="shared" si="430"/>
        <v>Senbur6_20191117_06_00</v>
      </c>
      <c r="I898" s="70">
        <f t="shared" si="434"/>
        <v>1</v>
      </c>
      <c r="J898" s="77" t="str">
        <f t="shared" si="434"/>
        <v>Senecio</v>
      </c>
      <c r="K898" s="77" t="str">
        <f t="shared" si="434"/>
        <v>burtoni</v>
      </c>
      <c r="L898" s="78">
        <f t="shared" si="434"/>
        <v>6</v>
      </c>
      <c r="M898" s="78">
        <f t="shared" si="434"/>
        <v>12</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INDEX([1]!VISITORS[INSECT ORDER], MATCH(X898,[1]!VISITORS[NAME USED],0))</f>
        <v>#REF!</v>
      </c>
      <c r="AB898" s="48" t="e">
        <f t="shared" si="414"/>
        <v>#REF!</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17</v>
      </c>
      <c r="D899" s="75">
        <f t="shared" si="407"/>
        <v>6</v>
      </c>
      <c r="E899" s="76">
        <f t="shared" si="408"/>
        <v>41</v>
      </c>
      <c r="F899" s="80"/>
      <c r="G899" s="83"/>
      <c r="H899" s="69" t="str">
        <f t="shared" si="430"/>
        <v>Senbur6_20191117_06_00</v>
      </c>
      <c r="I899" s="70">
        <f t="shared" si="434"/>
        <v>1</v>
      </c>
      <c r="J899" s="77" t="str">
        <f t="shared" si="434"/>
        <v>Senecio</v>
      </c>
      <c r="K899" s="77" t="str">
        <f t="shared" si="434"/>
        <v>burtoni</v>
      </c>
      <c r="L899" s="78">
        <f t="shared" si="434"/>
        <v>6</v>
      </c>
      <c r="M899" s="78">
        <f t="shared" si="434"/>
        <v>12</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INDEX([1]!VISITORS[INSECT ORDER], MATCH(X899,[1]!VISITORS[NAME USED],0))</f>
        <v>#REF!</v>
      </c>
      <c r="AB899" s="48" t="e">
        <f t="shared" si="414"/>
        <v>#REF!</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17</v>
      </c>
      <c r="D900" s="75">
        <f t="shared" ref="D900:D963" si="438">IF(IF(E899=59,D899+1,D899)=24,0,IF(E899=59,D899+1,D899))</f>
        <v>6</v>
      </c>
      <c r="E900" s="76">
        <f t="shared" ref="E900:E963" si="439">IF(E899&lt;59,E899+1,0)</f>
        <v>42</v>
      </c>
      <c r="F900" s="80"/>
      <c r="G900" s="83"/>
      <c r="H900" s="69" t="str">
        <f t="shared" si="430"/>
        <v>Senbur6_20191117_06_00</v>
      </c>
      <c r="I900" s="70">
        <f t="shared" si="434"/>
        <v>1</v>
      </c>
      <c r="J900" s="77" t="str">
        <f t="shared" si="434"/>
        <v>Senecio</v>
      </c>
      <c r="K900" s="77" t="str">
        <f t="shared" si="434"/>
        <v>burtoni</v>
      </c>
      <c r="L900" s="78">
        <f t="shared" si="434"/>
        <v>6</v>
      </c>
      <c r="M900" s="78">
        <f t="shared" si="434"/>
        <v>12</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INDEX([1]!VISITORS[INSECT ORDER], MATCH(X900,[1]!VISITORS[NAME USED],0))</f>
        <v>#REF!</v>
      </c>
      <c r="AB900" s="48" t="e">
        <f t="shared" ref="AB900:AB963" si="445">IF(AA900&lt;&gt;0,"NA","")</f>
        <v>#REF!</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17</v>
      </c>
      <c r="D901" s="75">
        <f t="shared" si="438"/>
        <v>6</v>
      </c>
      <c r="E901" s="76">
        <f t="shared" si="439"/>
        <v>43</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Senbur6_20191117_06_00</v>
      </c>
      <c r="I901" s="70">
        <f t="shared" ref="I901:N916" si="462">I900</f>
        <v>1</v>
      </c>
      <c r="J901" s="77" t="str">
        <f t="shared" si="462"/>
        <v>Senecio</v>
      </c>
      <c r="K901" s="77" t="str">
        <f t="shared" si="462"/>
        <v>burtoni</v>
      </c>
      <c r="L901" s="78">
        <f t="shared" si="462"/>
        <v>6</v>
      </c>
      <c r="M901" s="78">
        <f t="shared" si="462"/>
        <v>12</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INDEX([1]!VISITORS[INSECT ORDER], MATCH(X901,[1]!VISITORS[NAME USED],0))</f>
        <v>#REF!</v>
      </c>
      <c r="AB901" s="48" t="e">
        <f t="shared" si="445"/>
        <v>#REF!</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17</v>
      </c>
      <c r="D902" s="75">
        <f t="shared" si="438"/>
        <v>6</v>
      </c>
      <c r="E902" s="76">
        <f t="shared" si="439"/>
        <v>44</v>
      </c>
      <c r="F902" s="80"/>
      <c r="G902" s="83"/>
      <c r="H902" s="69" t="str">
        <f t="shared" si="461"/>
        <v>Senbur6_20191117_06_00</v>
      </c>
      <c r="I902" s="70">
        <f t="shared" si="462"/>
        <v>1</v>
      </c>
      <c r="J902" s="77" t="str">
        <f t="shared" si="462"/>
        <v>Senecio</v>
      </c>
      <c r="K902" s="77" t="str">
        <f t="shared" si="462"/>
        <v>burtoni</v>
      </c>
      <c r="L902" s="78">
        <f t="shared" si="462"/>
        <v>6</v>
      </c>
      <c r="M902" s="78">
        <f t="shared" si="462"/>
        <v>12</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INDEX([1]!VISITORS[INSECT ORDER], MATCH(X902,[1]!VISITORS[NAME USED],0))</f>
        <v>#REF!</v>
      </c>
      <c r="AB902" s="48" t="e">
        <f t="shared" si="445"/>
        <v>#REF!</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17</v>
      </c>
      <c r="D903" s="75">
        <f t="shared" si="438"/>
        <v>6</v>
      </c>
      <c r="E903" s="76">
        <f t="shared" si="439"/>
        <v>45</v>
      </c>
      <c r="F903" s="80"/>
      <c r="G903" s="83"/>
      <c r="H903" s="69" t="str">
        <f t="shared" si="461"/>
        <v>Senbur6_20191117_06_00</v>
      </c>
      <c r="I903" s="70">
        <f t="shared" si="462"/>
        <v>1</v>
      </c>
      <c r="J903" s="77" t="str">
        <f t="shared" si="462"/>
        <v>Senecio</v>
      </c>
      <c r="K903" s="77" t="str">
        <f t="shared" si="462"/>
        <v>burtoni</v>
      </c>
      <c r="L903" s="78">
        <f t="shared" si="462"/>
        <v>6</v>
      </c>
      <c r="M903" s="78">
        <f t="shared" si="462"/>
        <v>12</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INDEX([1]!VISITORS[INSECT ORDER], MATCH(X903,[1]!VISITORS[NAME USED],0))</f>
        <v>#REF!</v>
      </c>
      <c r="AB903" s="48" t="e">
        <f t="shared" si="445"/>
        <v>#REF!</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17</v>
      </c>
      <c r="D904" s="75">
        <f t="shared" si="438"/>
        <v>6</v>
      </c>
      <c r="E904" s="76">
        <f t="shared" si="439"/>
        <v>46</v>
      </c>
      <c r="F904" s="80"/>
      <c r="G904" s="83"/>
      <c r="H904" s="69" t="str">
        <f t="shared" si="461"/>
        <v>Senbur6_20191117_06_00</v>
      </c>
      <c r="I904" s="70">
        <f t="shared" si="462"/>
        <v>1</v>
      </c>
      <c r="J904" s="77" t="str">
        <f t="shared" si="462"/>
        <v>Senecio</v>
      </c>
      <c r="K904" s="77" t="str">
        <f t="shared" si="462"/>
        <v>burtoni</v>
      </c>
      <c r="L904" s="78">
        <f t="shared" si="462"/>
        <v>6</v>
      </c>
      <c r="M904" s="78">
        <f t="shared" si="462"/>
        <v>12</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INDEX([1]!VISITORS[INSECT ORDER], MATCH(X904,[1]!VISITORS[NAME USED],0))</f>
        <v>#REF!</v>
      </c>
      <c r="AB904" s="48" t="e">
        <f t="shared" si="445"/>
        <v>#REF!</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17</v>
      </c>
      <c r="D905" s="75">
        <f t="shared" si="438"/>
        <v>6</v>
      </c>
      <c r="E905" s="76">
        <f t="shared" si="439"/>
        <v>47</v>
      </c>
      <c r="F905" s="80"/>
      <c r="G905" s="83"/>
      <c r="H905" s="69" t="str">
        <f t="shared" si="461"/>
        <v>Senbur6_20191117_06_00</v>
      </c>
      <c r="I905" s="70">
        <f t="shared" si="462"/>
        <v>1</v>
      </c>
      <c r="J905" s="77" t="str">
        <f t="shared" si="462"/>
        <v>Senecio</v>
      </c>
      <c r="K905" s="77" t="str">
        <f t="shared" si="462"/>
        <v>burtoni</v>
      </c>
      <c r="L905" s="78">
        <f t="shared" si="462"/>
        <v>6</v>
      </c>
      <c r="M905" s="78">
        <f t="shared" si="462"/>
        <v>12</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INDEX([1]!VISITORS[INSECT ORDER], MATCH(X905,[1]!VISITORS[NAME USED],0))</f>
        <v>#REF!</v>
      </c>
      <c r="AB905" s="48" t="e">
        <f t="shared" si="445"/>
        <v>#REF!</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17</v>
      </c>
      <c r="D906" s="75">
        <f t="shared" si="438"/>
        <v>6</v>
      </c>
      <c r="E906" s="76">
        <f t="shared" si="439"/>
        <v>48</v>
      </c>
      <c r="F906" s="80"/>
      <c r="G906" s="83"/>
      <c r="H906" s="69" t="str">
        <f t="shared" si="461"/>
        <v>Senbur6_20191117_06_00</v>
      </c>
      <c r="I906" s="70">
        <f t="shared" si="462"/>
        <v>1</v>
      </c>
      <c r="J906" s="77" t="str">
        <f t="shared" si="462"/>
        <v>Senecio</v>
      </c>
      <c r="K906" s="77" t="str">
        <f t="shared" si="462"/>
        <v>burtoni</v>
      </c>
      <c r="L906" s="78">
        <f t="shared" si="462"/>
        <v>6</v>
      </c>
      <c r="M906" s="78">
        <f t="shared" si="462"/>
        <v>12</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INDEX([1]!VISITORS[INSECT ORDER], MATCH(X906,[1]!VISITORS[NAME USED],0))</f>
        <v>#REF!</v>
      </c>
      <c r="AB906" s="48" t="e">
        <f t="shared" si="445"/>
        <v>#REF!</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17</v>
      </c>
      <c r="D907" s="75">
        <f t="shared" si="438"/>
        <v>6</v>
      </c>
      <c r="E907" s="76">
        <f t="shared" si="439"/>
        <v>49</v>
      </c>
      <c r="F907" s="80"/>
      <c r="G907" s="83"/>
      <c r="H907" s="69" t="str">
        <f t="shared" si="461"/>
        <v>Senbur6_20191117_06_00</v>
      </c>
      <c r="I907" s="70">
        <f t="shared" si="462"/>
        <v>1</v>
      </c>
      <c r="J907" s="77" t="str">
        <f t="shared" si="462"/>
        <v>Senecio</v>
      </c>
      <c r="K907" s="77" t="str">
        <f t="shared" si="462"/>
        <v>burtoni</v>
      </c>
      <c r="L907" s="78">
        <f t="shared" si="462"/>
        <v>6</v>
      </c>
      <c r="M907" s="78">
        <f t="shared" si="462"/>
        <v>12</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INDEX([1]!VISITORS[INSECT ORDER], MATCH(X907,[1]!VISITORS[NAME USED],0))</f>
        <v>#REF!</v>
      </c>
      <c r="AB907" s="48" t="e">
        <f t="shared" si="445"/>
        <v>#REF!</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17</v>
      </c>
      <c r="D908" s="75">
        <f t="shared" si="438"/>
        <v>6</v>
      </c>
      <c r="E908" s="76">
        <f t="shared" si="439"/>
        <v>50</v>
      </c>
      <c r="F908" s="80"/>
      <c r="G908" s="83"/>
      <c r="H908" s="69" t="str">
        <f t="shared" si="461"/>
        <v>Senbur6_20191117_06_00</v>
      </c>
      <c r="I908" s="70">
        <f t="shared" si="462"/>
        <v>1</v>
      </c>
      <c r="J908" s="77" t="str">
        <f t="shared" si="462"/>
        <v>Senecio</v>
      </c>
      <c r="K908" s="77" t="str">
        <f t="shared" si="462"/>
        <v>burtoni</v>
      </c>
      <c r="L908" s="78">
        <f t="shared" si="462"/>
        <v>6</v>
      </c>
      <c r="M908" s="78">
        <f t="shared" si="462"/>
        <v>12</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INDEX([1]!VISITORS[INSECT ORDER], MATCH(X908,[1]!VISITORS[NAME USED],0))</f>
        <v>#REF!</v>
      </c>
      <c r="AB908" s="48" t="e">
        <f t="shared" si="445"/>
        <v>#REF!</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17</v>
      </c>
      <c r="D909" s="75">
        <f t="shared" si="438"/>
        <v>6</v>
      </c>
      <c r="E909" s="76">
        <f t="shared" si="439"/>
        <v>51</v>
      </c>
      <c r="F909" s="80"/>
      <c r="G909" s="83"/>
      <c r="H909" s="69" t="str">
        <f t="shared" si="461"/>
        <v>Senbur6_20191117_06_00</v>
      </c>
      <c r="I909" s="70">
        <f t="shared" si="462"/>
        <v>1</v>
      </c>
      <c r="J909" s="77" t="str">
        <f t="shared" si="462"/>
        <v>Senecio</v>
      </c>
      <c r="K909" s="77" t="str">
        <f t="shared" si="462"/>
        <v>burtoni</v>
      </c>
      <c r="L909" s="78">
        <f t="shared" si="462"/>
        <v>6</v>
      </c>
      <c r="M909" s="78">
        <f t="shared" si="462"/>
        <v>12</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INDEX([1]!VISITORS[INSECT ORDER], MATCH(X909,[1]!VISITORS[NAME USED],0))</f>
        <v>#REF!</v>
      </c>
      <c r="AB909" s="48" t="e">
        <f t="shared" si="445"/>
        <v>#REF!</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17</v>
      </c>
      <c r="D910" s="75">
        <f t="shared" si="438"/>
        <v>6</v>
      </c>
      <c r="E910" s="76">
        <f t="shared" si="439"/>
        <v>52</v>
      </c>
      <c r="F910" s="80"/>
      <c r="G910" s="83"/>
      <c r="H910" s="69" t="str">
        <f t="shared" si="461"/>
        <v>Senbur6_20191117_06_00</v>
      </c>
      <c r="I910" s="70">
        <f t="shared" si="462"/>
        <v>1</v>
      </c>
      <c r="J910" s="77" t="str">
        <f t="shared" si="462"/>
        <v>Senecio</v>
      </c>
      <c r="K910" s="77" t="str">
        <f t="shared" si="462"/>
        <v>burtoni</v>
      </c>
      <c r="L910" s="78">
        <f t="shared" si="462"/>
        <v>6</v>
      </c>
      <c r="M910" s="78">
        <f t="shared" si="462"/>
        <v>12</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INDEX([1]!VISITORS[INSECT ORDER], MATCH(X910,[1]!VISITORS[NAME USED],0))</f>
        <v>#REF!</v>
      </c>
      <c r="AB910" s="48" t="e">
        <f t="shared" si="445"/>
        <v>#REF!</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17</v>
      </c>
      <c r="D911" s="75">
        <f t="shared" si="438"/>
        <v>6</v>
      </c>
      <c r="E911" s="76">
        <f t="shared" si="439"/>
        <v>53</v>
      </c>
      <c r="F911" s="80"/>
      <c r="G911" s="83"/>
      <c r="H911" s="69" t="str">
        <f t="shared" si="461"/>
        <v>Senbur6_20191117_06_00</v>
      </c>
      <c r="I911" s="70">
        <f t="shared" si="462"/>
        <v>1</v>
      </c>
      <c r="J911" s="77" t="str">
        <f t="shared" si="462"/>
        <v>Senecio</v>
      </c>
      <c r="K911" s="77" t="str">
        <f t="shared" si="462"/>
        <v>burtoni</v>
      </c>
      <c r="L911" s="78">
        <f t="shared" si="462"/>
        <v>6</v>
      </c>
      <c r="M911" s="78">
        <f t="shared" si="462"/>
        <v>12</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INDEX([1]!VISITORS[INSECT ORDER], MATCH(X911,[1]!VISITORS[NAME USED],0))</f>
        <v>#REF!</v>
      </c>
      <c r="AB911" s="48" t="e">
        <f t="shared" si="445"/>
        <v>#REF!</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17</v>
      </c>
      <c r="D912" s="75">
        <f t="shared" si="438"/>
        <v>6</v>
      </c>
      <c r="E912" s="76">
        <f t="shared" si="439"/>
        <v>54</v>
      </c>
      <c r="F912" s="80"/>
      <c r="G912" s="83"/>
      <c r="H912" s="69" t="str">
        <f t="shared" si="461"/>
        <v>Senbur6_20191117_06_00</v>
      </c>
      <c r="I912" s="70">
        <f t="shared" si="462"/>
        <v>1</v>
      </c>
      <c r="J912" s="77" t="str">
        <f t="shared" si="462"/>
        <v>Senecio</v>
      </c>
      <c r="K912" s="77" t="str">
        <f t="shared" si="462"/>
        <v>burtoni</v>
      </c>
      <c r="L912" s="78">
        <f t="shared" si="462"/>
        <v>6</v>
      </c>
      <c r="M912" s="78">
        <f t="shared" si="462"/>
        <v>12</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INDEX([1]!VISITORS[INSECT ORDER], MATCH(X912,[1]!VISITORS[NAME USED],0))</f>
        <v>#REF!</v>
      </c>
      <c r="AB912" s="48" t="e">
        <f t="shared" si="445"/>
        <v>#REF!</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17</v>
      </c>
      <c r="D913" s="75">
        <f t="shared" si="438"/>
        <v>6</v>
      </c>
      <c r="E913" s="76">
        <f t="shared" si="439"/>
        <v>55</v>
      </c>
      <c r="F913" s="80"/>
      <c r="G913" s="83"/>
      <c r="H913" s="69" t="str">
        <f t="shared" si="461"/>
        <v>Senbur6_20191117_06_00</v>
      </c>
      <c r="I913" s="70">
        <f t="shared" si="462"/>
        <v>1</v>
      </c>
      <c r="J913" s="77" t="str">
        <f t="shared" si="462"/>
        <v>Senecio</v>
      </c>
      <c r="K913" s="77" t="str">
        <f t="shared" si="462"/>
        <v>burtoni</v>
      </c>
      <c r="L913" s="78">
        <f t="shared" si="462"/>
        <v>6</v>
      </c>
      <c r="M913" s="78">
        <f t="shared" si="462"/>
        <v>12</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INDEX([1]!VISITORS[INSECT ORDER], MATCH(X913,[1]!VISITORS[NAME USED],0))</f>
        <v>#REF!</v>
      </c>
      <c r="AB913" s="48" t="e">
        <f t="shared" si="445"/>
        <v>#REF!</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17</v>
      </c>
      <c r="D914" s="75">
        <f t="shared" si="438"/>
        <v>6</v>
      </c>
      <c r="E914" s="76">
        <f t="shared" si="439"/>
        <v>56</v>
      </c>
      <c r="F914" s="80"/>
      <c r="G914" s="83"/>
      <c r="H914" s="69" t="str">
        <f t="shared" si="461"/>
        <v>Senbur6_20191117_06_00</v>
      </c>
      <c r="I914" s="70">
        <f t="shared" si="462"/>
        <v>1</v>
      </c>
      <c r="J914" s="77" t="str">
        <f t="shared" si="462"/>
        <v>Senecio</v>
      </c>
      <c r="K914" s="77" t="str">
        <f t="shared" si="462"/>
        <v>burtoni</v>
      </c>
      <c r="L914" s="78">
        <f t="shared" si="462"/>
        <v>6</v>
      </c>
      <c r="M914" s="78">
        <f t="shared" si="462"/>
        <v>12</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INDEX([1]!VISITORS[INSECT ORDER], MATCH(X914,[1]!VISITORS[NAME USED],0))</f>
        <v>#REF!</v>
      </c>
      <c r="AB914" s="48" t="e">
        <f t="shared" si="445"/>
        <v>#REF!</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17</v>
      </c>
      <c r="D915" s="75">
        <f t="shared" si="438"/>
        <v>6</v>
      </c>
      <c r="E915" s="76">
        <f t="shared" si="439"/>
        <v>57</v>
      </c>
      <c r="F915" s="80"/>
      <c r="G915" s="83"/>
      <c r="H915" s="69" t="str">
        <f t="shared" si="461"/>
        <v>Senbur6_20191117_06_00</v>
      </c>
      <c r="I915" s="70">
        <f t="shared" si="462"/>
        <v>1</v>
      </c>
      <c r="J915" s="77" t="str">
        <f t="shared" si="462"/>
        <v>Senecio</v>
      </c>
      <c r="K915" s="77" t="str">
        <f t="shared" si="462"/>
        <v>burtoni</v>
      </c>
      <c r="L915" s="78">
        <f t="shared" si="462"/>
        <v>6</v>
      </c>
      <c r="M915" s="78">
        <f t="shared" si="462"/>
        <v>12</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INDEX([1]!VISITORS[INSECT ORDER], MATCH(X915,[1]!VISITORS[NAME USED],0))</f>
        <v>#REF!</v>
      </c>
      <c r="AB915" s="48" t="e">
        <f t="shared" si="445"/>
        <v>#REF!</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17</v>
      </c>
      <c r="D916" s="75">
        <f t="shared" si="438"/>
        <v>6</v>
      </c>
      <c r="E916" s="76">
        <f t="shared" si="439"/>
        <v>58</v>
      </c>
      <c r="F916" s="80"/>
      <c r="G916" s="83"/>
      <c r="H916" s="69" t="str">
        <f t="shared" si="461"/>
        <v>Senbur6_20191117_06_00</v>
      </c>
      <c r="I916" s="70">
        <f t="shared" si="462"/>
        <v>1</v>
      </c>
      <c r="J916" s="77" t="str">
        <f t="shared" si="462"/>
        <v>Senecio</v>
      </c>
      <c r="K916" s="77" t="str">
        <f t="shared" si="462"/>
        <v>burtoni</v>
      </c>
      <c r="L916" s="78">
        <f t="shared" si="462"/>
        <v>6</v>
      </c>
      <c r="M916" s="78">
        <f t="shared" si="462"/>
        <v>12</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INDEX([1]!VISITORS[INSECT ORDER], MATCH(X916,[1]!VISITORS[NAME USED],0))</f>
        <v>#REF!</v>
      </c>
      <c r="AB916" s="48" t="e">
        <f t="shared" si="445"/>
        <v>#REF!</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17</v>
      </c>
      <c r="D917" s="75">
        <f t="shared" si="438"/>
        <v>6</v>
      </c>
      <c r="E917" s="76">
        <f t="shared" si="439"/>
        <v>59</v>
      </c>
      <c r="F917" s="80"/>
      <c r="G917" s="83"/>
      <c r="H917" s="69" t="str">
        <f t="shared" si="461"/>
        <v>Senbur6_20191117_06_00</v>
      </c>
      <c r="I917" s="70">
        <f t="shared" ref="I917:N932" si="463">I916</f>
        <v>1</v>
      </c>
      <c r="J917" s="77" t="str">
        <f t="shared" si="463"/>
        <v>Senecio</v>
      </c>
      <c r="K917" s="77" t="str">
        <f t="shared" si="463"/>
        <v>burtoni</v>
      </c>
      <c r="L917" s="78">
        <f t="shared" si="463"/>
        <v>6</v>
      </c>
      <c r="M917" s="78">
        <f t="shared" si="463"/>
        <v>12</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INDEX([1]!VISITORS[INSECT ORDER], MATCH(X917,[1]!VISITORS[NAME USED],0))</f>
        <v>#REF!</v>
      </c>
      <c r="AB917" s="48" t="e">
        <f t="shared" si="445"/>
        <v>#REF!</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17</v>
      </c>
      <c r="D918" s="75">
        <f t="shared" si="438"/>
        <v>7</v>
      </c>
      <c r="E918" s="76">
        <f t="shared" si="439"/>
        <v>0</v>
      </c>
      <c r="F918" s="80"/>
      <c r="G918" s="83"/>
      <c r="H918" s="69" t="str">
        <f t="shared" si="461"/>
        <v>Senbur6_20191117_07_00</v>
      </c>
      <c r="I918" s="70">
        <f t="shared" si="463"/>
        <v>1</v>
      </c>
      <c r="J918" s="77" t="str">
        <f t="shared" si="463"/>
        <v>Senecio</v>
      </c>
      <c r="K918" s="77" t="str">
        <f t="shared" si="463"/>
        <v>burtoni</v>
      </c>
      <c r="L918" s="78">
        <f t="shared" si="463"/>
        <v>6</v>
      </c>
      <c r="M918" s="78">
        <f t="shared" si="463"/>
        <v>12</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INDEX([1]!VISITORS[INSECT ORDER], MATCH(X918,[1]!VISITORS[NAME USED],0))</f>
        <v>#REF!</v>
      </c>
      <c r="AB918" s="48" t="e">
        <f t="shared" si="445"/>
        <v>#REF!</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17</v>
      </c>
      <c r="D919" s="75">
        <f t="shared" si="438"/>
        <v>7</v>
      </c>
      <c r="E919" s="76">
        <f t="shared" si="439"/>
        <v>1</v>
      </c>
      <c r="F919" s="80"/>
      <c r="G919" s="83"/>
      <c r="H919" s="69" t="str">
        <f t="shared" si="461"/>
        <v>Senbur6_20191117_07_00</v>
      </c>
      <c r="I919" s="70">
        <f t="shared" si="463"/>
        <v>1</v>
      </c>
      <c r="J919" s="77" t="str">
        <f t="shared" si="463"/>
        <v>Senecio</v>
      </c>
      <c r="K919" s="77" t="str">
        <f t="shared" si="463"/>
        <v>burtoni</v>
      </c>
      <c r="L919" s="78">
        <f t="shared" si="463"/>
        <v>6</v>
      </c>
      <c r="M919" s="78">
        <f t="shared" si="463"/>
        <v>12</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INDEX([1]!VISITORS[INSECT ORDER], MATCH(X919,[1]!VISITORS[NAME USED],0))</f>
        <v>#REF!</v>
      </c>
      <c r="AB919" s="48" t="e">
        <f t="shared" si="445"/>
        <v>#REF!</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17</v>
      </c>
      <c r="D920" s="75">
        <f t="shared" si="438"/>
        <v>7</v>
      </c>
      <c r="E920" s="76">
        <f t="shared" si="439"/>
        <v>2</v>
      </c>
      <c r="F920" s="80"/>
      <c r="G920" s="83"/>
      <c r="H920" s="69" t="str">
        <f t="shared" si="461"/>
        <v>Senbur6_20191117_07_00</v>
      </c>
      <c r="I920" s="70">
        <f t="shared" si="463"/>
        <v>1</v>
      </c>
      <c r="J920" s="77" t="str">
        <f t="shared" si="463"/>
        <v>Senecio</v>
      </c>
      <c r="K920" s="77" t="str">
        <f t="shared" si="463"/>
        <v>burtoni</v>
      </c>
      <c r="L920" s="78">
        <f t="shared" si="463"/>
        <v>6</v>
      </c>
      <c r="M920" s="78">
        <f t="shared" si="463"/>
        <v>12</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INDEX([1]!VISITORS[INSECT ORDER], MATCH(X920,[1]!VISITORS[NAME USED],0))</f>
        <v>#REF!</v>
      </c>
      <c r="AB920" s="48" t="e">
        <f t="shared" si="445"/>
        <v>#REF!</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17</v>
      </c>
      <c r="D921" s="75">
        <f t="shared" si="438"/>
        <v>7</v>
      </c>
      <c r="E921" s="76">
        <f t="shared" si="439"/>
        <v>3</v>
      </c>
      <c r="F921" s="80"/>
      <c r="G921" s="83"/>
      <c r="H921" s="69" t="str">
        <f t="shared" si="461"/>
        <v>Senbur6_20191117_07_00</v>
      </c>
      <c r="I921" s="70">
        <f t="shared" si="463"/>
        <v>1</v>
      </c>
      <c r="J921" s="77" t="str">
        <f t="shared" si="463"/>
        <v>Senecio</v>
      </c>
      <c r="K921" s="77" t="str">
        <f t="shared" si="463"/>
        <v>burtoni</v>
      </c>
      <c r="L921" s="78">
        <f t="shared" si="463"/>
        <v>6</v>
      </c>
      <c r="M921" s="78">
        <f t="shared" si="463"/>
        <v>12</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INDEX([1]!VISITORS[INSECT ORDER], MATCH(X921,[1]!VISITORS[NAME USED],0))</f>
        <v>#REF!</v>
      </c>
      <c r="AB921" s="48" t="e">
        <f t="shared" si="445"/>
        <v>#REF!</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17</v>
      </c>
      <c r="D922" s="75">
        <f t="shared" si="438"/>
        <v>7</v>
      </c>
      <c r="E922" s="76">
        <f t="shared" si="439"/>
        <v>4</v>
      </c>
      <c r="F922" s="80"/>
      <c r="G922" s="83"/>
      <c r="H922" s="69" t="str">
        <f t="shared" si="461"/>
        <v>Senbur6_20191117_07_00</v>
      </c>
      <c r="I922" s="70">
        <f t="shared" si="463"/>
        <v>1</v>
      </c>
      <c r="J922" s="77" t="str">
        <f t="shared" si="463"/>
        <v>Senecio</v>
      </c>
      <c r="K922" s="77" t="str">
        <f t="shared" si="463"/>
        <v>burtoni</v>
      </c>
      <c r="L922" s="78">
        <f t="shared" si="463"/>
        <v>6</v>
      </c>
      <c r="M922" s="78">
        <f t="shared" si="463"/>
        <v>12</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INDEX([1]!VISITORS[INSECT ORDER], MATCH(X922,[1]!VISITORS[NAME USED],0))</f>
        <v>#REF!</v>
      </c>
      <c r="AB922" s="48" t="e">
        <f t="shared" si="445"/>
        <v>#REF!</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17</v>
      </c>
      <c r="D923" s="75">
        <f t="shared" si="438"/>
        <v>7</v>
      </c>
      <c r="E923" s="76">
        <f t="shared" si="439"/>
        <v>5</v>
      </c>
      <c r="F923" s="80"/>
      <c r="G923" s="83"/>
      <c r="H923" s="69" t="str">
        <f t="shared" si="461"/>
        <v>Senbur6_20191117_07_00</v>
      </c>
      <c r="I923" s="70">
        <f t="shared" si="463"/>
        <v>1</v>
      </c>
      <c r="J923" s="77" t="str">
        <f t="shared" si="463"/>
        <v>Senecio</v>
      </c>
      <c r="K923" s="77" t="str">
        <f t="shared" si="463"/>
        <v>burtoni</v>
      </c>
      <c r="L923" s="78">
        <f t="shared" si="463"/>
        <v>6</v>
      </c>
      <c r="M923" s="78">
        <f t="shared" si="463"/>
        <v>12</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INDEX([1]!VISITORS[INSECT ORDER], MATCH(X923,[1]!VISITORS[NAME USED],0))</f>
        <v>#REF!</v>
      </c>
      <c r="AB923" s="48" t="e">
        <f t="shared" si="445"/>
        <v>#REF!</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17</v>
      </c>
      <c r="D924" s="75">
        <f t="shared" si="438"/>
        <v>7</v>
      </c>
      <c r="E924" s="76">
        <f t="shared" si="439"/>
        <v>6</v>
      </c>
      <c r="F924" s="80"/>
      <c r="G924" s="83"/>
      <c r="H924" s="69" t="str">
        <f t="shared" si="461"/>
        <v>Senbur6_20191117_07_00</v>
      </c>
      <c r="I924" s="70">
        <f t="shared" si="463"/>
        <v>1</v>
      </c>
      <c r="J924" s="77" t="str">
        <f t="shared" si="463"/>
        <v>Senecio</v>
      </c>
      <c r="K924" s="77" t="str">
        <f t="shared" si="463"/>
        <v>burtoni</v>
      </c>
      <c r="L924" s="78">
        <f t="shared" si="463"/>
        <v>6</v>
      </c>
      <c r="M924" s="78">
        <f t="shared" si="463"/>
        <v>12</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INDEX([1]!VISITORS[INSECT ORDER], MATCH(X924,[1]!VISITORS[NAME USED],0))</f>
        <v>#REF!</v>
      </c>
      <c r="AB924" s="48" t="e">
        <f t="shared" si="445"/>
        <v>#REF!</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17</v>
      </c>
      <c r="D925" s="75">
        <f t="shared" si="438"/>
        <v>7</v>
      </c>
      <c r="E925" s="76">
        <f t="shared" si="439"/>
        <v>7</v>
      </c>
      <c r="F925" s="80"/>
      <c r="G925" s="83"/>
      <c r="H925" s="69" t="str">
        <f t="shared" si="461"/>
        <v>Senbur6_20191117_07_00</v>
      </c>
      <c r="I925" s="70">
        <f t="shared" si="463"/>
        <v>1</v>
      </c>
      <c r="J925" s="77" t="str">
        <f t="shared" si="463"/>
        <v>Senecio</v>
      </c>
      <c r="K925" s="77" t="str">
        <f t="shared" si="463"/>
        <v>burtoni</v>
      </c>
      <c r="L925" s="78">
        <f t="shared" si="463"/>
        <v>6</v>
      </c>
      <c r="M925" s="78">
        <f t="shared" si="463"/>
        <v>12</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INDEX([1]!VISITORS[INSECT ORDER], MATCH(X925,[1]!VISITORS[NAME USED],0))</f>
        <v>#REF!</v>
      </c>
      <c r="AB925" s="48" t="e">
        <f t="shared" si="445"/>
        <v>#REF!</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17</v>
      </c>
      <c r="D926" s="75">
        <f t="shared" si="438"/>
        <v>7</v>
      </c>
      <c r="E926" s="76">
        <f t="shared" si="439"/>
        <v>8</v>
      </c>
      <c r="F926" s="80"/>
      <c r="G926" s="83"/>
      <c r="H926" s="69" t="str">
        <f t="shared" si="461"/>
        <v>Senbur6_20191117_07_00</v>
      </c>
      <c r="I926" s="70">
        <f t="shared" si="463"/>
        <v>1</v>
      </c>
      <c r="J926" s="77" t="str">
        <f t="shared" si="463"/>
        <v>Senecio</v>
      </c>
      <c r="K926" s="77" t="str">
        <f t="shared" si="463"/>
        <v>burtoni</v>
      </c>
      <c r="L926" s="78">
        <f t="shared" si="463"/>
        <v>6</v>
      </c>
      <c r="M926" s="78">
        <f t="shared" si="463"/>
        <v>12</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INDEX([1]!VISITORS[INSECT ORDER], MATCH(X926,[1]!VISITORS[NAME USED],0))</f>
        <v>#REF!</v>
      </c>
      <c r="AB926" s="48" t="e">
        <f t="shared" si="445"/>
        <v>#REF!</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17</v>
      </c>
      <c r="D927" s="75">
        <f t="shared" si="438"/>
        <v>7</v>
      </c>
      <c r="E927" s="76">
        <f t="shared" si="439"/>
        <v>9</v>
      </c>
      <c r="F927" s="80"/>
      <c r="G927" s="83"/>
      <c r="H927" s="69" t="str">
        <f t="shared" si="461"/>
        <v>Senbur6_20191117_07_00</v>
      </c>
      <c r="I927" s="70">
        <f t="shared" si="463"/>
        <v>1</v>
      </c>
      <c r="J927" s="77" t="str">
        <f t="shared" si="463"/>
        <v>Senecio</v>
      </c>
      <c r="K927" s="77" t="str">
        <f t="shared" si="463"/>
        <v>burtoni</v>
      </c>
      <c r="L927" s="78">
        <f t="shared" si="463"/>
        <v>6</v>
      </c>
      <c r="M927" s="78">
        <f t="shared" si="463"/>
        <v>12</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INDEX([1]!VISITORS[INSECT ORDER], MATCH(X927,[1]!VISITORS[NAME USED],0))</f>
        <v>#REF!</v>
      </c>
      <c r="AB927" s="48" t="e">
        <f t="shared" si="445"/>
        <v>#REF!</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17</v>
      </c>
      <c r="D928" s="75">
        <f t="shared" si="438"/>
        <v>7</v>
      </c>
      <c r="E928" s="76">
        <f t="shared" si="439"/>
        <v>10</v>
      </c>
      <c r="F928" s="80"/>
      <c r="G928" s="83"/>
      <c r="H928" s="69" t="str">
        <f t="shared" si="461"/>
        <v>Senbur6_20191117_07_00</v>
      </c>
      <c r="I928" s="70">
        <f t="shared" si="463"/>
        <v>1</v>
      </c>
      <c r="J928" s="77" t="str">
        <f t="shared" si="463"/>
        <v>Senecio</v>
      </c>
      <c r="K928" s="77" t="str">
        <f t="shared" si="463"/>
        <v>burtoni</v>
      </c>
      <c r="L928" s="78">
        <f t="shared" si="463"/>
        <v>6</v>
      </c>
      <c r="M928" s="78">
        <f t="shared" si="463"/>
        <v>12</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INDEX([1]!VISITORS[INSECT ORDER], MATCH(X928,[1]!VISITORS[NAME USED],0))</f>
        <v>#REF!</v>
      </c>
      <c r="AB928" s="48" t="e">
        <f t="shared" si="445"/>
        <v>#REF!</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17</v>
      </c>
      <c r="D929" s="75">
        <f t="shared" si="438"/>
        <v>7</v>
      </c>
      <c r="E929" s="76">
        <f t="shared" si="439"/>
        <v>11</v>
      </c>
      <c r="F929" s="80"/>
      <c r="G929" s="83"/>
      <c r="H929" s="69" t="str">
        <f t="shared" si="461"/>
        <v>Senbur6_20191117_07_00</v>
      </c>
      <c r="I929" s="70">
        <f t="shared" si="463"/>
        <v>1</v>
      </c>
      <c r="J929" s="77" t="str">
        <f t="shared" si="463"/>
        <v>Senecio</v>
      </c>
      <c r="K929" s="77" t="str">
        <f t="shared" si="463"/>
        <v>burtoni</v>
      </c>
      <c r="L929" s="78">
        <f t="shared" si="463"/>
        <v>6</v>
      </c>
      <c r="M929" s="78">
        <f t="shared" si="463"/>
        <v>12</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INDEX([1]!VISITORS[INSECT ORDER], MATCH(X929,[1]!VISITORS[NAME USED],0))</f>
        <v>#REF!</v>
      </c>
      <c r="AB929" s="48" t="e">
        <f t="shared" si="445"/>
        <v>#REF!</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17</v>
      </c>
      <c r="D930" s="75">
        <f t="shared" si="438"/>
        <v>7</v>
      </c>
      <c r="E930" s="76">
        <f t="shared" si="439"/>
        <v>12</v>
      </c>
      <c r="F930" s="80">
        <v>12</v>
      </c>
      <c r="G930" s="83"/>
      <c r="H930" s="69" t="str">
        <f t="shared" si="461"/>
        <v>Senbur6_20191117_07_00</v>
      </c>
      <c r="I930" s="70">
        <f t="shared" si="463"/>
        <v>1</v>
      </c>
      <c r="J930" s="77" t="str">
        <f t="shared" si="463"/>
        <v>Senecio</v>
      </c>
      <c r="K930" s="77" t="str">
        <f t="shared" si="463"/>
        <v>burtoni</v>
      </c>
      <c r="L930" s="78">
        <f t="shared" si="463"/>
        <v>6</v>
      </c>
      <c r="M930" s="78">
        <f t="shared" si="463"/>
        <v>12</v>
      </c>
      <c r="N930" s="72">
        <f t="shared" si="463"/>
        <v>0</v>
      </c>
      <c r="O930" s="45"/>
      <c r="P930" s="46">
        <f t="shared" si="440"/>
        <v>1</v>
      </c>
      <c r="Q930" s="47" t="str">
        <f t="shared" si="441"/>
        <v>07:12:12</v>
      </c>
      <c r="R930" s="48" t="str">
        <f t="shared" si="442"/>
        <v>12:12</v>
      </c>
      <c r="S930" s="49">
        <f t="shared" si="435"/>
        <v>37</v>
      </c>
      <c r="T930" s="48" t="str">
        <f t="shared" si="443"/>
        <v>07</v>
      </c>
      <c r="U930" s="50">
        <v>12</v>
      </c>
      <c r="V930" s="51">
        <v>49</v>
      </c>
      <c r="W930" s="52" t="str">
        <f t="shared" si="444"/>
        <v>12:49</v>
      </c>
      <c r="X930" s="53" t="s">
        <v>59</v>
      </c>
      <c r="Y930" s="97" t="s">
        <v>78</v>
      </c>
      <c r="Z930" s="97"/>
      <c r="AA930" s="48" t="s">
        <v>60</v>
      </c>
      <c r="AB930" s="48" t="str">
        <f t="shared" si="445"/>
        <v>NA</v>
      </c>
      <c r="AC930" s="54">
        <f t="shared" si="446"/>
        <v>0</v>
      </c>
      <c r="AD930" s="55">
        <f t="shared" si="447"/>
        <v>1</v>
      </c>
      <c r="AE930" s="55"/>
      <c r="AF930" s="55"/>
      <c r="AG930" s="56">
        <v>1</v>
      </c>
      <c r="AH930" s="57">
        <v>11</v>
      </c>
      <c r="AI930" s="56"/>
      <c r="AJ930" s="57" t="str">
        <f t="shared" si="450"/>
        <v/>
      </c>
      <c r="AK930" s="56">
        <v>1</v>
      </c>
      <c r="AL930" s="57">
        <v>26</v>
      </c>
      <c r="AM930" s="56"/>
      <c r="AN930" s="57" t="str">
        <f t="shared" si="452"/>
        <v/>
      </c>
      <c r="AO930" s="56"/>
      <c r="AP930" s="57" t="str">
        <f t="shared" si="453"/>
        <v/>
      </c>
      <c r="AQ930" s="56"/>
      <c r="AR930" s="57" t="str">
        <f t="shared" si="454"/>
        <v/>
      </c>
      <c r="AS930" s="56"/>
      <c r="AT930" s="57" t="str">
        <f t="shared" si="455"/>
        <v/>
      </c>
      <c r="AU930" s="58"/>
      <c r="AV930" s="59"/>
      <c r="AW930" s="59"/>
      <c r="AX930" s="60"/>
      <c r="AY930" s="61">
        <v>1</v>
      </c>
      <c r="AZ930" s="62">
        <f t="shared" si="457"/>
        <v>1</v>
      </c>
      <c r="BA930" s="61">
        <f t="shared" si="458"/>
        <v>0</v>
      </c>
      <c r="BB930" s="62" t="str">
        <f t="shared" si="459"/>
        <v/>
      </c>
    </row>
    <row r="931" spans="1:54" s="3" customFormat="1" hidden="1" x14ac:dyDescent="0.35">
      <c r="A931" s="73">
        <f t="shared" si="436"/>
        <v>2019</v>
      </c>
      <c r="B931" s="73" t="str">
        <f t="shared" si="437"/>
        <v>Nov</v>
      </c>
      <c r="C931" s="74">
        <f t="shared" si="460"/>
        <v>17</v>
      </c>
      <c r="D931" s="75">
        <f t="shared" si="438"/>
        <v>7</v>
      </c>
      <c r="E931" s="76">
        <v>12</v>
      </c>
      <c r="F931" s="80">
        <v>47</v>
      </c>
      <c r="G931" s="83"/>
      <c r="H931" s="69" t="str">
        <f t="shared" si="461"/>
        <v>Senbur6_20191117_07_00</v>
      </c>
      <c r="I931" s="70">
        <f t="shared" si="463"/>
        <v>1</v>
      </c>
      <c r="J931" s="77" t="str">
        <f t="shared" si="463"/>
        <v>Senecio</v>
      </c>
      <c r="K931" s="77" t="str">
        <f t="shared" si="463"/>
        <v>burtoni</v>
      </c>
      <c r="L931" s="78">
        <f t="shared" si="463"/>
        <v>6</v>
      </c>
      <c r="M931" s="78">
        <f t="shared" si="463"/>
        <v>12</v>
      </c>
      <c r="N931" s="72">
        <f t="shared" si="463"/>
        <v>0</v>
      </c>
      <c r="O931" s="45"/>
      <c r="P931" s="46">
        <f t="shared" si="440"/>
        <v>1</v>
      </c>
      <c r="Q931" s="47" t="str">
        <f t="shared" si="441"/>
        <v>07:12:47</v>
      </c>
      <c r="R931" s="48" t="str">
        <f t="shared" si="442"/>
        <v>12:47</v>
      </c>
      <c r="S931" s="49">
        <f t="shared" si="435"/>
        <v>426</v>
      </c>
      <c r="T931" s="48" t="str">
        <f t="shared" si="443"/>
        <v>07</v>
      </c>
      <c r="U931" s="50">
        <v>19</v>
      </c>
      <c r="V931" s="51">
        <v>53</v>
      </c>
      <c r="W931" s="52" t="str">
        <f t="shared" si="444"/>
        <v>19:53</v>
      </c>
      <c r="X931" s="53" t="s">
        <v>59</v>
      </c>
      <c r="Y931" s="97" t="s">
        <v>78</v>
      </c>
      <c r="Z931" s="97"/>
      <c r="AA931" s="48" t="s">
        <v>60</v>
      </c>
      <c r="AB931" s="48" t="str">
        <f t="shared" si="445"/>
        <v>NA</v>
      </c>
      <c r="AC931" s="54">
        <f t="shared" si="446"/>
        <v>0</v>
      </c>
      <c r="AD931" s="55">
        <v>3</v>
      </c>
      <c r="AE931" s="55"/>
      <c r="AF931" s="55"/>
      <c r="AG931" s="56">
        <v>1</v>
      </c>
      <c r="AH931" s="57">
        <v>333</v>
      </c>
      <c r="AI931" s="56"/>
      <c r="AJ931" s="57" t="str">
        <f t="shared" si="450"/>
        <v/>
      </c>
      <c r="AK931" s="56">
        <v>1</v>
      </c>
      <c r="AL931" s="57">
        <v>93</v>
      </c>
      <c r="AM931" s="56"/>
      <c r="AN931" s="57" t="str">
        <f t="shared" si="452"/>
        <v/>
      </c>
      <c r="AO931" s="56"/>
      <c r="AP931" s="57" t="str">
        <f t="shared" si="453"/>
        <v/>
      </c>
      <c r="AQ931" s="56"/>
      <c r="AR931" s="57" t="str">
        <f t="shared" si="454"/>
        <v/>
      </c>
      <c r="AS931" s="56"/>
      <c r="AT931" s="57" t="str">
        <f t="shared" si="455"/>
        <v/>
      </c>
      <c r="AU931" s="58"/>
      <c r="AV931" s="59"/>
      <c r="AW931" s="59"/>
      <c r="AX931" s="60"/>
      <c r="AY931" s="61">
        <v>1</v>
      </c>
      <c r="AZ931" s="62">
        <f t="shared" si="457"/>
        <v>3</v>
      </c>
      <c r="BA931" s="61">
        <f t="shared" si="458"/>
        <v>0</v>
      </c>
      <c r="BB931" s="62" t="str">
        <f t="shared" si="459"/>
        <v/>
      </c>
    </row>
    <row r="932" spans="1:54" s="3" customFormat="1" hidden="1" x14ac:dyDescent="0.35">
      <c r="A932" s="73">
        <f t="shared" si="436"/>
        <v>2019</v>
      </c>
      <c r="B932" s="73" t="str">
        <f t="shared" si="437"/>
        <v>Nov</v>
      </c>
      <c r="C932" s="74">
        <f t="shared" si="460"/>
        <v>17</v>
      </c>
      <c r="D932" s="75">
        <f t="shared" si="438"/>
        <v>7</v>
      </c>
      <c r="E932" s="76">
        <f t="shared" si="439"/>
        <v>13</v>
      </c>
      <c r="F932" s="80"/>
      <c r="G932" s="83"/>
      <c r="H932" s="69" t="str">
        <f t="shared" si="461"/>
        <v>Senbur6_20191117_07_00</v>
      </c>
      <c r="I932" s="70">
        <f t="shared" si="463"/>
        <v>1</v>
      </c>
      <c r="J932" s="77" t="str">
        <f t="shared" si="463"/>
        <v>Senecio</v>
      </c>
      <c r="K932" s="77" t="str">
        <f t="shared" si="463"/>
        <v>burtoni</v>
      </c>
      <c r="L932" s="78">
        <f t="shared" si="463"/>
        <v>6</v>
      </c>
      <c r="M932" s="78">
        <f t="shared" si="463"/>
        <v>12</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INDEX([1]!VISITORS[INSECT ORDER], MATCH(X932,[1]!VISITORS[NAME USED],0))</f>
        <v>#REF!</v>
      </c>
      <c r="AB932" s="48" t="e">
        <f t="shared" si="445"/>
        <v>#REF!</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17</v>
      </c>
      <c r="D933" s="75">
        <f t="shared" si="438"/>
        <v>7</v>
      </c>
      <c r="E933" s="76">
        <f t="shared" si="439"/>
        <v>14</v>
      </c>
      <c r="F933" s="80">
        <v>1</v>
      </c>
      <c r="G933" s="83"/>
      <c r="H933" s="69" t="str">
        <f t="shared" si="461"/>
        <v>Senbur6_20191117_07_00</v>
      </c>
      <c r="I933" s="70">
        <f t="shared" ref="I933:N948" si="464">I932</f>
        <v>1</v>
      </c>
      <c r="J933" s="77" t="str">
        <f t="shared" si="464"/>
        <v>Senecio</v>
      </c>
      <c r="K933" s="77" t="str">
        <f t="shared" si="464"/>
        <v>burtoni</v>
      </c>
      <c r="L933" s="78">
        <f t="shared" si="464"/>
        <v>6</v>
      </c>
      <c r="M933" s="78">
        <f t="shared" si="464"/>
        <v>12</v>
      </c>
      <c r="N933" s="72">
        <f t="shared" si="464"/>
        <v>0</v>
      </c>
      <c r="O933" s="45"/>
      <c r="P933" s="46">
        <f t="shared" si="440"/>
        <v>1</v>
      </c>
      <c r="Q933" s="47" t="str">
        <f t="shared" si="441"/>
        <v>07:14:01</v>
      </c>
      <c r="R933" s="48" t="str">
        <f t="shared" si="442"/>
        <v>14:01</v>
      </c>
      <c r="S933" s="49">
        <f t="shared" si="435"/>
        <v>5</v>
      </c>
      <c r="T933" s="48" t="str">
        <f t="shared" si="443"/>
        <v>07</v>
      </c>
      <c r="U933" s="50">
        <v>14</v>
      </c>
      <c r="V933" s="51">
        <v>6</v>
      </c>
      <c r="W933" s="52" t="str">
        <f t="shared" si="444"/>
        <v>14:06</v>
      </c>
      <c r="X933" s="53" t="s">
        <v>59</v>
      </c>
      <c r="Y933" s="97" t="s">
        <v>78</v>
      </c>
      <c r="Z933" s="97"/>
      <c r="AA933" s="48" t="s">
        <v>60</v>
      </c>
      <c r="AB933" s="48" t="str">
        <f t="shared" si="445"/>
        <v>NA</v>
      </c>
      <c r="AC933" s="54">
        <f t="shared" si="446"/>
        <v>0</v>
      </c>
      <c r="AD933" s="55">
        <f t="shared" si="447"/>
        <v>1</v>
      </c>
      <c r="AE933" s="55"/>
      <c r="AF933" s="55"/>
      <c r="AG933" s="56">
        <v>1</v>
      </c>
      <c r="AH933" s="57">
        <v>1</v>
      </c>
      <c r="AI933" s="56"/>
      <c r="AJ933" s="57" t="str">
        <f t="shared" si="450"/>
        <v/>
      </c>
      <c r="AK933" s="56">
        <v>1</v>
      </c>
      <c r="AL933" s="57">
        <v>4</v>
      </c>
      <c r="AM933" s="56"/>
      <c r="AN933" s="57" t="str">
        <f t="shared" si="452"/>
        <v/>
      </c>
      <c r="AO933" s="56"/>
      <c r="AP933" s="57" t="str">
        <f t="shared" si="453"/>
        <v/>
      </c>
      <c r="AQ933" s="56"/>
      <c r="AR933" s="57" t="str">
        <f t="shared" si="454"/>
        <v/>
      </c>
      <c r="AS933" s="56"/>
      <c r="AT933" s="57" t="str">
        <f t="shared" si="455"/>
        <v/>
      </c>
      <c r="AU933" s="58"/>
      <c r="AV933" s="59"/>
      <c r="AW933" s="59"/>
      <c r="AX933" s="60"/>
      <c r="AY933" s="61">
        <v>1</v>
      </c>
      <c r="AZ933" s="62">
        <f t="shared" si="457"/>
        <v>1</v>
      </c>
      <c r="BA933" s="61">
        <f t="shared" si="458"/>
        <v>0</v>
      </c>
      <c r="BB933" s="62" t="str">
        <f t="shared" si="459"/>
        <v/>
      </c>
    </row>
    <row r="934" spans="1:54" s="3" customFormat="1" hidden="1" x14ac:dyDescent="0.35">
      <c r="A934" s="73">
        <f t="shared" si="436"/>
        <v>2019</v>
      </c>
      <c r="B934" s="73" t="str">
        <f t="shared" si="437"/>
        <v>Nov</v>
      </c>
      <c r="C934" s="74">
        <f t="shared" si="460"/>
        <v>17</v>
      </c>
      <c r="D934" s="75">
        <f t="shared" si="438"/>
        <v>7</v>
      </c>
      <c r="E934" s="76">
        <v>14</v>
      </c>
      <c r="F934" s="80">
        <v>21</v>
      </c>
      <c r="G934" s="83"/>
      <c r="H934" s="69" t="str">
        <f t="shared" si="461"/>
        <v>Senbur6_20191117_07_00</v>
      </c>
      <c r="I934" s="70">
        <f t="shared" si="464"/>
        <v>1</v>
      </c>
      <c r="J934" s="77" t="str">
        <f t="shared" si="464"/>
        <v>Senecio</v>
      </c>
      <c r="K934" s="77" t="str">
        <f t="shared" si="464"/>
        <v>burtoni</v>
      </c>
      <c r="L934" s="78">
        <f t="shared" si="464"/>
        <v>6</v>
      </c>
      <c r="M934" s="78">
        <f t="shared" si="464"/>
        <v>12</v>
      </c>
      <c r="N934" s="72">
        <f t="shared" si="464"/>
        <v>0</v>
      </c>
      <c r="O934" s="45"/>
      <c r="P934" s="46">
        <f t="shared" si="440"/>
        <v>1</v>
      </c>
      <c r="Q934" s="47" t="str">
        <f t="shared" si="441"/>
        <v>07:14:21</v>
      </c>
      <c r="R934" s="48" t="str">
        <f t="shared" si="442"/>
        <v>14:21</v>
      </c>
      <c r="S934" s="49">
        <f t="shared" si="435"/>
        <v>261</v>
      </c>
      <c r="T934" s="48" t="str">
        <f t="shared" si="443"/>
        <v>07</v>
      </c>
      <c r="U934" s="50">
        <v>18</v>
      </c>
      <c r="V934" s="51">
        <v>42</v>
      </c>
      <c r="W934" s="52" t="str">
        <f t="shared" si="444"/>
        <v>18:42</v>
      </c>
      <c r="X934" s="53" t="s">
        <v>59</v>
      </c>
      <c r="Y934" s="97" t="s">
        <v>78</v>
      </c>
      <c r="Z934" s="97"/>
      <c r="AA934" s="48" t="s">
        <v>60</v>
      </c>
      <c r="AB934" s="48" t="str">
        <f t="shared" si="445"/>
        <v>NA</v>
      </c>
      <c r="AC934" s="54">
        <f t="shared" si="446"/>
        <v>0</v>
      </c>
      <c r="AD934" s="55">
        <v>3</v>
      </c>
      <c r="AE934" s="55"/>
      <c r="AF934" s="55"/>
      <c r="AG934" s="56">
        <v>1</v>
      </c>
      <c r="AH934" s="57">
        <v>149</v>
      </c>
      <c r="AI934" s="56">
        <v>1</v>
      </c>
      <c r="AJ934" s="57">
        <v>2</v>
      </c>
      <c r="AK934" s="56">
        <v>1</v>
      </c>
      <c r="AL934" s="57">
        <v>110</v>
      </c>
      <c r="AM934" s="56"/>
      <c r="AN934" s="57" t="str">
        <f t="shared" si="452"/>
        <v/>
      </c>
      <c r="AO934" s="56"/>
      <c r="AP934" s="57" t="str">
        <f t="shared" si="453"/>
        <v/>
      </c>
      <c r="AQ934" s="56"/>
      <c r="AR934" s="57" t="str">
        <f t="shared" si="454"/>
        <v/>
      </c>
      <c r="AS934" s="56"/>
      <c r="AT934" s="57" t="str">
        <f t="shared" si="455"/>
        <v/>
      </c>
      <c r="AU934" s="58"/>
      <c r="AV934" s="59"/>
      <c r="AW934" s="59"/>
      <c r="AX934" s="60"/>
      <c r="AY934" s="61">
        <v>1</v>
      </c>
      <c r="AZ934" s="62">
        <f t="shared" si="457"/>
        <v>3</v>
      </c>
      <c r="BA934" s="61">
        <f t="shared" si="458"/>
        <v>0</v>
      </c>
      <c r="BB934" s="62" t="str">
        <f t="shared" si="459"/>
        <v/>
      </c>
    </row>
    <row r="935" spans="1:54" s="3" customFormat="1" hidden="1" x14ac:dyDescent="0.35">
      <c r="A935" s="73">
        <f t="shared" si="436"/>
        <v>2019</v>
      </c>
      <c r="B935" s="73" t="str">
        <f t="shared" si="437"/>
        <v>Nov</v>
      </c>
      <c r="C935" s="74">
        <f t="shared" si="460"/>
        <v>17</v>
      </c>
      <c r="D935" s="75">
        <f t="shared" si="438"/>
        <v>7</v>
      </c>
      <c r="E935" s="76">
        <f t="shared" si="439"/>
        <v>15</v>
      </c>
      <c r="F935" s="80"/>
      <c r="G935" s="83"/>
      <c r="H935" s="69" t="str">
        <f t="shared" si="461"/>
        <v>Senbur6_20191117_07_00</v>
      </c>
      <c r="I935" s="70">
        <f t="shared" si="464"/>
        <v>1</v>
      </c>
      <c r="J935" s="77" t="str">
        <f t="shared" si="464"/>
        <v>Senecio</v>
      </c>
      <c r="K935" s="77" t="str">
        <f t="shared" si="464"/>
        <v>burtoni</v>
      </c>
      <c r="L935" s="78">
        <f t="shared" si="464"/>
        <v>6</v>
      </c>
      <c r="M935" s="78">
        <f t="shared" si="464"/>
        <v>12</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INDEX([1]!VISITORS[INSECT ORDER], MATCH(X935,[1]!VISITORS[NAME USED],0))</f>
        <v>#REF!</v>
      </c>
      <c r="AB935" s="48" t="e">
        <f t="shared" si="445"/>
        <v>#REF!</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17</v>
      </c>
      <c r="D936" s="75">
        <f t="shared" si="438"/>
        <v>7</v>
      </c>
      <c r="E936" s="76">
        <f t="shared" si="439"/>
        <v>16</v>
      </c>
      <c r="F936" s="80"/>
      <c r="G936" s="83"/>
      <c r="H936" s="69" t="str">
        <f t="shared" si="461"/>
        <v>Senbur6_20191117_07_00</v>
      </c>
      <c r="I936" s="70">
        <f t="shared" si="464"/>
        <v>1</v>
      </c>
      <c r="J936" s="77" t="str">
        <f t="shared" si="464"/>
        <v>Senecio</v>
      </c>
      <c r="K936" s="77" t="str">
        <f t="shared" si="464"/>
        <v>burtoni</v>
      </c>
      <c r="L936" s="78">
        <f t="shared" si="464"/>
        <v>6</v>
      </c>
      <c r="M936" s="78">
        <f t="shared" si="464"/>
        <v>12</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INDEX([1]!VISITORS[INSECT ORDER], MATCH(X936,[1]!VISITORS[NAME USED],0))</f>
        <v>#REF!</v>
      </c>
      <c r="AB936" s="48" t="e">
        <f t="shared" si="445"/>
        <v>#REF!</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17</v>
      </c>
      <c r="D937" s="75">
        <f t="shared" si="438"/>
        <v>7</v>
      </c>
      <c r="E937" s="76">
        <f t="shared" si="439"/>
        <v>17</v>
      </c>
      <c r="F937" s="80"/>
      <c r="G937" s="83"/>
      <c r="H937" s="69" t="str">
        <f t="shared" si="461"/>
        <v>Senbur6_20191117_07_00</v>
      </c>
      <c r="I937" s="70">
        <f t="shared" si="464"/>
        <v>1</v>
      </c>
      <c r="J937" s="77" t="str">
        <f t="shared" si="464"/>
        <v>Senecio</v>
      </c>
      <c r="K937" s="77" t="str">
        <f t="shared" si="464"/>
        <v>burtoni</v>
      </c>
      <c r="L937" s="78">
        <f t="shared" si="464"/>
        <v>6</v>
      </c>
      <c r="M937" s="78">
        <f t="shared" si="464"/>
        <v>12</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INDEX([1]!VISITORS[INSECT ORDER], MATCH(X937,[1]!VISITORS[NAME USED],0))</f>
        <v>#REF!</v>
      </c>
      <c r="AB937" s="48" t="e">
        <f t="shared" si="445"/>
        <v>#REF!</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17</v>
      </c>
      <c r="D938" s="75">
        <f t="shared" si="438"/>
        <v>7</v>
      </c>
      <c r="E938" s="76">
        <f t="shared" si="439"/>
        <v>18</v>
      </c>
      <c r="F938" s="80"/>
      <c r="G938" s="83"/>
      <c r="H938" s="69" t="str">
        <f t="shared" si="461"/>
        <v>Senbur6_20191117_07_00</v>
      </c>
      <c r="I938" s="70">
        <f t="shared" si="464"/>
        <v>1</v>
      </c>
      <c r="J938" s="77" t="str">
        <f t="shared" si="464"/>
        <v>Senecio</v>
      </c>
      <c r="K938" s="77" t="str">
        <f t="shared" si="464"/>
        <v>burtoni</v>
      </c>
      <c r="L938" s="78">
        <f t="shared" si="464"/>
        <v>6</v>
      </c>
      <c r="M938" s="78">
        <f t="shared" si="464"/>
        <v>12</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INDEX([1]!VISITORS[INSECT ORDER], MATCH(X938,[1]!VISITORS[NAME USED],0))</f>
        <v>#REF!</v>
      </c>
      <c r="AB938" s="48" t="e">
        <f t="shared" si="445"/>
        <v>#REF!</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17</v>
      </c>
      <c r="D939" s="75">
        <f t="shared" si="438"/>
        <v>7</v>
      </c>
      <c r="E939" s="76">
        <f t="shared" si="439"/>
        <v>19</v>
      </c>
      <c r="F939" s="80"/>
      <c r="G939" s="83"/>
      <c r="H939" s="69" t="str">
        <f t="shared" si="461"/>
        <v>Senbur6_20191117_07_00</v>
      </c>
      <c r="I939" s="70">
        <f t="shared" si="464"/>
        <v>1</v>
      </c>
      <c r="J939" s="77" t="str">
        <f t="shared" si="464"/>
        <v>Senecio</v>
      </c>
      <c r="K939" s="77" t="str">
        <f t="shared" si="464"/>
        <v>burtoni</v>
      </c>
      <c r="L939" s="78">
        <f t="shared" si="464"/>
        <v>6</v>
      </c>
      <c r="M939" s="78">
        <f t="shared" si="464"/>
        <v>12</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INDEX([1]!VISITORS[INSECT ORDER], MATCH(X939,[1]!VISITORS[NAME USED],0))</f>
        <v>#REF!</v>
      </c>
      <c r="AB939" s="48" t="e">
        <f t="shared" si="445"/>
        <v>#REF!</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17</v>
      </c>
      <c r="D940" s="75">
        <f t="shared" si="438"/>
        <v>7</v>
      </c>
      <c r="E940" s="76">
        <f t="shared" si="439"/>
        <v>20</v>
      </c>
      <c r="F940" s="80"/>
      <c r="G940" s="83"/>
      <c r="H940" s="69" t="str">
        <f t="shared" si="461"/>
        <v>Senbur6_20191117_07_00</v>
      </c>
      <c r="I940" s="70">
        <f t="shared" si="464"/>
        <v>1</v>
      </c>
      <c r="J940" s="77" t="str">
        <f t="shared" si="464"/>
        <v>Senecio</v>
      </c>
      <c r="K940" s="77" t="str">
        <f t="shared" si="464"/>
        <v>burtoni</v>
      </c>
      <c r="L940" s="78">
        <f t="shared" si="464"/>
        <v>6</v>
      </c>
      <c r="M940" s="78">
        <f t="shared" si="464"/>
        <v>12</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INDEX([1]!VISITORS[INSECT ORDER], MATCH(X940,[1]!VISITORS[NAME USED],0))</f>
        <v>#REF!</v>
      </c>
      <c r="AB940" s="48" t="e">
        <f t="shared" si="445"/>
        <v>#REF!</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17</v>
      </c>
      <c r="D941" s="75">
        <f t="shared" si="438"/>
        <v>7</v>
      </c>
      <c r="E941" s="76">
        <f t="shared" si="439"/>
        <v>21</v>
      </c>
      <c r="F941" s="80">
        <v>23</v>
      </c>
      <c r="G941" s="83"/>
      <c r="H941" s="69" t="str">
        <f t="shared" si="461"/>
        <v>Senbur6_20191117_07_00</v>
      </c>
      <c r="I941" s="70">
        <f t="shared" si="464"/>
        <v>1</v>
      </c>
      <c r="J941" s="77" t="str">
        <f t="shared" si="464"/>
        <v>Senecio</v>
      </c>
      <c r="K941" s="77" t="str">
        <f t="shared" si="464"/>
        <v>burtoni</v>
      </c>
      <c r="L941" s="78">
        <f t="shared" si="464"/>
        <v>6</v>
      </c>
      <c r="M941" s="78">
        <f t="shared" si="464"/>
        <v>12</v>
      </c>
      <c r="N941" s="72">
        <f t="shared" si="464"/>
        <v>0</v>
      </c>
      <c r="O941" s="45"/>
      <c r="P941" s="46">
        <f t="shared" si="440"/>
        <v>1</v>
      </c>
      <c r="Q941" s="47" t="str">
        <f t="shared" si="441"/>
        <v>07:21:23</v>
      </c>
      <c r="R941" s="48" t="str">
        <f t="shared" si="442"/>
        <v>21:23</v>
      </c>
      <c r="S941" s="49">
        <f t="shared" si="435"/>
        <v>447</v>
      </c>
      <c r="T941" s="48" t="str">
        <f t="shared" si="443"/>
        <v>07</v>
      </c>
      <c r="U941" s="50">
        <v>28</v>
      </c>
      <c r="V941" s="51">
        <v>50</v>
      </c>
      <c r="W941" s="52" t="str">
        <f t="shared" si="444"/>
        <v>28:50</v>
      </c>
      <c r="X941" s="53" t="s">
        <v>59</v>
      </c>
      <c r="Y941" s="97" t="s">
        <v>78</v>
      </c>
      <c r="Z941" s="97"/>
      <c r="AA941" s="48" t="s">
        <v>60</v>
      </c>
      <c r="AB941" s="48" t="str">
        <f t="shared" si="445"/>
        <v>NA</v>
      </c>
      <c r="AC941" s="54">
        <f t="shared" si="446"/>
        <v>0</v>
      </c>
      <c r="AD941" s="55">
        <v>3</v>
      </c>
      <c r="AE941" s="55"/>
      <c r="AF941" s="55"/>
      <c r="AG941" s="56">
        <v>1</v>
      </c>
      <c r="AH941" s="57">
        <v>87</v>
      </c>
      <c r="AI941" s="56">
        <v>1</v>
      </c>
      <c r="AJ941" s="57">
        <v>1</v>
      </c>
      <c r="AK941" s="56">
        <v>1</v>
      </c>
      <c r="AL941" s="57">
        <v>359</v>
      </c>
      <c r="AM941" s="56"/>
      <c r="AN941" s="57" t="str">
        <f t="shared" si="452"/>
        <v/>
      </c>
      <c r="AO941" s="56"/>
      <c r="AP941" s="57" t="str">
        <f t="shared" si="453"/>
        <v/>
      </c>
      <c r="AQ941" s="56"/>
      <c r="AR941" s="57" t="str">
        <f t="shared" si="454"/>
        <v/>
      </c>
      <c r="AS941" s="56"/>
      <c r="AT941" s="57" t="str">
        <f t="shared" si="455"/>
        <v/>
      </c>
      <c r="AU941" s="58"/>
      <c r="AV941" s="59"/>
      <c r="AW941" s="59"/>
      <c r="AX941" s="60"/>
      <c r="AY941" s="61">
        <v>1</v>
      </c>
      <c r="AZ941" s="62">
        <f t="shared" si="457"/>
        <v>3</v>
      </c>
      <c r="BA941" s="61">
        <f t="shared" si="458"/>
        <v>0</v>
      </c>
      <c r="BB941" s="62" t="str">
        <f t="shared" si="459"/>
        <v/>
      </c>
    </row>
    <row r="942" spans="1:54" s="3" customFormat="1" hidden="1" x14ac:dyDescent="0.35">
      <c r="A942" s="73">
        <f t="shared" si="436"/>
        <v>2019</v>
      </c>
      <c r="B942" s="73" t="str">
        <f t="shared" si="437"/>
        <v>Nov</v>
      </c>
      <c r="C942" s="74">
        <f t="shared" si="460"/>
        <v>17</v>
      </c>
      <c r="D942" s="75">
        <f t="shared" si="438"/>
        <v>7</v>
      </c>
      <c r="E942" s="76">
        <v>21</v>
      </c>
      <c r="F942" s="80">
        <v>52</v>
      </c>
      <c r="G942" s="83"/>
      <c r="H942" s="69" t="str">
        <f t="shared" si="461"/>
        <v>Senbur6_20191117_07_00</v>
      </c>
      <c r="I942" s="70">
        <f t="shared" si="464"/>
        <v>1</v>
      </c>
      <c r="J942" s="77" t="str">
        <f t="shared" si="464"/>
        <v>Senecio</v>
      </c>
      <c r="K942" s="77" t="str">
        <f t="shared" si="464"/>
        <v>burtoni</v>
      </c>
      <c r="L942" s="78">
        <f t="shared" si="464"/>
        <v>6</v>
      </c>
      <c r="M942" s="78">
        <f t="shared" si="464"/>
        <v>12</v>
      </c>
      <c r="N942" s="72">
        <f t="shared" si="464"/>
        <v>0</v>
      </c>
      <c r="O942" s="45"/>
      <c r="P942" s="46">
        <f t="shared" si="440"/>
        <v>1</v>
      </c>
      <c r="Q942" s="47" t="str">
        <f t="shared" si="441"/>
        <v>07:21:52</v>
      </c>
      <c r="R942" s="48" t="str">
        <f t="shared" si="442"/>
        <v>21:52</v>
      </c>
      <c r="S942" s="49">
        <f t="shared" si="435"/>
        <v>347</v>
      </c>
      <c r="T942" s="48" t="str">
        <f t="shared" si="443"/>
        <v>07</v>
      </c>
      <c r="U942" s="50">
        <v>27</v>
      </c>
      <c r="V942" s="51">
        <v>39</v>
      </c>
      <c r="W942" s="52" t="str">
        <f t="shared" si="444"/>
        <v>27:39</v>
      </c>
      <c r="X942" s="53" t="s">
        <v>61</v>
      </c>
      <c r="Y942" s="97" t="s">
        <v>78</v>
      </c>
      <c r="Z942" s="97"/>
      <c r="AA942" s="48" t="s">
        <v>60</v>
      </c>
      <c r="AB942" s="48" t="str">
        <f t="shared" si="445"/>
        <v>NA</v>
      </c>
      <c r="AC942" s="54">
        <f t="shared" si="446"/>
        <v>0</v>
      </c>
      <c r="AD942" s="55">
        <v>2</v>
      </c>
      <c r="AE942" s="55"/>
      <c r="AF942" s="55"/>
      <c r="AG942" s="56">
        <v>1</v>
      </c>
      <c r="AH942" s="57">
        <v>270</v>
      </c>
      <c r="AI942" s="56"/>
      <c r="AJ942" s="57" t="str">
        <f t="shared" si="450"/>
        <v/>
      </c>
      <c r="AK942" s="56">
        <v>1</v>
      </c>
      <c r="AL942" s="57">
        <v>77</v>
      </c>
      <c r="AM942" s="56"/>
      <c r="AN942" s="57" t="str">
        <f t="shared" si="452"/>
        <v/>
      </c>
      <c r="AO942" s="56"/>
      <c r="AP942" s="57" t="str">
        <f t="shared" si="453"/>
        <v/>
      </c>
      <c r="AQ942" s="56"/>
      <c r="AR942" s="57" t="str">
        <f t="shared" si="454"/>
        <v/>
      </c>
      <c r="AS942" s="56"/>
      <c r="AT942" s="57" t="str">
        <f t="shared" si="455"/>
        <v/>
      </c>
      <c r="AU942" s="58"/>
      <c r="AV942" s="59"/>
      <c r="AW942" s="59"/>
      <c r="AX942" s="60"/>
      <c r="AY942" s="61">
        <v>1</v>
      </c>
      <c r="AZ942" s="62">
        <f t="shared" si="457"/>
        <v>2</v>
      </c>
      <c r="BA942" s="61">
        <f t="shared" si="458"/>
        <v>0</v>
      </c>
      <c r="BB942" s="62" t="str">
        <f t="shared" si="459"/>
        <v/>
      </c>
    </row>
    <row r="943" spans="1:54" s="3" customFormat="1" hidden="1" x14ac:dyDescent="0.35">
      <c r="A943" s="73">
        <f t="shared" si="436"/>
        <v>2019</v>
      </c>
      <c r="B943" s="73" t="str">
        <f t="shared" si="437"/>
        <v>Nov</v>
      </c>
      <c r="C943" s="74">
        <f t="shared" si="460"/>
        <v>17</v>
      </c>
      <c r="D943" s="75">
        <f t="shared" si="438"/>
        <v>7</v>
      </c>
      <c r="E943" s="76">
        <f t="shared" si="439"/>
        <v>22</v>
      </c>
      <c r="F943" s="80"/>
      <c r="G943" s="83"/>
      <c r="H943" s="69" t="str">
        <f t="shared" si="461"/>
        <v>Senbur6_20191117_07_00</v>
      </c>
      <c r="I943" s="70">
        <f t="shared" si="464"/>
        <v>1</v>
      </c>
      <c r="J943" s="77" t="str">
        <f t="shared" si="464"/>
        <v>Senecio</v>
      </c>
      <c r="K943" s="77" t="str">
        <f t="shared" si="464"/>
        <v>burtoni</v>
      </c>
      <c r="L943" s="78">
        <f t="shared" si="464"/>
        <v>6</v>
      </c>
      <c r="M943" s="78">
        <f t="shared" si="464"/>
        <v>12</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INDEX([1]!VISITORS[INSECT ORDER], MATCH(X943,[1]!VISITORS[NAME USED],0))</f>
        <v>#REF!</v>
      </c>
      <c r="AB943" s="48" t="e">
        <f t="shared" si="445"/>
        <v>#REF!</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17</v>
      </c>
      <c r="D944" s="75">
        <f t="shared" si="438"/>
        <v>7</v>
      </c>
      <c r="E944" s="76">
        <f t="shared" si="439"/>
        <v>23</v>
      </c>
      <c r="F944" s="80"/>
      <c r="G944" s="83"/>
      <c r="H944" s="69" t="str">
        <f t="shared" si="461"/>
        <v>Senbur6_20191117_07_00</v>
      </c>
      <c r="I944" s="70">
        <f t="shared" si="464"/>
        <v>1</v>
      </c>
      <c r="J944" s="77" t="str">
        <f t="shared" si="464"/>
        <v>Senecio</v>
      </c>
      <c r="K944" s="77" t="str">
        <f t="shared" si="464"/>
        <v>burtoni</v>
      </c>
      <c r="L944" s="78">
        <f t="shared" si="464"/>
        <v>6</v>
      </c>
      <c r="M944" s="78">
        <f t="shared" si="464"/>
        <v>12</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INDEX([1]!VISITORS[INSECT ORDER], MATCH(X944,[1]!VISITORS[NAME USED],0))</f>
        <v>#REF!</v>
      </c>
      <c r="AB944" s="48" t="e">
        <f t="shared" si="445"/>
        <v>#REF!</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17</v>
      </c>
      <c r="D945" s="75">
        <f t="shared" si="438"/>
        <v>7</v>
      </c>
      <c r="E945" s="76">
        <f t="shared" si="439"/>
        <v>24</v>
      </c>
      <c r="F945" s="80"/>
      <c r="G945" s="83"/>
      <c r="H945" s="69" t="str">
        <f t="shared" si="461"/>
        <v>Senbur6_20191117_07_00</v>
      </c>
      <c r="I945" s="70">
        <f t="shared" si="464"/>
        <v>1</v>
      </c>
      <c r="J945" s="77" t="str">
        <f t="shared" si="464"/>
        <v>Senecio</v>
      </c>
      <c r="K945" s="77" t="str">
        <f t="shared" si="464"/>
        <v>burtoni</v>
      </c>
      <c r="L945" s="78">
        <f t="shared" si="464"/>
        <v>6</v>
      </c>
      <c r="M945" s="78">
        <f t="shared" si="464"/>
        <v>12</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INDEX([1]!VISITORS[INSECT ORDER], MATCH(X945,[1]!VISITORS[NAME USED],0))</f>
        <v>#REF!</v>
      </c>
      <c r="AB945" s="48" t="e">
        <f t="shared" si="445"/>
        <v>#REF!</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17</v>
      </c>
      <c r="D946" s="75">
        <f t="shared" si="438"/>
        <v>7</v>
      </c>
      <c r="E946" s="76">
        <f t="shared" si="439"/>
        <v>25</v>
      </c>
      <c r="F946" s="80"/>
      <c r="G946" s="83"/>
      <c r="H946" s="69" t="str">
        <f t="shared" si="461"/>
        <v>Senbur6_20191117_07_00</v>
      </c>
      <c r="I946" s="70">
        <f t="shared" si="464"/>
        <v>1</v>
      </c>
      <c r="J946" s="77" t="str">
        <f t="shared" si="464"/>
        <v>Senecio</v>
      </c>
      <c r="K946" s="77" t="str">
        <f t="shared" si="464"/>
        <v>burtoni</v>
      </c>
      <c r="L946" s="78">
        <f t="shared" si="464"/>
        <v>6</v>
      </c>
      <c r="M946" s="78">
        <f t="shared" si="464"/>
        <v>12</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INDEX([1]!VISITORS[INSECT ORDER], MATCH(X946,[1]!VISITORS[NAME USED],0))</f>
        <v>#REF!</v>
      </c>
      <c r="AB946" s="48" t="e">
        <f t="shared" si="445"/>
        <v>#REF!</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17</v>
      </c>
      <c r="D947" s="75">
        <f t="shared" si="438"/>
        <v>7</v>
      </c>
      <c r="E947" s="76">
        <f t="shared" si="439"/>
        <v>26</v>
      </c>
      <c r="F947" s="80"/>
      <c r="G947" s="83"/>
      <c r="H947" s="69" t="str">
        <f t="shared" si="461"/>
        <v>Senbur6_20191117_07_00</v>
      </c>
      <c r="I947" s="70">
        <f t="shared" si="464"/>
        <v>1</v>
      </c>
      <c r="J947" s="77" t="str">
        <f t="shared" si="464"/>
        <v>Senecio</v>
      </c>
      <c r="K947" s="77" t="str">
        <f t="shared" si="464"/>
        <v>burtoni</v>
      </c>
      <c r="L947" s="78">
        <f t="shared" si="464"/>
        <v>6</v>
      </c>
      <c r="M947" s="78">
        <f t="shared" si="464"/>
        <v>12</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INDEX([1]!VISITORS[INSECT ORDER], MATCH(X947,[1]!VISITORS[NAME USED],0))</f>
        <v>#REF!</v>
      </c>
      <c r="AB947" s="48" t="e">
        <f t="shared" si="445"/>
        <v>#REF!</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17</v>
      </c>
      <c r="D948" s="75">
        <f t="shared" si="438"/>
        <v>7</v>
      </c>
      <c r="E948" s="76">
        <f t="shared" si="439"/>
        <v>27</v>
      </c>
      <c r="F948" s="80"/>
      <c r="G948" s="83"/>
      <c r="H948" s="69" t="str">
        <f t="shared" si="461"/>
        <v>Senbur6_20191117_07_00</v>
      </c>
      <c r="I948" s="70">
        <f t="shared" si="464"/>
        <v>1</v>
      </c>
      <c r="J948" s="77" t="str">
        <f t="shared" si="464"/>
        <v>Senecio</v>
      </c>
      <c r="K948" s="77" t="str">
        <f t="shared" si="464"/>
        <v>burtoni</v>
      </c>
      <c r="L948" s="78">
        <f t="shared" si="464"/>
        <v>6</v>
      </c>
      <c r="M948" s="78">
        <f t="shared" si="464"/>
        <v>12</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INDEX([1]!VISITORS[INSECT ORDER], MATCH(X948,[1]!VISITORS[NAME USED],0))</f>
        <v>#REF!</v>
      </c>
      <c r="AB948" s="48" t="e">
        <f t="shared" si="445"/>
        <v>#REF!</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17</v>
      </c>
      <c r="D949" s="75">
        <f t="shared" si="438"/>
        <v>7</v>
      </c>
      <c r="E949" s="76">
        <f t="shared" si="439"/>
        <v>28</v>
      </c>
      <c r="F949" s="80"/>
      <c r="G949" s="83"/>
      <c r="H949" s="69" t="str">
        <f t="shared" si="461"/>
        <v>Senbur6_20191117_07_00</v>
      </c>
      <c r="I949" s="70">
        <f t="shared" ref="I949:N964" si="465">I948</f>
        <v>1</v>
      </c>
      <c r="J949" s="77" t="str">
        <f t="shared" si="465"/>
        <v>Senecio</v>
      </c>
      <c r="K949" s="77" t="str">
        <f t="shared" si="465"/>
        <v>burtoni</v>
      </c>
      <c r="L949" s="78">
        <f t="shared" si="465"/>
        <v>6</v>
      </c>
      <c r="M949" s="78">
        <f t="shared" si="465"/>
        <v>12</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INDEX([1]!VISITORS[INSECT ORDER], MATCH(X949,[1]!VISITORS[NAME USED],0))</f>
        <v>#REF!</v>
      </c>
      <c r="AB949" s="48" t="e">
        <f t="shared" si="445"/>
        <v>#REF!</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17</v>
      </c>
      <c r="D950" s="75">
        <f t="shared" si="438"/>
        <v>7</v>
      </c>
      <c r="E950" s="76">
        <f t="shared" si="439"/>
        <v>29</v>
      </c>
      <c r="F950" s="80"/>
      <c r="G950" s="83"/>
      <c r="H950" s="69" t="str">
        <f t="shared" si="461"/>
        <v>Senbur6_20191117_07_00</v>
      </c>
      <c r="I950" s="70">
        <f t="shared" si="465"/>
        <v>1</v>
      </c>
      <c r="J950" s="77" t="str">
        <f t="shared" si="465"/>
        <v>Senecio</v>
      </c>
      <c r="K950" s="77" t="str">
        <f t="shared" si="465"/>
        <v>burtoni</v>
      </c>
      <c r="L950" s="78">
        <f t="shared" si="465"/>
        <v>6</v>
      </c>
      <c r="M950" s="78">
        <f t="shared" si="465"/>
        <v>12</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INDEX([1]!VISITORS[INSECT ORDER], MATCH(X950,[1]!VISITORS[NAME USED],0))</f>
        <v>#REF!</v>
      </c>
      <c r="AB950" s="48" t="e">
        <f t="shared" si="445"/>
        <v>#REF!</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17</v>
      </c>
      <c r="D951" s="75">
        <f t="shared" si="438"/>
        <v>7</v>
      </c>
      <c r="E951" s="76">
        <f t="shared" si="439"/>
        <v>30</v>
      </c>
      <c r="F951" s="80"/>
      <c r="G951" s="83"/>
      <c r="H951" s="69" t="str">
        <f t="shared" si="461"/>
        <v>Senbur6_20191117_07_00</v>
      </c>
      <c r="I951" s="70">
        <f t="shared" si="465"/>
        <v>1</v>
      </c>
      <c r="J951" s="77" t="str">
        <f t="shared" si="465"/>
        <v>Senecio</v>
      </c>
      <c r="K951" s="77" t="str">
        <f t="shared" si="465"/>
        <v>burtoni</v>
      </c>
      <c r="L951" s="78">
        <f t="shared" si="465"/>
        <v>6</v>
      </c>
      <c r="M951" s="78">
        <f t="shared" si="465"/>
        <v>12</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INDEX([1]!VISITORS[INSECT ORDER], MATCH(X951,[1]!VISITORS[NAME USED],0))</f>
        <v>#REF!</v>
      </c>
      <c r="AB951" s="48" t="e">
        <f t="shared" si="445"/>
        <v>#REF!</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17</v>
      </c>
      <c r="D952" s="75">
        <f t="shared" si="438"/>
        <v>7</v>
      </c>
      <c r="E952" s="76">
        <f t="shared" si="439"/>
        <v>31</v>
      </c>
      <c r="F952" s="80"/>
      <c r="G952" s="83"/>
      <c r="H952" s="69" t="str">
        <f t="shared" si="461"/>
        <v>Senbur6_20191117_07_00</v>
      </c>
      <c r="I952" s="70">
        <f t="shared" si="465"/>
        <v>1</v>
      </c>
      <c r="J952" s="77" t="str">
        <f t="shared" si="465"/>
        <v>Senecio</v>
      </c>
      <c r="K952" s="77" t="str">
        <f t="shared" si="465"/>
        <v>burtoni</v>
      </c>
      <c r="L952" s="78">
        <f t="shared" si="465"/>
        <v>6</v>
      </c>
      <c r="M952" s="78">
        <f t="shared" si="465"/>
        <v>12</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INDEX([1]!VISITORS[INSECT ORDER], MATCH(X952,[1]!VISITORS[NAME USED],0))</f>
        <v>#REF!</v>
      </c>
      <c r="AB952" s="48" t="e">
        <f t="shared" si="445"/>
        <v>#REF!</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17</v>
      </c>
      <c r="D953" s="75">
        <f t="shared" si="438"/>
        <v>7</v>
      </c>
      <c r="E953" s="76">
        <f t="shared" si="439"/>
        <v>32</v>
      </c>
      <c r="F953" s="80"/>
      <c r="G953" s="83"/>
      <c r="H953" s="69" t="str">
        <f t="shared" si="461"/>
        <v>Senbur6_20191117_07_00</v>
      </c>
      <c r="I953" s="70">
        <f t="shared" si="465"/>
        <v>1</v>
      </c>
      <c r="J953" s="77" t="str">
        <f t="shared" si="465"/>
        <v>Senecio</v>
      </c>
      <c r="K953" s="77" t="str">
        <f t="shared" si="465"/>
        <v>burtoni</v>
      </c>
      <c r="L953" s="78">
        <f t="shared" si="465"/>
        <v>6</v>
      </c>
      <c r="M953" s="78">
        <f t="shared" si="465"/>
        <v>12</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INDEX([1]!VISITORS[INSECT ORDER], MATCH(X953,[1]!VISITORS[NAME USED],0))</f>
        <v>#REF!</v>
      </c>
      <c r="AB953" s="48" t="e">
        <f t="shared" si="445"/>
        <v>#REF!</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17</v>
      </c>
      <c r="D954" s="75">
        <f t="shared" si="438"/>
        <v>7</v>
      </c>
      <c r="E954" s="76">
        <f t="shared" si="439"/>
        <v>33</v>
      </c>
      <c r="F954" s="80"/>
      <c r="G954" s="83"/>
      <c r="H954" s="69" t="str">
        <f t="shared" si="461"/>
        <v>Senbur6_20191117_07_00</v>
      </c>
      <c r="I954" s="70">
        <f t="shared" si="465"/>
        <v>1</v>
      </c>
      <c r="J954" s="77" t="str">
        <f t="shared" si="465"/>
        <v>Senecio</v>
      </c>
      <c r="K954" s="77" t="str">
        <f t="shared" si="465"/>
        <v>burtoni</v>
      </c>
      <c r="L954" s="78">
        <f t="shared" si="465"/>
        <v>6</v>
      </c>
      <c r="M954" s="78">
        <f t="shared" si="465"/>
        <v>12</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INDEX([1]!VISITORS[INSECT ORDER], MATCH(X954,[1]!VISITORS[NAME USED],0))</f>
        <v>#REF!</v>
      </c>
      <c r="AB954" s="48" t="e">
        <f t="shared" si="445"/>
        <v>#REF!</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17</v>
      </c>
      <c r="D955" s="75">
        <f t="shared" si="438"/>
        <v>7</v>
      </c>
      <c r="E955" s="76">
        <f t="shared" si="439"/>
        <v>34</v>
      </c>
      <c r="F955" s="80"/>
      <c r="G955" s="83"/>
      <c r="H955" s="69" t="str">
        <f t="shared" si="461"/>
        <v>Senbur6_20191117_07_00</v>
      </c>
      <c r="I955" s="70">
        <f t="shared" si="465"/>
        <v>1</v>
      </c>
      <c r="J955" s="77" t="str">
        <f t="shared" si="465"/>
        <v>Senecio</v>
      </c>
      <c r="K955" s="77" t="str">
        <f t="shared" si="465"/>
        <v>burtoni</v>
      </c>
      <c r="L955" s="78">
        <f t="shared" si="465"/>
        <v>6</v>
      </c>
      <c r="M955" s="78">
        <f t="shared" si="465"/>
        <v>12</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INDEX([1]!VISITORS[INSECT ORDER], MATCH(X955,[1]!VISITORS[NAME USED],0))</f>
        <v>#REF!</v>
      </c>
      <c r="AB955" s="48" t="e">
        <f t="shared" si="445"/>
        <v>#REF!</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17</v>
      </c>
      <c r="D956" s="75">
        <f t="shared" si="438"/>
        <v>7</v>
      </c>
      <c r="E956" s="76">
        <f t="shared" si="439"/>
        <v>35</v>
      </c>
      <c r="F956" s="80"/>
      <c r="G956" s="83"/>
      <c r="H956" s="69" t="str">
        <f t="shared" si="461"/>
        <v>Senbur6_20191117_07_00</v>
      </c>
      <c r="I956" s="70">
        <f t="shared" si="465"/>
        <v>1</v>
      </c>
      <c r="J956" s="77" t="str">
        <f t="shared" si="465"/>
        <v>Senecio</v>
      </c>
      <c r="K956" s="77" t="str">
        <f t="shared" si="465"/>
        <v>burtoni</v>
      </c>
      <c r="L956" s="78">
        <f t="shared" si="465"/>
        <v>6</v>
      </c>
      <c r="M956" s="78">
        <f t="shared" si="465"/>
        <v>12</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INDEX([1]!VISITORS[INSECT ORDER], MATCH(X956,[1]!VISITORS[NAME USED],0))</f>
        <v>#REF!</v>
      </c>
      <c r="AB956" s="48" t="e">
        <f t="shared" si="445"/>
        <v>#REF!</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17</v>
      </c>
      <c r="D957" s="75">
        <f t="shared" si="438"/>
        <v>7</v>
      </c>
      <c r="E957" s="76">
        <f t="shared" si="439"/>
        <v>36</v>
      </c>
      <c r="F957" s="80"/>
      <c r="G957" s="83"/>
      <c r="H957" s="69" t="str">
        <f t="shared" si="461"/>
        <v>Senbur6_20191117_07_00</v>
      </c>
      <c r="I957" s="70">
        <f t="shared" si="465"/>
        <v>1</v>
      </c>
      <c r="J957" s="77" t="str">
        <f t="shared" si="465"/>
        <v>Senecio</v>
      </c>
      <c r="K957" s="77" t="str">
        <f t="shared" si="465"/>
        <v>burtoni</v>
      </c>
      <c r="L957" s="78">
        <f t="shared" si="465"/>
        <v>6</v>
      </c>
      <c r="M957" s="78">
        <f t="shared" si="465"/>
        <v>12</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INDEX([1]!VISITORS[INSECT ORDER], MATCH(X957,[1]!VISITORS[NAME USED],0))</f>
        <v>#REF!</v>
      </c>
      <c r="AB957" s="48" t="e">
        <f t="shared" si="445"/>
        <v>#REF!</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17</v>
      </c>
      <c r="D958" s="75">
        <f t="shared" si="438"/>
        <v>7</v>
      </c>
      <c r="E958" s="76">
        <f t="shared" si="439"/>
        <v>37</v>
      </c>
      <c r="F958" s="80"/>
      <c r="G958" s="83"/>
      <c r="H958" s="69" t="str">
        <f t="shared" si="461"/>
        <v>Senbur6_20191117_07_00</v>
      </c>
      <c r="I958" s="70">
        <f t="shared" si="465"/>
        <v>1</v>
      </c>
      <c r="J958" s="77" t="str">
        <f t="shared" si="465"/>
        <v>Senecio</v>
      </c>
      <c r="K958" s="77" t="str">
        <f t="shared" si="465"/>
        <v>burtoni</v>
      </c>
      <c r="L958" s="78">
        <f t="shared" si="465"/>
        <v>6</v>
      </c>
      <c r="M958" s="78">
        <f t="shared" si="465"/>
        <v>12</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INDEX([1]!VISITORS[INSECT ORDER], MATCH(X958,[1]!VISITORS[NAME USED],0))</f>
        <v>#REF!</v>
      </c>
      <c r="AB958" s="48" t="e">
        <f t="shared" si="445"/>
        <v>#REF!</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17</v>
      </c>
      <c r="D959" s="75">
        <f t="shared" si="438"/>
        <v>7</v>
      </c>
      <c r="E959" s="76">
        <f t="shared" si="439"/>
        <v>38</v>
      </c>
      <c r="F959" s="80"/>
      <c r="G959" s="83"/>
      <c r="H959" s="69" t="str">
        <f t="shared" si="461"/>
        <v>Senbur6_20191117_07_00</v>
      </c>
      <c r="I959" s="70">
        <f t="shared" si="465"/>
        <v>1</v>
      </c>
      <c r="J959" s="77" t="str">
        <f t="shared" si="465"/>
        <v>Senecio</v>
      </c>
      <c r="K959" s="77" t="str">
        <f t="shared" si="465"/>
        <v>burtoni</v>
      </c>
      <c r="L959" s="78">
        <f t="shared" si="465"/>
        <v>6</v>
      </c>
      <c r="M959" s="78">
        <f t="shared" si="465"/>
        <v>12</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INDEX([1]!VISITORS[INSECT ORDER], MATCH(X959,[1]!VISITORS[NAME USED],0))</f>
        <v>#REF!</v>
      </c>
      <c r="AB959" s="48" t="e">
        <f t="shared" si="445"/>
        <v>#REF!</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17</v>
      </c>
      <c r="D960" s="75">
        <f t="shared" si="438"/>
        <v>7</v>
      </c>
      <c r="E960" s="76">
        <f t="shared" si="439"/>
        <v>39</v>
      </c>
      <c r="F960" s="80"/>
      <c r="G960" s="83"/>
      <c r="H960" s="69" t="str">
        <f t="shared" si="461"/>
        <v>Senbur6_20191117_07_00</v>
      </c>
      <c r="I960" s="70">
        <f t="shared" si="465"/>
        <v>1</v>
      </c>
      <c r="J960" s="77" t="str">
        <f t="shared" si="465"/>
        <v>Senecio</v>
      </c>
      <c r="K960" s="77" t="str">
        <f t="shared" si="465"/>
        <v>burtoni</v>
      </c>
      <c r="L960" s="78">
        <f t="shared" si="465"/>
        <v>6</v>
      </c>
      <c r="M960" s="78">
        <f t="shared" si="465"/>
        <v>12</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INDEX([1]!VISITORS[INSECT ORDER], MATCH(X960,[1]!VISITORS[NAME USED],0))</f>
        <v>#REF!</v>
      </c>
      <c r="AB960" s="48" t="e">
        <f t="shared" si="445"/>
        <v>#REF!</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17</v>
      </c>
      <c r="D961" s="75">
        <f t="shared" si="438"/>
        <v>7</v>
      </c>
      <c r="E961" s="76">
        <f t="shared" si="439"/>
        <v>40</v>
      </c>
      <c r="F961" s="80"/>
      <c r="G961" s="83"/>
      <c r="H961" s="69" t="str">
        <f t="shared" si="461"/>
        <v>Senbur6_20191117_07_00</v>
      </c>
      <c r="I961" s="70">
        <f t="shared" si="465"/>
        <v>1</v>
      </c>
      <c r="J961" s="77" t="str">
        <f t="shared" si="465"/>
        <v>Senecio</v>
      </c>
      <c r="K961" s="77" t="str">
        <f t="shared" si="465"/>
        <v>burtoni</v>
      </c>
      <c r="L961" s="78">
        <f t="shared" si="465"/>
        <v>6</v>
      </c>
      <c r="M961" s="78">
        <f t="shared" si="465"/>
        <v>12</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INDEX([1]!VISITORS[INSECT ORDER], MATCH(X961,[1]!VISITORS[NAME USED],0))</f>
        <v>#REF!</v>
      </c>
      <c r="AB961" s="48" t="e">
        <f t="shared" si="445"/>
        <v>#REF!</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17</v>
      </c>
      <c r="D962" s="75">
        <f t="shared" si="438"/>
        <v>7</v>
      </c>
      <c r="E962" s="76">
        <f t="shared" si="439"/>
        <v>41</v>
      </c>
      <c r="F962" s="80"/>
      <c r="G962" s="83"/>
      <c r="H962" s="69" t="str">
        <f t="shared" si="461"/>
        <v>Senbur6_20191117_07_00</v>
      </c>
      <c r="I962" s="70">
        <f t="shared" si="465"/>
        <v>1</v>
      </c>
      <c r="J962" s="77" t="str">
        <f t="shared" si="465"/>
        <v>Senecio</v>
      </c>
      <c r="K962" s="77" t="str">
        <f t="shared" si="465"/>
        <v>burtoni</v>
      </c>
      <c r="L962" s="78">
        <f t="shared" si="465"/>
        <v>6</v>
      </c>
      <c r="M962" s="78">
        <f t="shared" si="465"/>
        <v>12</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INDEX([1]!VISITORS[INSECT ORDER], MATCH(X962,[1]!VISITORS[NAME USED],0))</f>
        <v>#REF!</v>
      </c>
      <c r="AB962" s="48" t="e">
        <f t="shared" si="445"/>
        <v>#REF!</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17</v>
      </c>
      <c r="D963" s="75">
        <f t="shared" si="438"/>
        <v>7</v>
      </c>
      <c r="E963" s="76">
        <f t="shared" si="439"/>
        <v>42</v>
      </c>
      <c r="F963" s="80"/>
      <c r="G963" s="83"/>
      <c r="H963" s="69" t="str">
        <f t="shared" si="461"/>
        <v>Senbur6_20191117_07_00</v>
      </c>
      <c r="I963" s="70">
        <f t="shared" si="465"/>
        <v>1</v>
      </c>
      <c r="J963" s="77" t="str">
        <f t="shared" si="465"/>
        <v>Senecio</v>
      </c>
      <c r="K963" s="77" t="str">
        <f t="shared" si="465"/>
        <v>burtoni</v>
      </c>
      <c r="L963" s="78">
        <f t="shared" si="465"/>
        <v>6</v>
      </c>
      <c r="M963" s="78">
        <f t="shared" si="465"/>
        <v>12</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INDEX([1]!VISITORS[INSECT ORDER], MATCH(X963,[1]!VISITORS[NAME USED],0))</f>
        <v>#REF!</v>
      </c>
      <c r="AB963" s="48" t="e">
        <f t="shared" si="445"/>
        <v>#REF!</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17</v>
      </c>
      <c r="D964" s="75">
        <f t="shared" ref="D964:D1027" si="469">IF(IF(E963=59,D963+1,D963)=24,0,IF(E963=59,D963+1,D963))</f>
        <v>7</v>
      </c>
      <c r="E964" s="76">
        <f t="shared" ref="E964:E1027" si="470">IF(E963&lt;59,E963+1,0)</f>
        <v>43</v>
      </c>
      <c r="F964" s="80"/>
      <c r="G964" s="83"/>
      <c r="H964" s="69" t="str">
        <f t="shared" si="461"/>
        <v>Senbur6_20191117_07_00</v>
      </c>
      <c r="I964" s="70">
        <f t="shared" si="465"/>
        <v>1</v>
      </c>
      <c r="J964" s="77" t="str">
        <f t="shared" si="465"/>
        <v>Senecio</v>
      </c>
      <c r="K964" s="77" t="str">
        <f t="shared" si="465"/>
        <v>burtoni</v>
      </c>
      <c r="L964" s="78">
        <f t="shared" si="465"/>
        <v>6</v>
      </c>
      <c r="M964" s="78">
        <f t="shared" si="465"/>
        <v>12</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INDEX([1]!VISITORS[INSECT ORDER], MATCH(X964,[1]!VISITORS[NAME USED],0))</f>
        <v>#REF!</v>
      </c>
      <c r="AB964" s="48" t="e">
        <f t="shared" ref="AB964:AB1027" si="476">IF(AA964&lt;&gt;0,"NA","")</f>
        <v>#REF!</v>
      </c>
      <c r="AC964" s="54" t="e">
        <f t="shared" ref="AC964:AC1027" si="477">IF(SUM(AH964,AJ964,AL964,AN964,AP964,AR964,AT964)=S964,,"")</f>
        <v>#VALUE!</v>
      </c>
      <c r="AD964" s="55" t="str">
        <f t="shared" ref="AD964:AD1026" si="478">IF(P964=1,1,"")</f>
        <v/>
      </c>
      <c r="AE964" s="55"/>
      <c r="AF964" s="55"/>
      <c r="AG964" s="56" t="str">
        <f t="shared" ref="AG964:AG1022" si="479">IF(OR(X964="Something small"),1,"")</f>
        <v/>
      </c>
      <c r="AH964" s="57" t="str">
        <f t="shared" ref="AH964:AH1022" si="480">IF(AG964=1,$S964,"")</f>
        <v/>
      </c>
      <c r="AI964" s="56"/>
      <c r="AJ964" s="57" t="str">
        <f t="shared" ref="AJ964:AJ1026"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2"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17</v>
      </c>
      <c r="D965" s="75">
        <f t="shared" si="469"/>
        <v>7</v>
      </c>
      <c r="E965" s="76">
        <f t="shared" si="470"/>
        <v>44</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Senbur6_20191117_07_00</v>
      </c>
      <c r="I965" s="70">
        <f t="shared" ref="I965:N980" si="493">I964</f>
        <v>1</v>
      </c>
      <c r="J965" s="77" t="str">
        <f t="shared" si="493"/>
        <v>Senecio</v>
      </c>
      <c r="K965" s="77" t="str">
        <f t="shared" si="493"/>
        <v>burtoni</v>
      </c>
      <c r="L965" s="78">
        <f t="shared" si="493"/>
        <v>6</v>
      </c>
      <c r="M965" s="78">
        <f t="shared" si="493"/>
        <v>12</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INDEX([1]!VISITORS[INSECT ORDER], MATCH(X965,[1]!VISITORS[NAME USED],0))</f>
        <v>#REF!</v>
      </c>
      <c r="AB965" s="48" t="e">
        <f t="shared" si="476"/>
        <v>#REF!</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17</v>
      </c>
      <c r="D966" s="75">
        <f t="shared" si="469"/>
        <v>7</v>
      </c>
      <c r="E966" s="76">
        <f t="shared" si="470"/>
        <v>45</v>
      </c>
      <c r="F966" s="80"/>
      <c r="G966" s="83"/>
      <c r="H966" s="69" t="str">
        <f t="shared" si="492"/>
        <v>Senbur6_20191117_07_00</v>
      </c>
      <c r="I966" s="70">
        <f t="shared" si="493"/>
        <v>1</v>
      </c>
      <c r="J966" s="77" t="str">
        <f t="shared" si="493"/>
        <v>Senecio</v>
      </c>
      <c r="K966" s="77" t="str">
        <f t="shared" si="493"/>
        <v>burtoni</v>
      </c>
      <c r="L966" s="78">
        <f t="shared" si="493"/>
        <v>6</v>
      </c>
      <c r="M966" s="78">
        <f t="shared" si="493"/>
        <v>12</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INDEX([1]!VISITORS[INSECT ORDER], MATCH(X966,[1]!VISITORS[NAME USED],0))</f>
        <v>#REF!</v>
      </c>
      <c r="AB966" s="48" t="e">
        <f t="shared" si="476"/>
        <v>#REF!</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17</v>
      </c>
      <c r="D967" s="75">
        <f t="shared" si="469"/>
        <v>7</v>
      </c>
      <c r="E967" s="76">
        <f t="shared" si="470"/>
        <v>46</v>
      </c>
      <c r="F967" s="80"/>
      <c r="G967" s="83"/>
      <c r="H967" s="69" t="str">
        <f t="shared" si="492"/>
        <v>Senbur6_20191117_07_00</v>
      </c>
      <c r="I967" s="70">
        <f t="shared" si="493"/>
        <v>1</v>
      </c>
      <c r="J967" s="77" t="str">
        <f t="shared" si="493"/>
        <v>Senecio</v>
      </c>
      <c r="K967" s="77" t="str">
        <f t="shared" si="493"/>
        <v>burtoni</v>
      </c>
      <c r="L967" s="78">
        <f t="shared" si="493"/>
        <v>6</v>
      </c>
      <c r="M967" s="78">
        <f t="shared" si="493"/>
        <v>12</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INDEX([1]!VISITORS[INSECT ORDER], MATCH(X967,[1]!VISITORS[NAME USED],0))</f>
        <v>#REF!</v>
      </c>
      <c r="AB967" s="48" t="e">
        <f t="shared" si="476"/>
        <v>#REF!</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17</v>
      </c>
      <c r="D968" s="75">
        <f t="shared" si="469"/>
        <v>7</v>
      </c>
      <c r="E968" s="76">
        <f t="shared" si="470"/>
        <v>47</v>
      </c>
      <c r="F968" s="80"/>
      <c r="G968" s="83"/>
      <c r="H968" s="69" t="str">
        <f t="shared" si="492"/>
        <v>Senbur6_20191117_07_00</v>
      </c>
      <c r="I968" s="70">
        <f t="shared" si="493"/>
        <v>1</v>
      </c>
      <c r="J968" s="77" t="str">
        <f t="shared" si="493"/>
        <v>Senecio</v>
      </c>
      <c r="K968" s="77" t="str">
        <f t="shared" si="493"/>
        <v>burtoni</v>
      </c>
      <c r="L968" s="78">
        <f t="shared" si="493"/>
        <v>6</v>
      </c>
      <c r="M968" s="78">
        <f t="shared" si="493"/>
        <v>12</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INDEX([1]!VISITORS[INSECT ORDER], MATCH(X968,[1]!VISITORS[NAME USED],0))</f>
        <v>#REF!</v>
      </c>
      <c r="AB968" s="48" t="e">
        <f t="shared" si="476"/>
        <v>#REF!</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17</v>
      </c>
      <c r="D969" s="75">
        <f t="shared" si="469"/>
        <v>7</v>
      </c>
      <c r="E969" s="76">
        <f t="shared" si="470"/>
        <v>48</v>
      </c>
      <c r="F969" s="80"/>
      <c r="G969" s="83"/>
      <c r="H969" s="69" t="str">
        <f t="shared" si="492"/>
        <v>Senbur6_20191117_07_00</v>
      </c>
      <c r="I969" s="70">
        <f t="shared" si="493"/>
        <v>1</v>
      </c>
      <c r="J969" s="77" t="str">
        <f t="shared" si="493"/>
        <v>Senecio</v>
      </c>
      <c r="K969" s="77" t="str">
        <f t="shared" si="493"/>
        <v>burtoni</v>
      </c>
      <c r="L969" s="78">
        <f t="shared" si="493"/>
        <v>6</v>
      </c>
      <c r="M969" s="78">
        <f t="shared" si="493"/>
        <v>12</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INDEX([1]!VISITORS[INSECT ORDER], MATCH(X969,[1]!VISITORS[NAME USED],0))</f>
        <v>#REF!</v>
      </c>
      <c r="AB969" s="48" t="e">
        <f t="shared" si="476"/>
        <v>#REF!</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17</v>
      </c>
      <c r="D970" s="75">
        <f t="shared" si="469"/>
        <v>7</v>
      </c>
      <c r="E970" s="76">
        <f t="shared" si="470"/>
        <v>49</v>
      </c>
      <c r="F970" s="80"/>
      <c r="G970" s="83"/>
      <c r="H970" s="69" t="str">
        <f t="shared" si="492"/>
        <v>Senbur6_20191117_07_00</v>
      </c>
      <c r="I970" s="70">
        <f t="shared" si="493"/>
        <v>1</v>
      </c>
      <c r="J970" s="77" t="str">
        <f t="shared" si="493"/>
        <v>Senecio</v>
      </c>
      <c r="K970" s="77" t="str">
        <f t="shared" si="493"/>
        <v>burtoni</v>
      </c>
      <c r="L970" s="78">
        <f t="shared" si="493"/>
        <v>6</v>
      </c>
      <c r="M970" s="78">
        <f t="shared" si="493"/>
        <v>12</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INDEX([1]!VISITORS[INSECT ORDER], MATCH(X970,[1]!VISITORS[NAME USED],0))</f>
        <v>#REF!</v>
      </c>
      <c r="AB970" s="48" t="e">
        <f t="shared" si="476"/>
        <v>#REF!</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17</v>
      </c>
      <c r="D971" s="75">
        <f t="shared" si="469"/>
        <v>7</v>
      </c>
      <c r="E971" s="76">
        <f t="shared" si="470"/>
        <v>50</v>
      </c>
      <c r="F971" s="80"/>
      <c r="G971" s="83"/>
      <c r="H971" s="69" t="str">
        <f t="shared" si="492"/>
        <v>Senbur6_20191117_07_00</v>
      </c>
      <c r="I971" s="70">
        <f t="shared" si="493"/>
        <v>1</v>
      </c>
      <c r="J971" s="77" t="str">
        <f t="shared" si="493"/>
        <v>Senecio</v>
      </c>
      <c r="K971" s="77" t="str">
        <f t="shared" si="493"/>
        <v>burtoni</v>
      </c>
      <c r="L971" s="78">
        <f t="shared" si="493"/>
        <v>6</v>
      </c>
      <c r="M971" s="78">
        <f t="shared" si="493"/>
        <v>12</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INDEX([1]!VISITORS[INSECT ORDER], MATCH(X971,[1]!VISITORS[NAME USED],0))</f>
        <v>#REF!</v>
      </c>
      <c r="AB971" s="48" t="e">
        <f t="shared" si="476"/>
        <v>#REF!</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17</v>
      </c>
      <c r="D972" s="75">
        <f t="shared" si="469"/>
        <v>7</v>
      </c>
      <c r="E972" s="76">
        <f t="shared" si="470"/>
        <v>51</v>
      </c>
      <c r="F972" s="80"/>
      <c r="G972" s="83"/>
      <c r="H972" s="69" t="str">
        <f t="shared" si="492"/>
        <v>Senbur6_20191117_07_00</v>
      </c>
      <c r="I972" s="70">
        <f t="shared" si="493"/>
        <v>1</v>
      </c>
      <c r="J972" s="77" t="str">
        <f t="shared" si="493"/>
        <v>Senecio</v>
      </c>
      <c r="K972" s="77" t="str">
        <f t="shared" si="493"/>
        <v>burtoni</v>
      </c>
      <c r="L972" s="78">
        <f t="shared" si="493"/>
        <v>6</v>
      </c>
      <c r="M972" s="78">
        <f t="shared" si="493"/>
        <v>12</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INDEX([1]!VISITORS[INSECT ORDER], MATCH(X972,[1]!VISITORS[NAME USED],0))</f>
        <v>#REF!</v>
      </c>
      <c r="AB972" s="48" t="e">
        <f t="shared" si="476"/>
        <v>#REF!</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17</v>
      </c>
      <c r="D973" s="75">
        <f t="shared" si="469"/>
        <v>7</v>
      </c>
      <c r="E973" s="76">
        <f t="shared" si="470"/>
        <v>52</v>
      </c>
      <c r="F973" s="80"/>
      <c r="G973" s="83"/>
      <c r="H973" s="69" t="str">
        <f t="shared" si="492"/>
        <v>Senbur6_20191117_07_00</v>
      </c>
      <c r="I973" s="70">
        <f t="shared" si="493"/>
        <v>1</v>
      </c>
      <c r="J973" s="77" t="str">
        <f t="shared" si="493"/>
        <v>Senecio</v>
      </c>
      <c r="K973" s="77" t="str">
        <f t="shared" si="493"/>
        <v>burtoni</v>
      </c>
      <c r="L973" s="78">
        <f t="shared" si="493"/>
        <v>6</v>
      </c>
      <c r="M973" s="78">
        <f t="shared" si="493"/>
        <v>12</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INDEX([1]!VISITORS[INSECT ORDER], MATCH(X973,[1]!VISITORS[NAME USED],0))</f>
        <v>#REF!</v>
      </c>
      <c r="AB973" s="48" t="e">
        <f t="shared" si="476"/>
        <v>#REF!</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17</v>
      </c>
      <c r="D974" s="75">
        <f t="shared" si="469"/>
        <v>7</v>
      </c>
      <c r="E974" s="76">
        <f t="shared" si="470"/>
        <v>53</v>
      </c>
      <c r="F974" s="80"/>
      <c r="G974" s="83"/>
      <c r="H974" s="69" t="str">
        <f t="shared" si="492"/>
        <v>Senbur6_20191117_07_00</v>
      </c>
      <c r="I974" s="70">
        <f t="shared" si="493"/>
        <v>1</v>
      </c>
      <c r="J974" s="77" t="str">
        <f t="shared" si="493"/>
        <v>Senecio</v>
      </c>
      <c r="K974" s="77" t="str">
        <f t="shared" si="493"/>
        <v>burtoni</v>
      </c>
      <c r="L974" s="78">
        <f t="shared" si="493"/>
        <v>6</v>
      </c>
      <c r="M974" s="78">
        <f t="shared" si="493"/>
        <v>12</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INDEX([1]!VISITORS[INSECT ORDER], MATCH(X974,[1]!VISITORS[NAME USED],0))</f>
        <v>#REF!</v>
      </c>
      <c r="AB974" s="48" t="e">
        <f t="shared" si="476"/>
        <v>#REF!</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17</v>
      </c>
      <c r="D975" s="75">
        <f t="shared" si="469"/>
        <v>7</v>
      </c>
      <c r="E975" s="76">
        <f t="shared" si="470"/>
        <v>54</v>
      </c>
      <c r="F975" s="80"/>
      <c r="G975" s="83"/>
      <c r="H975" s="69" t="str">
        <f t="shared" si="492"/>
        <v>Senbur6_20191117_07_00</v>
      </c>
      <c r="I975" s="70">
        <f t="shared" si="493"/>
        <v>1</v>
      </c>
      <c r="J975" s="77" t="str">
        <f t="shared" si="493"/>
        <v>Senecio</v>
      </c>
      <c r="K975" s="77" t="str">
        <f t="shared" si="493"/>
        <v>burtoni</v>
      </c>
      <c r="L975" s="78">
        <f t="shared" si="493"/>
        <v>6</v>
      </c>
      <c r="M975" s="78">
        <f t="shared" si="493"/>
        <v>12</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INDEX([1]!VISITORS[INSECT ORDER], MATCH(X975,[1]!VISITORS[NAME USED],0))</f>
        <v>#REF!</v>
      </c>
      <c r="AB975" s="48" t="e">
        <f t="shared" si="476"/>
        <v>#REF!</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17</v>
      </c>
      <c r="D976" s="75">
        <f t="shared" si="469"/>
        <v>7</v>
      </c>
      <c r="E976" s="76">
        <f t="shared" si="470"/>
        <v>55</v>
      </c>
      <c r="F976" s="80"/>
      <c r="G976" s="83"/>
      <c r="H976" s="69" t="str">
        <f t="shared" si="492"/>
        <v>Senbur6_20191117_07_00</v>
      </c>
      <c r="I976" s="70">
        <f t="shared" si="493"/>
        <v>1</v>
      </c>
      <c r="J976" s="77" t="str">
        <f t="shared" si="493"/>
        <v>Senecio</v>
      </c>
      <c r="K976" s="77" t="str">
        <f t="shared" si="493"/>
        <v>burtoni</v>
      </c>
      <c r="L976" s="78">
        <f t="shared" si="493"/>
        <v>6</v>
      </c>
      <c r="M976" s="78">
        <f t="shared" si="493"/>
        <v>12</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INDEX([1]!VISITORS[INSECT ORDER], MATCH(X976,[1]!VISITORS[NAME USED],0))</f>
        <v>#REF!</v>
      </c>
      <c r="AB976" s="48" t="e">
        <f t="shared" si="476"/>
        <v>#REF!</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17</v>
      </c>
      <c r="D977" s="75">
        <f t="shared" si="469"/>
        <v>7</v>
      </c>
      <c r="E977" s="76">
        <f t="shared" si="470"/>
        <v>56</v>
      </c>
      <c r="F977" s="80"/>
      <c r="G977" s="83"/>
      <c r="H977" s="69" t="str">
        <f t="shared" si="492"/>
        <v>Senbur6_20191117_07_00</v>
      </c>
      <c r="I977" s="70">
        <f t="shared" si="493"/>
        <v>1</v>
      </c>
      <c r="J977" s="77" t="str">
        <f t="shared" si="493"/>
        <v>Senecio</v>
      </c>
      <c r="K977" s="77" t="str">
        <f t="shared" si="493"/>
        <v>burtoni</v>
      </c>
      <c r="L977" s="78">
        <f t="shared" si="493"/>
        <v>6</v>
      </c>
      <c r="M977" s="78">
        <f t="shared" si="493"/>
        <v>12</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INDEX([1]!VISITORS[INSECT ORDER], MATCH(X977,[1]!VISITORS[NAME USED],0))</f>
        <v>#REF!</v>
      </c>
      <c r="AB977" s="48" t="e">
        <f t="shared" si="476"/>
        <v>#REF!</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17</v>
      </c>
      <c r="D978" s="75">
        <f t="shared" si="469"/>
        <v>7</v>
      </c>
      <c r="E978" s="76">
        <f t="shared" si="470"/>
        <v>57</v>
      </c>
      <c r="F978" s="80"/>
      <c r="G978" s="83"/>
      <c r="H978" s="69" t="str">
        <f t="shared" si="492"/>
        <v>Senbur6_20191117_07_00</v>
      </c>
      <c r="I978" s="70">
        <f t="shared" si="493"/>
        <v>1</v>
      </c>
      <c r="J978" s="77" t="str">
        <f t="shared" si="493"/>
        <v>Senecio</v>
      </c>
      <c r="K978" s="77" t="str">
        <f t="shared" si="493"/>
        <v>burtoni</v>
      </c>
      <c r="L978" s="78">
        <f t="shared" si="493"/>
        <v>6</v>
      </c>
      <c r="M978" s="78">
        <f t="shared" si="493"/>
        <v>12</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INDEX([1]!VISITORS[INSECT ORDER], MATCH(X978,[1]!VISITORS[NAME USED],0))</f>
        <v>#REF!</v>
      </c>
      <c r="AB978" s="48" t="e">
        <f t="shared" si="476"/>
        <v>#REF!</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17</v>
      </c>
      <c r="D979" s="75">
        <f t="shared" si="469"/>
        <v>7</v>
      </c>
      <c r="E979" s="76">
        <f t="shared" si="470"/>
        <v>58</v>
      </c>
      <c r="F979" s="80">
        <v>43</v>
      </c>
      <c r="G979" s="83"/>
      <c r="H979" s="69" t="str">
        <f t="shared" si="492"/>
        <v>Senbur6_20191117_07_00</v>
      </c>
      <c r="I979" s="70">
        <f t="shared" si="493"/>
        <v>1</v>
      </c>
      <c r="J979" s="77" t="str">
        <f t="shared" si="493"/>
        <v>Senecio</v>
      </c>
      <c r="K979" s="77" t="str">
        <f t="shared" si="493"/>
        <v>burtoni</v>
      </c>
      <c r="L979" s="78">
        <f t="shared" si="493"/>
        <v>6</v>
      </c>
      <c r="M979" s="78">
        <f t="shared" si="493"/>
        <v>12</v>
      </c>
      <c r="N979" s="72">
        <f t="shared" si="493"/>
        <v>0</v>
      </c>
      <c r="O979" s="45"/>
      <c r="P979" s="46">
        <f t="shared" si="471"/>
        <v>1</v>
      </c>
      <c r="Q979" s="47" t="str">
        <f t="shared" si="472"/>
        <v>07:58:43</v>
      </c>
      <c r="R979" s="48" t="str">
        <f t="shared" si="473"/>
        <v>58:43</v>
      </c>
      <c r="S979" s="49">
        <f t="shared" si="466"/>
        <v>61</v>
      </c>
      <c r="T979" s="48" t="str">
        <f t="shared" si="474"/>
        <v>07</v>
      </c>
      <c r="U979" s="50">
        <v>59</v>
      </c>
      <c r="V979" s="51">
        <v>44</v>
      </c>
      <c r="W979" s="52" t="str">
        <f t="shared" si="475"/>
        <v>59:44</v>
      </c>
      <c r="X979" s="53" t="s">
        <v>61</v>
      </c>
      <c r="Y979" s="97" t="s">
        <v>96</v>
      </c>
      <c r="Z979" s="97" t="s">
        <v>80</v>
      </c>
      <c r="AA979" s="48" t="s">
        <v>60</v>
      </c>
      <c r="AB979" s="48" t="str">
        <f t="shared" si="476"/>
        <v>NA</v>
      </c>
      <c r="AC979" s="54">
        <f t="shared" si="477"/>
        <v>0</v>
      </c>
      <c r="AD979" s="55">
        <v>2</v>
      </c>
      <c r="AE979" s="55"/>
      <c r="AF979" s="55"/>
      <c r="AG979" s="56">
        <v>1</v>
      </c>
      <c r="AH979" s="57">
        <v>12</v>
      </c>
      <c r="AI979" s="56">
        <v>1</v>
      </c>
      <c r="AJ979" s="57">
        <v>1</v>
      </c>
      <c r="AK979" s="56">
        <v>1</v>
      </c>
      <c r="AL979" s="57">
        <v>48</v>
      </c>
      <c r="AM979" s="56"/>
      <c r="AN979" s="57" t="str">
        <f t="shared" si="483"/>
        <v/>
      </c>
      <c r="AO979" s="56"/>
      <c r="AP979" s="57" t="str">
        <f t="shared" si="484"/>
        <v/>
      </c>
      <c r="AQ979" s="56"/>
      <c r="AR979" s="57" t="str">
        <f t="shared" si="485"/>
        <v/>
      </c>
      <c r="AS979" s="56"/>
      <c r="AT979" s="57" t="str">
        <f t="shared" si="486"/>
        <v/>
      </c>
      <c r="AU979" s="58"/>
      <c r="AV979" s="59"/>
      <c r="AW979" s="59"/>
      <c r="AX979" s="60"/>
      <c r="AY979" s="61">
        <v>1</v>
      </c>
      <c r="AZ979" s="62">
        <f t="shared" si="488"/>
        <v>2</v>
      </c>
      <c r="BA979" s="61">
        <f t="shared" si="489"/>
        <v>0</v>
      </c>
      <c r="BB979" s="62" t="str">
        <f t="shared" si="490"/>
        <v/>
      </c>
    </row>
    <row r="980" spans="1:54" s="3" customFormat="1" hidden="1" x14ac:dyDescent="0.35">
      <c r="A980" s="73">
        <f t="shared" si="467"/>
        <v>2019</v>
      </c>
      <c r="B980" s="73" t="str">
        <f t="shared" si="468"/>
        <v>Nov</v>
      </c>
      <c r="C980" s="74">
        <f t="shared" si="491"/>
        <v>17</v>
      </c>
      <c r="D980" s="75">
        <f t="shared" si="469"/>
        <v>7</v>
      </c>
      <c r="E980" s="76">
        <f t="shared" si="470"/>
        <v>59</v>
      </c>
      <c r="F980" s="80"/>
      <c r="G980" s="83"/>
      <c r="H980" s="69" t="str">
        <f t="shared" si="492"/>
        <v>Senbur6_20191117_07_00</v>
      </c>
      <c r="I980" s="70">
        <f t="shared" si="493"/>
        <v>1</v>
      </c>
      <c r="J980" s="77" t="str">
        <f t="shared" si="493"/>
        <v>Senecio</v>
      </c>
      <c r="K980" s="77" t="str">
        <f t="shared" si="493"/>
        <v>burtoni</v>
      </c>
      <c r="L980" s="78">
        <f t="shared" si="493"/>
        <v>6</v>
      </c>
      <c r="M980" s="78">
        <f t="shared" si="493"/>
        <v>12</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INDEX([1]!VISITORS[INSECT ORDER], MATCH(X980,[1]!VISITORS[NAME USED],0))</f>
        <v>#REF!</v>
      </c>
      <c r="AB980" s="48" t="e">
        <f t="shared" si="476"/>
        <v>#REF!</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17</v>
      </c>
      <c r="D981" s="75">
        <f t="shared" si="469"/>
        <v>8</v>
      </c>
      <c r="E981" s="76">
        <f t="shared" si="470"/>
        <v>0</v>
      </c>
      <c r="F981" s="80"/>
      <c r="G981" s="83"/>
      <c r="H981" s="69" t="str">
        <f t="shared" si="492"/>
        <v>Senbur6_20191117_08_00</v>
      </c>
      <c r="I981" s="70">
        <f t="shared" ref="I981:N996" si="494">I980</f>
        <v>1</v>
      </c>
      <c r="J981" s="77" t="str">
        <f t="shared" si="494"/>
        <v>Senecio</v>
      </c>
      <c r="K981" s="77" t="str">
        <f t="shared" si="494"/>
        <v>burtoni</v>
      </c>
      <c r="L981" s="78">
        <f t="shared" si="494"/>
        <v>6</v>
      </c>
      <c r="M981" s="78">
        <f t="shared" si="494"/>
        <v>12</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INDEX([1]!VISITORS[INSECT ORDER], MATCH(X981,[1]!VISITORS[NAME USED],0))</f>
        <v>#REF!</v>
      </c>
      <c r="AB981" s="48" t="e">
        <f t="shared" si="476"/>
        <v>#REF!</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17</v>
      </c>
      <c r="D982" s="75">
        <f t="shared" si="469"/>
        <v>8</v>
      </c>
      <c r="E982" s="76">
        <f t="shared" si="470"/>
        <v>1</v>
      </c>
      <c r="F982" s="80"/>
      <c r="G982" s="83"/>
      <c r="H982" s="69" t="str">
        <f t="shared" si="492"/>
        <v>Senbur6_20191117_08_00</v>
      </c>
      <c r="I982" s="70">
        <f t="shared" si="494"/>
        <v>1</v>
      </c>
      <c r="J982" s="77" t="str">
        <f t="shared" si="494"/>
        <v>Senecio</v>
      </c>
      <c r="K982" s="77" t="str">
        <f t="shared" si="494"/>
        <v>burtoni</v>
      </c>
      <c r="L982" s="78">
        <f t="shared" si="494"/>
        <v>6</v>
      </c>
      <c r="M982" s="78">
        <f t="shared" si="494"/>
        <v>12</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INDEX([1]!VISITORS[INSECT ORDER], MATCH(X982,[1]!VISITORS[NAME USED],0))</f>
        <v>#REF!</v>
      </c>
      <c r="AB982" s="48" t="e">
        <f t="shared" si="476"/>
        <v>#REF!</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17</v>
      </c>
      <c r="D983" s="75">
        <f t="shared" si="469"/>
        <v>8</v>
      </c>
      <c r="E983" s="76">
        <f t="shared" si="470"/>
        <v>2</v>
      </c>
      <c r="F983" s="80"/>
      <c r="G983" s="83"/>
      <c r="H983" s="69" t="str">
        <f t="shared" si="492"/>
        <v>Senbur6_20191117_08_00</v>
      </c>
      <c r="I983" s="70">
        <f t="shared" si="494"/>
        <v>1</v>
      </c>
      <c r="J983" s="77" t="str">
        <f t="shared" si="494"/>
        <v>Senecio</v>
      </c>
      <c r="K983" s="77" t="str">
        <f t="shared" si="494"/>
        <v>burtoni</v>
      </c>
      <c r="L983" s="78">
        <f t="shared" si="494"/>
        <v>6</v>
      </c>
      <c r="M983" s="78">
        <f t="shared" si="494"/>
        <v>12</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INDEX([1]!VISITORS[INSECT ORDER], MATCH(X983,[1]!VISITORS[NAME USED],0))</f>
        <v>#REF!</v>
      </c>
      <c r="AB983" s="48" t="e">
        <f t="shared" si="476"/>
        <v>#REF!</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17</v>
      </c>
      <c r="D984" s="75">
        <f t="shared" si="469"/>
        <v>8</v>
      </c>
      <c r="E984" s="76">
        <f t="shared" si="470"/>
        <v>3</v>
      </c>
      <c r="F984" s="80"/>
      <c r="G984" s="83"/>
      <c r="H984" s="69" t="str">
        <f t="shared" si="492"/>
        <v>Senbur6_20191117_08_00</v>
      </c>
      <c r="I984" s="70">
        <f t="shared" si="494"/>
        <v>1</v>
      </c>
      <c r="J984" s="77" t="str">
        <f t="shared" si="494"/>
        <v>Senecio</v>
      </c>
      <c r="K984" s="77" t="str">
        <f t="shared" si="494"/>
        <v>burtoni</v>
      </c>
      <c r="L984" s="78">
        <f t="shared" si="494"/>
        <v>6</v>
      </c>
      <c r="M984" s="78">
        <f t="shared" si="494"/>
        <v>12</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INDEX([1]!VISITORS[INSECT ORDER], MATCH(X984,[1]!VISITORS[NAME USED],0))</f>
        <v>#REF!</v>
      </c>
      <c r="AB984" s="48" t="e">
        <f t="shared" si="476"/>
        <v>#REF!</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17</v>
      </c>
      <c r="D985" s="75">
        <f t="shared" si="469"/>
        <v>8</v>
      </c>
      <c r="E985" s="76">
        <f t="shared" si="470"/>
        <v>4</v>
      </c>
      <c r="F985" s="80"/>
      <c r="G985" s="83"/>
      <c r="H985" s="69" t="str">
        <f t="shared" si="492"/>
        <v>Senbur6_20191117_08_00</v>
      </c>
      <c r="I985" s="70">
        <f t="shared" si="494"/>
        <v>1</v>
      </c>
      <c r="J985" s="77" t="str">
        <f t="shared" si="494"/>
        <v>Senecio</v>
      </c>
      <c r="K985" s="77" t="str">
        <f t="shared" si="494"/>
        <v>burtoni</v>
      </c>
      <c r="L985" s="78">
        <f t="shared" si="494"/>
        <v>6</v>
      </c>
      <c r="M985" s="78">
        <f t="shared" si="494"/>
        <v>12</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INDEX([1]!VISITORS[INSECT ORDER], MATCH(X985,[1]!VISITORS[NAME USED],0))</f>
        <v>#REF!</v>
      </c>
      <c r="AB985" s="48" t="e">
        <f t="shared" si="476"/>
        <v>#REF!</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17</v>
      </c>
      <c r="D986" s="75">
        <f t="shared" si="469"/>
        <v>8</v>
      </c>
      <c r="E986" s="76">
        <f t="shared" si="470"/>
        <v>5</v>
      </c>
      <c r="F986" s="80"/>
      <c r="G986" s="83"/>
      <c r="H986" s="69" t="str">
        <f t="shared" si="492"/>
        <v>Senbur6_20191117_08_00</v>
      </c>
      <c r="I986" s="70">
        <f t="shared" si="494"/>
        <v>1</v>
      </c>
      <c r="J986" s="77" t="str">
        <f t="shared" si="494"/>
        <v>Senecio</v>
      </c>
      <c r="K986" s="77" t="str">
        <f t="shared" si="494"/>
        <v>burtoni</v>
      </c>
      <c r="L986" s="78">
        <f t="shared" si="494"/>
        <v>6</v>
      </c>
      <c r="M986" s="78">
        <f t="shared" si="494"/>
        <v>12</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INDEX([1]!VISITORS[INSECT ORDER], MATCH(X986,[1]!VISITORS[NAME USED],0))</f>
        <v>#REF!</v>
      </c>
      <c r="AB986" s="48" t="e">
        <f t="shared" si="476"/>
        <v>#REF!</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17</v>
      </c>
      <c r="D987" s="75">
        <f t="shared" si="469"/>
        <v>8</v>
      </c>
      <c r="E987" s="76">
        <f t="shared" si="470"/>
        <v>6</v>
      </c>
      <c r="F987" s="80">
        <v>23</v>
      </c>
      <c r="G987" s="83"/>
      <c r="H987" s="69" t="str">
        <f t="shared" si="492"/>
        <v>Senbur6_20191117_08_00</v>
      </c>
      <c r="I987" s="70">
        <f t="shared" si="494"/>
        <v>1</v>
      </c>
      <c r="J987" s="77" t="str">
        <f t="shared" si="494"/>
        <v>Senecio</v>
      </c>
      <c r="K987" s="77" t="str">
        <f t="shared" si="494"/>
        <v>burtoni</v>
      </c>
      <c r="L987" s="78">
        <f t="shared" si="494"/>
        <v>6</v>
      </c>
      <c r="M987" s="78">
        <f t="shared" si="494"/>
        <v>12</v>
      </c>
      <c r="N987" s="72">
        <f t="shared" si="494"/>
        <v>0</v>
      </c>
      <c r="O987" s="45"/>
      <c r="P987" s="46">
        <f t="shared" si="471"/>
        <v>1</v>
      </c>
      <c r="Q987" s="47" t="str">
        <f t="shared" si="472"/>
        <v>08:06:23</v>
      </c>
      <c r="R987" s="48" t="str">
        <f t="shared" si="473"/>
        <v>06:23</v>
      </c>
      <c r="S987" s="49">
        <f t="shared" si="466"/>
        <v>106</v>
      </c>
      <c r="T987" s="48" t="str">
        <f t="shared" si="474"/>
        <v>08</v>
      </c>
      <c r="U987" s="50">
        <v>8</v>
      </c>
      <c r="V987" s="51">
        <v>9</v>
      </c>
      <c r="W987" s="52" t="str">
        <f t="shared" si="475"/>
        <v>08:09</v>
      </c>
      <c r="X987" s="53" t="s">
        <v>61</v>
      </c>
      <c r="Y987" s="97" t="s">
        <v>84</v>
      </c>
      <c r="Z987" s="97" t="s">
        <v>80</v>
      </c>
      <c r="AA987" s="48" t="s">
        <v>60</v>
      </c>
      <c r="AB987" s="48" t="str">
        <f t="shared" si="476"/>
        <v>NA</v>
      </c>
      <c r="AC987" s="54">
        <f t="shared" si="477"/>
        <v>0</v>
      </c>
      <c r="AD987" s="55">
        <f t="shared" si="478"/>
        <v>1</v>
      </c>
      <c r="AE987" s="55"/>
      <c r="AF987" s="55"/>
      <c r="AG987" s="56" t="str">
        <f t="shared" si="479"/>
        <v/>
      </c>
      <c r="AH987" s="57" t="str">
        <f t="shared" si="480"/>
        <v/>
      </c>
      <c r="AI987" s="56"/>
      <c r="AJ987" s="57" t="str">
        <f t="shared" si="481"/>
        <v/>
      </c>
      <c r="AK987" s="56">
        <v>1</v>
      </c>
      <c r="AL987" s="57">
        <f t="shared" si="482"/>
        <v>106</v>
      </c>
      <c r="AM987" s="56"/>
      <c r="AN987" s="57" t="str">
        <f t="shared" si="483"/>
        <v/>
      </c>
      <c r="AO987" s="56"/>
      <c r="AP987" s="57" t="str">
        <f t="shared" si="484"/>
        <v/>
      </c>
      <c r="AQ987" s="56"/>
      <c r="AR987" s="57" t="str">
        <f t="shared" si="485"/>
        <v/>
      </c>
      <c r="AS987" s="56"/>
      <c r="AT987" s="57" t="str">
        <f t="shared" si="486"/>
        <v/>
      </c>
      <c r="AU987" s="58"/>
      <c r="AV987" s="59"/>
      <c r="AW987" s="59"/>
      <c r="AX987" s="60"/>
      <c r="AY987" s="61">
        <v>1</v>
      </c>
      <c r="AZ987" s="62">
        <f t="shared" si="488"/>
        <v>1</v>
      </c>
      <c r="BA987" s="61">
        <f t="shared" si="489"/>
        <v>0</v>
      </c>
      <c r="BB987" s="62" t="str">
        <f t="shared" si="490"/>
        <v/>
      </c>
    </row>
    <row r="988" spans="1:54" s="3" customFormat="1" hidden="1" x14ac:dyDescent="0.35">
      <c r="A988" s="73">
        <f t="shared" si="467"/>
        <v>2019</v>
      </c>
      <c r="B988" s="73" t="str">
        <f t="shared" si="468"/>
        <v>Nov</v>
      </c>
      <c r="C988" s="74">
        <f t="shared" si="491"/>
        <v>17</v>
      </c>
      <c r="D988" s="75">
        <f t="shared" si="469"/>
        <v>8</v>
      </c>
      <c r="E988" s="76">
        <f t="shared" si="470"/>
        <v>7</v>
      </c>
      <c r="F988" s="80"/>
      <c r="G988" s="83"/>
      <c r="H988" s="69" t="str">
        <f t="shared" si="492"/>
        <v>Senbur6_20191117_08_00</v>
      </c>
      <c r="I988" s="70">
        <f t="shared" si="494"/>
        <v>1</v>
      </c>
      <c r="J988" s="77" t="str">
        <f t="shared" si="494"/>
        <v>Senecio</v>
      </c>
      <c r="K988" s="77" t="str">
        <f t="shared" si="494"/>
        <v>burtoni</v>
      </c>
      <c r="L988" s="78">
        <f t="shared" si="494"/>
        <v>6</v>
      </c>
      <c r="M988" s="78">
        <f t="shared" si="494"/>
        <v>12</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INDEX([1]!VISITORS[INSECT ORDER], MATCH(X988,[1]!VISITORS[NAME USED],0))</f>
        <v>#REF!</v>
      </c>
      <c r="AB988" s="48" t="e">
        <f t="shared" si="476"/>
        <v>#REF!</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17</v>
      </c>
      <c r="D989" s="75">
        <f t="shared" si="469"/>
        <v>8</v>
      </c>
      <c r="E989" s="76">
        <f t="shared" si="470"/>
        <v>8</v>
      </c>
      <c r="F989" s="80">
        <v>9</v>
      </c>
      <c r="G989" s="83"/>
      <c r="H989" s="69" t="str">
        <f t="shared" si="492"/>
        <v>Senbur6_20191117_08_00</v>
      </c>
      <c r="I989" s="70">
        <f t="shared" si="494"/>
        <v>1</v>
      </c>
      <c r="J989" s="77" t="str">
        <f t="shared" si="494"/>
        <v>Senecio</v>
      </c>
      <c r="K989" s="77" t="str">
        <f t="shared" si="494"/>
        <v>burtoni</v>
      </c>
      <c r="L989" s="78">
        <f t="shared" si="494"/>
        <v>6</v>
      </c>
      <c r="M989" s="78">
        <f t="shared" si="494"/>
        <v>12</v>
      </c>
      <c r="N989" s="72">
        <f t="shared" si="494"/>
        <v>0</v>
      </c>
      <c r="O989" s="45"/>
      <c r="P989" s="46">
        <f t="shared" si="471"/>
        <v>1</v>
      </c>
      <c r="Q989" s="47" t="str">
        <f t="shared" si="472"/>
        <v>08:08:09</v>
      </c>
      <c r="R989" s="48" t="str">
        <f t="shared" si="473"/>
        <v>08:09</v>
      </c>
      <c r="S989" s="49">
        <f t="shared" si="466"/>
        <v>56</v>
      </c>
      <c r="T989" s="48" t="str">
        <f t="shared" si="474"/>
        <v>08</v>
      </c>
      <c r="U989" s="50">
        <v>9</v>
      </c>
      <c r="V989" s="51">
        <v>5</v>
      </c>
      <c r="W989" s="52" t="str">
        <f t="shared" si="475"/>
        <v>09:05</v>
      </c>
      <c r="X989" s="53" t="s">
        <v>61</v>
      </c>
      <c r="Y989" s="97" t="s">
        <v>79</v>
      </c>
      <c r="Z989" s="97" t="s">
        <v>80</v>
      </c>
      <c r="AA989" s="48" t="s">
        <v>60</v>
      </c>
      <c r="AB989" s="48" t="str">
        <f t="shared" si="476"/>
        <v>NA</v>
      </c>
      <c r="AC989" s="54">
        <f t="shared" si="477"/>
        <v>0</v>
      </c>
      <c r="AD989" s="55">
        <v>2</v>
      </c>
      <c r="AE989" s="55"/>
      <c r="AF989" s="55"/>
      <c r="AG989" s="56">
        <v>1</v>
      </c>
      <c r="AH989" s="57">
        <v>14</v>
      </c>
      <c r="AI989" s="56"/>
      <c r="AJ989" s="57" t="str">
        <f t="shared" si="481"/>
        <v/>
      </c>
      <c r="AK989" s="56">
        <v>1</v>
      </c>
      <c r="AL989" s="57">
        <v>42</v>
      </c>
      <c r="AM989" s="56"/>
      <c r="AN989" s="57" t="str">
        <f t="shared" si="483"/>
        <v/>
      </c>
      <c r="AO989" s="56"/>
      <c r="AP989" s="57" t="str">
        <f t="shared" si="484"/>
        <v/>
      </c>
      <c r="AQ989" s="56"/>
      <c r="AR989" s="57" t="str">
        <f t="shared" si="485"/>
        <v/>
      </c>
      <c r="AS989" s="56"/>
      <c r="AT989" s="57" t="str">
        <f t="shared" si="486"/>
        <v/>
      </c>
      <c r="AU989" s="58"/>
      <c r="AV989" s="59"/>
      <c r="AW989" s="59"/>
      <c r="AX989" s="60"/>
      <c r="AY989" s="61">
        <v>1</v>
      </c>
      <c r="AZ989" s="62">
        <f t="shared" si="488"/>
        <v>2</v>
      </c>
      <c r="BA989" s="61">
        <f t="shared" si="489"/>
        <v>0</v>
      </c>
      <c r="BB989" s="62" t="str">
        <f t="shared" si="490"/>
        <v/>
      </c>
    </row>
    <row r="990" spans="1:54" s="3" customFormat="1" hidden="1" x14ac:dyDescent="0.35">
      <c r="A990" s="73">
        <f t="shared" si="467"/>
        <v>2019</v>
      </c>
      <c r="B990" s="73" t="str">
        <f t="shared" si="468"/>
        <v>Nov</v>
      </c>
      <c r="C990" s="74">
        <f t="shared" si="491"/>
        <v>17</v>
      </c>
      <c r="D990" s="75">
        <f t="shared" si="469"/>
        <v>8</v>
      </c>
      <c r="E990" s="76">
        <f t="shared" si="470"/>
        <v>9</v>
      </c>
      <c r="F990" s="80"/>
      <c r="G990" s="83"/>
      <c r="H990" s="69" t="str">
        <f t="shared" si="492"/>
        <v>Senbur6_20191117_08_00</v>
      </c>
      <c r="I990" s="70">
        <f t="shared" si="494"/>
        <v>1</v>
      </c>
      <c r="J990" s="77" t="str">
        <f t="shared" si="494"/>
        <v>Senecio</v>
      </c>
      <c r="K990" s="77" t="str">
        <f t="shared" si="494"/>
        <v>burtoni</v>
      </c>
      <c r="L990" s="78">
        <f t="shared" si="494"/>
        <v>6</v>
      </c>
      <c r="M990" s="78">
        <f t="shared" si="494"/>
        <v>12</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INDEX([1]!VISITORS[INSECT ORDER], MATCH(X990,[1]!VISITORS[NAME USED],0))</f>
        <v>#REF!</v>
      </c>
      <c r="AB990" s="48" t="e">
        <f t="shared" si="476"/>
        <v>#REF!</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17</v>
      </c>
      <c r="D991" s="75">
        <f t="shared" si="469"/>
        <v>8</v>
      </c>
      <c r="E991" s="76">
        <f t="shared" si="470"/>
        <v>10</v>
      </c>
      <c r="F991" s="80"/>
      <c r="G991" s="83"/>
      <c r="H991" s="69" t="str">
        <f t="shared" si="492"/>
        <v>Senbur6_20191117_08_00</v>
      </c>
      <c r="I991" s="70">
        <f t="shared" si="494"/>
        <v>1</v>
      </c>
      <c r="J991" s="77" t="str">
        <f t="shared" si="494"/>
        <v>Senecio</v>
      </c>
      <c r="K991" s="77" t="str">
        <f t="shared" si="494"/>
        <v>burtoni</v>
      </c>
      <c r="L991" s="78">
        <f t="shared" si="494"/>
        <v>6</v>
      </c>
      <c r="M991" s="78">
        <f t="shared" si="494"/>
        <v>12</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INDEX([1]!VISITORS[INSECT ORDER], MATCH(X991,[1]!VISITORS[NAME USED],0))</f>
        <v>#REF!</v>
      </c>
      <c r="AB991" s="48" t="e">
        <f t="shared" si="476"/>
        <v>#REF!</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17</v>
      </c>
      <c r="D992" s="75">
        <f t="shared" si="469"/>
        <v>8</v>
      </c>
      <c r="E992" s="76">
        <f t="shared" si="470"/>
        <v>11</v>
      </c>
      <c r="F992" s="80">
        <v>42</v>
      </c>
      <c r="G992" s="83"/>
      <c r="H992" s="69" t="str">
        <f t="shared" si="492"/>
        <v>Senbur6_20191117_08_00</v>
      </c>
      <c r="I992" s="70">
        <f t="shared" si="494"/>
        <v>1</v>
      </c>
      <c r="J992" s="77" t="str">
        <f t="shared" si="494"/>
        <v>Senecio</v>
      </c>
      <c r="K992" s="77" t="str">
        <f t="shared" si="494"/>
        <v>burtoni</v>
      </c>
      <c r="L992" s="78">
        <f t="shared" si="494"/>
        <v>6</v>
      </c>
      <c r="M992" s="78">
        <f t="shared" si="494"/>
        <v>12</v>
      </c>
      <c r="N992" s="72">
        <f t="shared" si="494"/>
        <v>0</v>
      </c>
      <c r="O992" s="45"/>
      <c r="P992" s="46">
        <f t="shared" si="471"/>
        <v>1</v>
      </c>
      <c r="Q992" s="47" t="str">
        <f t="shared" si="472"/>
        <v>08:11:42</v>
      </c>
      <c r="R992" s="48" t="str">
        <f t="shared" si="473"/>
        <v>11:42</v>
      </c>
      <c r="S992" s="49">
        <f t="shared" si="466"/>
        <v>75</v>
      </c>
      <c r="T992" s="48" t="str">
        <f t="shared" si="474"/>
        <v>08</v>
      </c>
      <c r="U992" s="50">
        <v>12</v>
      </c>
      <c r="V992" s="51">
        <v>57</v>
      </c>
      <c r="W992" s="52" t="str">
        <f t="shared" si="475"/>
        <v>12:57</v>
      </c>
      <c r="X992" s="53" t="s">
        <v>59</v>
      </c>
      <c r="Y992" s="97" t="s">
        <v>78</v>
      </c>
      <c r="Z992" s="97"/>
      <c r="AA992" s="48" t="s">
        <v>60</v>
      </c>
      <c r="AB992" s="48" t="str">
        <f t="shared" si="476"/>
        <v>NA</v>
      </c>
      <c r="AC992" s="54">
        <f t="shared" si="477"/>
        <v>0</v>
      </c>
      <c r="AD992" s="55">
        <f t="shared" si="478"/>
        <v>1</v>
      </c>
      <c r="AE992" s="55"/>
      <c r="AF992" s="55"/>
      <c r="AG992" s="56">
        <v>1</v>
      </c>
      <c r="AH992" s="57">
        <v>4</v>
      </c>
      <c r="AI992" s="56"/>
      <c r="AJ992" s="57" t="str">
        <f t="shared" si="481"/>
        <v/>
      </c>
      <c r="AK992" s="56">
        <v>1</v>
      </c>
      <c r="AL992" s="57">
        <v>71</v>
      </c>
      <c r="AM992" s="56"/>
      <c r="AN992" s="57" t="str">
        <f t="shared" si="483"/>
        <v/>
      </c>
      <c r="AO992" s="56"/>
      <c r="AP992" s="57" t="str">
        <f t="shared" si="484"/>
        <v/>
      </c>
      <c r="AQ992" s="56"/>
      <c r="AR992" s="57" t="str">
        <f t="shared" si="485"/>
        <v/>
      </c>
      <c r="AS992" s="56"/>
      <c r="AT992" s="57" t="str">
        <f t="shared" si="486"/>
        <v/>
      </c>
      <c r="AU992" s="58"/>
      <c r="AV992" s="59"/>
      <c r="AW992" s="59"/>
      <c r="AX992" s="60"/>
      <c r="AY992" s="61">
        <v>1</v>
      </c>
      <c r="AZ992" s="62">
        <f t="shared" si="488"/>
        <v>1</v>
      </c>
      <c r="BA992" s="61">
        <f t="shared" si="489"/>
        <v>0</v>
      </c>
      <c r="BB992" s="62" t="str">
        <f t="shared" si="490"/>
        <v/>
      </c>
    </row>
    <row r="993" spans="1:54" s="3" customFormat="1" hidden="1" x14ac:dyDescent="0.35">
      <c r="A993" s="73">
        <f t="shared" si="467"/>
        <v>2019</v>
      </c>
      <c r="B993" s="73" t="str">
        <f t="shared" si="468"/>
        <v>Nov</v>
      </c>
      <c r="C993" s="74">
        <f t="shared" si="491"/>
        <v>17</v>
      </c>
      <c r="D993" s="75">
        <f t="shared" si="469"/>
        <v>8</v>
      </c>
      <c r="E993" s="76">
        <v>11</v>
      </c>
      <c r="F993" s="80">
        <v>48</v>
      </c>
      <c r="G993" s="83"/>
      <c r="H993" s="69" t="str">
        <f t="shared" si="492"/>
        <v>Senbur6_20191117_08_00</v>
      </c>
      <c r="I993" s="70">
        <f t="shared" si="494"/>
        <v>1</v>
      </c>
      <c r="J993" s="77" t="str">
        <f t="shared" si="494"/>
        <v>Senecio</v>
      </c>
      <c r="K993" s="77" t="str">
        <f t="shared" si="494"/>
        <v>burtoni</v>
      </c>
      <c r="L993" s="78">
        <f t="shared" si="494"/>
        <v>6</v>
      </c>
      <c r="M993" s="78">
        <f t="shared" si="494"/>
        <v>12</v>
      </c>
      <c r="N993" s="72">
        <f t="shared" si="494"/>
        <v>0</v>
      </c>
      <c r="O993" s="45"/>
      <c r="P993" s="46">
        <f t="shared" si="471"/>
        <v>1</v>
      </c>
      <c r="Q993" s="47" t="str">
        <f t="shared" si="472"/>
        <v>08:11:48</v>
      </c>
      <c r="R993" s="48" t="str">
        <f t="shared" si="473"/>
        <v>11:48</v>
      </c>
      <c r="S993" s="49">
        <f t="shared" si="466"/>
        <v>36</v>
      </c>
      <c r="T993" s="48" t="str">
        <f t="shared" si="474"/>
        <v>08</v>
      </c>
      <c r="U993" s="50">
        <v>12</v>
      </c>
      <c r="V993" s="51">
        <v>24</v>
      </c>
      <c r="W993" s="52" t="str">
        <f t="shared" si="475"/>
        <v>12:24</v>
      </c>
      <c r="X993" s="53" t="s">
        <v>61</v>
      </c>
      <c r="Y993" s="97" t="s">
        <v>96</v>
      </c>
      <c r="Z993" s="97" t="s">
        <v>80</v>
      </c>
      <c r="AA993" s="48" t="s">
        <v>60</v>
      </c>
      <c r="AB993" s="48" t="str">
        <f t="shared" si="476"/>
        <v>NA</v>
      </c>
      <c r="AC993" s="54">
        <f t="shared" si="477"/>
        <v>0</v>
      </c>
      <c r="AD993" s="55">
        <f t="shared" si="478"/>
        <v>1</v>
      </c>
      <c r="AE993" s="55"/>
      <c r="AF993" s="55"/>
      <c r="AG993" s="56">
        <v>1</v>
      </c>
      <c r="AH993" s="57">
        <v>2</v>
      </c>
      <c r="AI993" s="56"/>
      <c r="AJ993" s="57" t="str">
        <f t="shared" si="481"/>
        <v/>
      </c>
      <c r="AK993" s="56">
        <v>1</v>
      </c>
      <c r="AL993" s="57">
        <v>34</v>
      </c>
      <c r="AM993" s="56"/>
      <c r="AN993" s="57" t="str">
        <f t="shared" si="483"/>
        <v/>
      </c>
      <c r="AO993" s="56"/>
      <c r="AP993" s="57" t="str">
        <f t="shared" si="484"/>
        <v/>
      </c>
      <c r="AQ993" s="56"/>
      <c r="AR993" s="57" t="str">
        <f t="shared" si="485"/>
        <v/>
      </c>
      <c r="AS993" s="56"/>
      <c r="AT993" s="57" t="str">
        <f t="shared" si="486"/>
        <v/>
      </c>
      <c r="AU993" s="58"/>
      <c r="AV993" s="59"/>
      <c r="AW993" s="59"/>
      <c r="AX993" s="60"/>
      <c r="AY993" s="61">
        <v>1</v>
      </c>
      <c r="AZ993" s="62">
        <f t="shared" si="488"/>
        <v>1</v>
      </c>
      <c r="BA993" s="61">
        <f t="shared" si="489"/>
        <v>0</v>
      </c>
      <c r="BB993" s="62" t="str">
        <f t="shared" si="490"/>
        <v/>
      </c>
    </row>
    <row r="994" spans="1:54" s="3" customFormat="1" hidden="1" x14ac:dyDescent="0.35">
      <c r="A994" s="73">
        <f t="shared" si="467"/>
        <v>2019</v>
      </c>
      <c r="B994" s="73" t="str">
        <f t="shared" si="468"/>
        <v>Nov</v>
      </c>
      <c r="C994" s="74">
        <f t="shared" si="491"/>
        <v>17</v>
      </c>
      <c r="D994" s="75">
        <f t="shared" si="469"/>
        <v>8</v>
      </c>
      <c r="E994" s="76">
        <f t="shared" si="470"/>
        <v>12</v>
      </c>
      <c r="F994" s="80">
        <v>1</v>
      </c>
      <c r="G994" s="83"/>
      <c r="H994" s="69" t="str">
        <f t="shared" si="492"/>
        <v>Senbur6_20191117_08_00</v>
      </c>
      <c r="I994" s="70">
        <f t="shared" si="494"/>
        <v>1</v>
      </c>
      <c r="J994" s="77" t="str">
        <f t="shared" si="494"/>
        <v>Senecio</v>
      </c>
      <c r="K994" s="77" t="str">
        <f t="shared" si="494"/>
        <v>burtoni</v>
      </c>
      <c r="L994" s="78">
        <f t="shared" si="494"/>
        <v>6</v>
      </c>
      <c r="M994" s="78">
        <f t="shared" si="494"/>
        <v>12</v>
      </c>
      <c r="N994" s="72">
        <f t="shared" si="494"/>
        <v>0</v>
      </c>
      <c r="O994" s="45"/>
      <c r="P994" s="46">
        <f t="shared" si="471"/>
        <v>1</v>
      </c>
      <c r="Q994" s="47" t="str">
        <f t="shared" si="472"/>
        <v>08:12:01</v>
      </c>
      <c r="R994" s="48" t="str">
        <f t="shared" si="473"/>
        <v>12:01</v>
      </c>
      <c r="S994" s="49">
        <f t="shared" si="466"/>
        <v>266</v>
      </c>
      <c r="T994" s="48" t="str">
        <f t="shared" si="474"/>
        <v>08</v>
      </c>
      <c r="U994" s="50">
        <v>16</v>
      </c>
      <c r="V994" s="51">
        <v>27</v>
      </c>
      <c r="W994" s="52" t="str">
        <f t="shared" si="475"/>
        <v>16:27</v>
      </c>
      <c r="X994" s="53" t="s">
        <v>69</v>
      </c>
      <c r="Y994" s="97" t="s">
        <v>81</v>
      </c>
      <c r="Z994" s="97"/>
      <c r="AA994" s="48" t="s">
        <v>63</v>
      </c>
      <c r="AB994" s="48" t="str">
        <f t="shared" si="476"/>
        <v>NA</v>
      </c>
      <c r="AC994" s="54">
        <f t="shared" si="477"/>
        <v>0</v>
      </c>
      <c r="AD994" s="55">
        <v>6</v>
      </c>
      <c r="AE994" s="55"/>
      <c r="AF994" s="55"/>
      <c r="AG994" s="56">
        <v>1</v>
      </c>
      <c r="AH994" s="57">
        <v>258</v>
      </c>
      <c r="AI994" s="56">
        <v>1</v>
      </c>
      <c r="AJ994" s="57">
        <v>2</v>
      </c>
      <c r="AK994" s="56">
        <v>1</v>
      </c>
      <c r="AL994" s="57">
        <v>6</v>
      </c>
      <c r="AM994" s="56"/>
      <c r="AN994" s="57" t="str">
        <f t="shared" si="483"/>
        <v/>
      </c>
      <c r="AO994" s="56"/>
      <c r="AP994" s="57" t="str">
        <f t="shared" si="484"/>
        <v/>
      </c>
      <c r="AQ994" s="56"/>
      <c r="AR994" s="57" t="str">
        <f t="shared" si="485"/>
        <v/>
      </c>
      <c r="AS994" s="56"/>
      <c r="AT994" s="57" t="str">
        <f t="shared" si="486"/>
        <v/>
      </c>
      <c r="AU994" s="58"/>
      <c r="AV994" s="59"/>
      <c r="AW994" s="59"/>
      <c r="AX994" s="60"/>
      <c r="AY994" s="61">
        <v>1</v>
      </c>
      <c r="AZ994" s="62">
        <f t="shared" si="488"/>
        <v>6</v>
      </c>
      <c r="BA994" s="61">
        <f t="shared" si="489"/>
        <v>0</v>
      </c>
      <c r="BB994" s="62" t="str">
        <f t="shared" si="490"/>
        <v/>
      </c>
    </row>
    <row r="995" spans="1:54" s="3" customFormat="1" hidden="1" x14ac:dyDescent="0.35">
      <c r="A995" s="73">
        <f t="shared" si="467"/>
        <v>2019</v>
      </c>
      <c r="B995" s="73" t="str">
        <f t="shared" si="468"/>
        <v>Nov</v>
      </c>
      <c r="C995" s="74">
        <f t="shared" si="491"/>
        <v>17</v>
      </c>
      <c r="D995" s="75">
        <f t="shared" si="469"/>
        <v>8</v>
      </c>
      <c r="E995" s="76">
        <f t="shared" si="470"/>
        <v>13</v>
      </c>
      <c r="F995" s="80">
        <v>37</v>
      </c>
      <c r="G995" s="83"/>
      <c r="H995" s="69" t="str">
        <f t="shared" si="492"/>
        <v>Senbur6_20191117_08_00</v>
      </c>
      <c r="I995" s="70">
        <f t="shared" si="494"/>
        <v>1</v>
      </c>
      <c r="J995" s="77" t="str">
        <f t="shared" si="494"/>
        <v>Senecio</v>
      </c>
      <c r="K995" s="77" t="str">
        <f t="shared" si="494"/>
        <v>burtoni</v>
      </c>
      <c r="L995" s="78">
        <f t="shared" si="494"/>
        <v>6</v>
      </c>
      <c r="M995" s="78">
        <f t="shared" si="494"/>
        <v>12</v>
      </c>
      <c r="N995" s="72">
        <f t="shared" si="494"/>
        <v>0</v>
      </c>
      <c r="O995" s="45"/>
      <c r="P995" s="46">
        <f t="shared" si="471"/>
        <v>1</v>
      </c>
      <c r="Q995" s="47" t="str">
        <f t="shared" si="472"/>
        <v>08:13:37</v>
      </c>
      <c r="R995" s="48" t="str">
        <f t="shared" si="473"/>
        <v>13:37</v>
      </c>
      <c r="S995" s="49">
        <f t="shared" si="466"/>
        <v>72</v>
      </c>
      <c r="T995" s="48" t="str">
        <f t="shared" si="474"/>
        <v>08</v>
      </c>
      <c r="U995" s="50">
        <v>14</v>
      </c>
      <c r="V995" s="51">
        <v>49</v>
      </c>
      <c r="W995" s="52" t="str">
        <f t="shared" si="475"/>
        <v>14:49</v>
      </c>
      <c r="X995" s="53" t="s">
        <v>61</v>
      </c>
      <c r="Y995" s="97" t="s">
        <v>96</v>
      </c>
      <c r="Z995" s="97" t="s">
        <v>80</v>
      </c>
      <c r="AA995" s="48" t="s">
        <v>60</v>
      </c>
      <c r="AB995" s="48" t="str">
        <f t="shared" si="476"/>
        <v>NA</v>
      </c>
      <c r="AC995" s="54">
        <f t="shared" si="477"/>
        <v>0</v>
      </c>
      <c r="AD995" s="55">
        <f t="shared" si="478"/>
        <v>1</v>
      </c>
      <c r="AE995" s="55"/>
      <c r="AF995" s="55"/>
      <c r="AG995" s="56">
        <v>1</v>
      </c>
      <c r="AH995" s="57">
        <v>9</v>
      </c>
      <c r="AI995" s="56"/>
      <c r="AJ995" s="57" t="str">
        <f t="shared" si="481"/>
        <v/>
      </c>
      <c r="AK995" s="56">
        <v>1</v>
      </c>
      <c r="AL995" s="57">
        <v>63</v>
      </c>
      <c r="AM995" s="56"/>
      <c r="AN995" s="57" t="str">
        <f t="shared" si="483"/>
        <v/>
      </c>
      <c r="AO995" s="56"/>
      <c r="AP995" s="57" t="str">
        <f t="shared" si="484"/>
        <v/>
      </c>
      <c r="AQ995" s="56"/>
      <c r="AR995" s="57" t="str">
        <f t="shared" si="485"/>
        <v/>
      </c>
      <c r="AS995" s="56"/>
      <c r="AT995" s="57" t="str">
        <f t="shared" si="486"/>
        <v/>
      </c>
      <c r="AU995" s="58"/>
      <c r="AV995" s="59"/>
      <c r="AW995" s="59"/>
      <c r="AX995" s="60"/>
      <c r="AY995" s="61">
        <v>1</v>
      </c>
      <c r="AZ995" s="62">
        <f t="shared" si="488"/>
        <v>1</v>
      </c>
      <c r="BA995" s="61">
        <f t="shared" si="489"/>
        <v>0</v>
      </c>
      <c r="BB995" s="62" t="str">
        <f t="shared" si="490"/>
        <v/>
      </c>
    </row>
    <row r="996" spans="1:54" s="3" customFormat="1" hidden="1" x14ac:dyDescent="0.35">
      <c r="A996" s="73">
        <f t="shared" si="467"/>
        <v>2019</v>
      </c>
      <c r="B996" s="73" t="str">
        <f t="shared" si="468"/>
        <v>Nov</v>
      </c>
      <c r="C996" s="74">
        <f t="shared" si="491"/>
        <v>17</v>
      </c>
      <c r="D996" s="75">
        <f t="shared" si="469"/>
        <v>8</v>
      </c>
      <c r="E996" s="76">
        <v>13</v>
      </c>
      <c r="F996" s="80">
        <v>53</v>
      </c>
      <c r="G996" s="83"/>
      <c r="H996" s="69" t="str">
        <f t="shared" si="492"/>
        <v>Senbur6_20191117_08_00</v>
      </c>
      <c r="I996" s="70">
        <f t="shared" si="494"/>
        <v>1</v>
      </c>
      <c r="J996" s="77" t="str">
        <f t="shared" si="494"/>
        <v>Senecio</v>
      </c>
      <c r="K996" s="77" t="str">
        <f t="shared" si="494"/>
        <v>burtoni</v>
      </c>
      <c r="L996" s="78">
        <f t="shared" si="494"/>
        <v>6</v>
      </c>
      <c r="M996" s="78">
        <f t="shared" si="494"/>
        <v>12</v>
      </c>
      <c r="N996" s="72">
        <f t="shared" si="494"/>
        <v>0</v>
      </c>
      <c r="O996" s="45"/>
      <c r="P996" s="46">
        <f t="shared" si="471"/>
        <v>1</v>
      </c>
      <c r="Q996" s="47" t="str">
        <f t="shared" si="472"/>
        <v>08:13:53</v>
      </c>
      <c r="R996" s="48" t="str">
        <f t="shared" si="473"/>
        <v>13:53</v>
      </c>
      <c r="S996" s="49">
        <f t="shared" si="466"/>
        <v>25</v>
      </c>
      <c r="T996" s="48" t="str">
        <f t="shared" si="474"/>
        <v>08</v>
      </c>
      <c r="U996" s="50">
        <v>14</v>
      </c>
      <c r="V996" s="51">
        <v>18</v>
      </c>
      <c r="W996" s="52" t="str">
        <f t="shared" si="475"/>
        <v>14:18</v>
      </c>
      <c r="X996" s="53" t="s">
        <v>61</v>
      </c>
      <c r="Y996" s="97" t="s">
        <v>96</v>
      </c>
      <c r="Z996" s="97" t="s">
        <v>80</v>
      </c>
      <c r="AA996" s="48" t="s">
        <v>60</v>
      </c>
      <c r="AB996" s="48" t="str">
        <f t="shared" si="476"/>
        <v>NA</v>
      </c>
      <c r="AC996" s="54">
        <f t="shared" si="477"/>
        <v>0</v>
      </c>
      <c r="AD996" s="55">
        <f t="shared" si="478"/>
        <v>1</v>
      </c>
      <c r="AE996" s="55"/>
      <c r="AF996" s="55"/>
      <c r="AG996" s="56">
        <v>1</v>
      </c>
      <c r="AH996" s="57">
        <v>2</v>
      </c>
      <c r="AI996" s="56"/>
      <c r="AJ996" s="57" t="str">
        <f t="shared" si="481"/>
        <v/>
      </c>
      <c r="AK996" s="56">
        <v>1</v>
      </c>
      <c r="AL996" s="57">
        <v>23</v>
      </c>
      <c r="AM996" s="56"/>
      <c r="AN996" s="57" t="str">
        <f t="shared" si="483"/>
        <v/>
      </c>
      <c r="AO996" s="56"/>
      <c r="AP996" s="57" t="str">
        <f t="shared" si="484"/>
        <v/>
      </c>
      <c r="AQ996" s="56"/>
      <c r="AR996" s="57" t="str">
        <f t="shared" si="485"/>
        <v/>
      </c>
      <c r="AS996" s="56"/>
      <c r="AT996" s="57" t="str">
        <f t="shared" si="486"/>
        <v/>
      </c>
      <c r="AU996" s="58"/>
      <c r="AV996" s="59"/>
      <c r="AW996" s="59"/>
      <c r="AX996" s="60"/>
      <c r="AY996" s="61">
        <v>1</v>
      </c>
      <c r="AZ996" s="62">
        <f t="shared" si="488"/>
        <v>1</v>
      </c>
      <c r="BA996" s="61">
        <f t="shared" si="489"/>
        <v>0</v>
      </c>
      <c r="BB996" s="62" t="str">
        <f t="shared" si="490"/>
        <v/>
      </c>
    </row>
    <row r="997" spans="1:54" s="3" customFormat="1" hidden="1" x14ac:dyDescent="0.35">
      <c r="A997" s="73">
        <f t="shared" si="467"/>
        <v>2019</v>
      </c>
      <c r="B997" s="73" t="str">
        <f t="shared" si="468"/>
        <v>Nov</v>
      </c>
      <c r="C997" s="74">
        <f t="shared" si="491"/>
        <v>17</v>
      </c>
      <c r="D997" s="75">
        <f t="shared" si="469"/>
        <v>8</v>
      </c>
      <c r="E997" s="76">
        <f t="shared" si="470"/>
        <v>14</v>
      </c>
      <c r="F997" s="80">
        <v>20</v>
      </c>
      <c r="G997" s="83"/>
      <c r="H997" s="69" t="str">
        <f t="shared" si="492"/>
        <v>Senbur6_20191117_08_00</v>
      </c>
      <c r="I997" s="70">
        <f t="shared" ref="I997:N1012" si="495">I996</f>
        <v>1</v>
      </c>
      <c r="J997" s="77" t="str">
        <f t="shared" si="495"/>
        <v>Senecio</v>
      </c>
      <c r="K997" s="77" t="str">
        <f t="shared" si="495"/>
        <v>burtoni</v>
      </c>
      <c r="L997" s="78">
        <f t="shared" si="495"/>
        <v>6</v>
      </c>
      <c r="M997" s="78">
        <f t="shared" si="495"/>
        <v>12</v>
      </c>
      <c r="N997" s="72">
        <f t="shared" si="495"/>
        <v>0</v>
      </c>
      <c r="O997" s="45"/>
      <c r="P997" s="46">
        <f t="shared" si="471"/>
        <v>1</v>
      </c>
      <c r="Q997" s="47" t="str">
        <f t="shared" si="472"/>
        <v>08:14:20</v>
      </c>
      <c r="R997" s="48" t="str">
        <f t="shared" si="473"/>
        <v>14:20</v>
      </c>
      <c r="S997" s="49">
        <f t="shared" si="466"/>
        <v>9</v>
      </c>
      <c r="T997" s="48" t="str">
        <f t="shared" si="474"/>
        <v>08</v>
      </c>
      <c r="U997" s="50">
        <v>14</v>
      </c>
      <c r="V997" s="51">
        <v>29</v>
      </c>
      <c r="W997" s="52" t="str">
        <f t="shared" si="475"/>
        <v>14:29</v>
      </c>
      <c r="X997" s="53" t="s">
        <v>61</v>
      </c>
      <c r="Y997" s="97" t="s">
        <v>96</v>
      </c>
      <c r="Z997" s="97" t="s">
        <v>80</v>
      </c>
      <c r="AA997" s="48" t="s">
        <v>60</v>
      </c>
      <c r="AB997" s="48" t="str">
        <f t="shared" si="476"/>
        <v>NA</v>
      </c>
      <c r="AC997" s="54">
        <f t="shared" si="477"/>
        <v>0</v>
      </c>
      <c r="AD997" s="55">
        <v>2</v>
      </c>
      <c r="AE997" s="55"/>
      <c r="AF997" s="55"/>
      <c r="AG997" s="56">
        <v>1</v>
      </c>
      <c r="AH997" s="57">
        <v>6</v>
      </c>
      <c r="AI997" s="56"/>
      <c r="AJ997" s="57" t="str">
        <f t="shared" si="481"/>
        <v/>
      </c>
      <c r="AK997" s="56">
        <v>1</v>
      </c>
      <c r="AL997" s="57">
        <v>3</v>
      </c>
      <c r="AM997" s="56"/>
      <c r="AN997" s="57" t="str">
        <f t="shared" si="483"/>
        <v/>
      </c>
      <c r="AO997" s="56"/>
      <c r="AP997" s="57" t="str">
        <f t="shared" si="484"/>
        <v/>
      </c>
      <c r="AQ997" s="56"/>
      <c r="AR997" s="57" t="str">
        <f t="shared" si="485"/>
        <v/>
      </c>
      <c r="AS997" s="56"/>
      <c r="AT997" s="57" t="str">
        <f t="shared" si="486"/>
        <v/>
      </c>
      <c r="AU997" s="58"/>
      <c r="AV997" s="59"/>
      <c r="AW997" s="59"/>
      <c r="AX997" s="60"/>
      <c r="AY997" s="61">
        <v>1</v>
      </c>
      <c r="AZ997" s="62">
        <v>1</v>
      </c>
      <c r="BA997" s="61">
        <f t="shared" si="489"/>
        <v>0</v>
      </c>
      <c r="BB997" s="62" t="str">
        <f t="shared" si="490"/>
        <v/>
      </c>
    </row>
    <row r="998" spans="1:54" s="3" customFormat="1" hidden="1" x14ac:dyDescent="0.35">
      <c r="A998" s="73">
        <f t="shared" si="467"/>
        <v>2019</v>
      </c>
      <c r="B998" s="73" t="str">
        <f t="shared" si="468"/>
        <v>Nov</v>
      </c>
      <c r="C998" s="74">
        <f t="shared" si="491"/>
        <v>17</v>
      </c>
      <c r="D998" s="75">
        <f t="shared" si="469"/>
        <v>8</v>
      </c>
      <c r="E998" s="76">
        <f t="shared" si="470"/>
        <v>15</v>
      </c>
      <c r="F998" s="80"/>
      <c r="G998" s="83"/>
      <c r="H998" s="69" t="str">
        <f t="shared" si="492"/>
        <v>Senbur6_20191117_08_00</v>
      </c>
      <c r="I998" s="70">
        <f t="shared" si="495"/>
        <v>1</v>
      </c>
      <c r="J998" s="77" t="str">
        <f t="shared" si="495"/>
        <v>Senecio</v>
      </c>
      <c r="K998" s="77" t="str">
        <f t="shared" si="495"/>
        <v>burtoni</v>
      </c>
      <c r="L998" s="78">
        <f t="shared" si="495"/>
        <v>6</v>
      </c>
      <c r="M998" s="78">
        <f t="shared" si="495"/>
        <v>12</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INDEX([1]!VISITORS[INSECT ORDER], MATCH(X998,[1]!VISITORS[NAME USED],0))</f>
        <v>#REF!</v>
      </c>
      <c r="AB998" s="48" t="e">
        <f t="shared" si="476"/>
        <v>#REF!</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17</v>
      </c>
      <c r="D999" s="75">
        <f t="shared" si="469"/>
        <v>8</v>
      </c>
      <c r="E999" s="76">
        <f t="shared" si="470"/>
        <v>16</v>
      </c>
      <c r="F999" s="80"/>
      <c r="G999" s="83"/>
      <c r="H999" s="69" t="str">
        <f t="shared" si="492"/>
        <v>Senbur6_20191117_08_00</v>
      </c>
      <c r="I999" s="70">
        <f t="shared" si="495"/>
        <v>1</v>
      </c>
      <c r="J999" s="77" t="str">
        <f t="shared" si="495"/>
        <v>Senecio</v>
      </c>
      <c r="K999" s="77" t="str">
        <f t="shared" si="495"/>
        <v>burtoni</v>
      </c>
      <c r="L999" s="78">
        <f t="shared" si="495"/>
        <v>6</v>
      </c>
      <c r="M999" s="78">
        <f t="shared" si="495"/>
        <v>12</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INDEX([1]!VISITORS[INSECT ORDER], MATCH(X999,[1]!VISITORS[NAME USED],0))</f>
        <v>#REF!</v>
      </c>
      <c r="AB999" s="48" t="e">
        <f t="shared" si="476"/>
        <v>#REF!</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17</v>
      </c>
      <c r="D1000" s="75">
        <f t="shared" si="469"/>
        <v>8</v>
      </c>
      <c r="E1000" s="76">
        <f t="shared" si="470"/>
        <v>17</v>
      </c>
      <c r="F1000" s="80">
        <v>35</v>
      </c>
      <c r="G1000" s="83"/>
      <c r="H1000" s="69" t="str">
        <f t="shared" si="492"/>
        <v>Senbur6_20191117_08_00</v>
      </c>
      <c r="I1000" s="70">
        <f t="shared" si="495"/>
        <v>1</v>
      </c>
      <c r="J1000" s="77" t="str">
        <f t="shared" si="495"/>
        <v>Senecio</v>
      </c>
      <c r="K1000" s="77" t="str">
        <f t="shared" si="495"/>
        <v>burtoni</v>
      </c>
      <c r="L1000" s="78">
        <f t="shared" si="495"/>
        <v>6</v>
      </c>
      <c r="M1000" s="78">
        <f t="shared" si="495"/>
        <v>12</v>
      </c>
      <c r="N1000" s="72">
        <f t="shared" si="495"/>
        <v>0</v>
      </c>
      <c r="O1000" s="45"/>
      <c r="P1000" s="46">
        <f t="shared" si="471"/>
        <v>1</v>
      </c>
      <c r="Q1000" s="47" t="str">
        <f t="shared" si="472"/>
        <v>08:17:35</v>
      </c>
      <c r="R1000" s="48" t="str">
        <f t="shared" si="473"/>
        <v>17:35</v>
      </c>
      <c r="S1000" s="49">
        <f t="shared" si="466"/>
        <v>24</v>
      </c>
      <c r="T1000" s="48" t="str">
        <f t="shared" si="474"/>
        <v>08</v>
      </c>
      <c r="U1000" s="50">
        <v>17</v>
      </c>
      <c r="V1000" s="51">
        <v>59</v>
      </c>
      <c r="W1000" s="52" t="str">
        <f t="shared" si="475"/>
        <v>17:59</v>
      </c>
      <c r="X1000" s="53" t="s">
        <v>61</v>
      </c>
      <c r="Y1000" s="97" t="s">
        <v>96</v>
      </c>
      <c r="Z1000" s="97" t="s">
        <v>80</v>
      </c>
      <c r="AA1000" s="48" t="s">
        <v>60</v>
      </c>
      <c r="AB1000" s="48" t="str">
        <f t="shared" si="476"/>
        <v>NA</v>
      </c>
      <c r="AC1000" s="54">
        <f t="shared" si="477"/>
        <v>0</v>
      </c>
      <c r="AD1000" s="55">
        <f t="shared" si="478"/>
        <v>1</v>
      </c>
      <c r="AE1000" s="55"/>
      <c r="AF1000" s="55"/>
      <c r="AG1000" s="56">
        <v>1</v>
      </c>
      <c r="AH1000" s="57">
        <v>7</v>
      </c>
      <c r="AI1000" s="56"/>
      <c r="AJ1000" s="57" t="str">
        <f t="shared" si="481"/>
        <v/>
      </c>
      <c r="AK1000" s="56">
        <v>1</v>
      </c>
      <c r="AL1000" s="57">
        <v>17</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v>1</v>
      </c>
      <c r="AZ1000" s="62">
        <f t="shared" si="488"/>
        <v>1</v>
      </c>
      <c r="BA1000" s="61">
        <f t="shared" si="489"/>
        <v>0</v>
      </c>
      <c r="BB1000" s="62" t="str">
        <f t="shared" si="490"/>
        <v/>
      </c>
    </row>
    <row r="1001" spans="1:54" s="3" customFormat="1" hidden="1" x14ac:dyDescent="0.35">
      <c r="A1001" s="73">
        <f t="shared" si="467"/>
        <v>2019</v>
      </c>
      <c r="B1001" s="73" t="str">
        <f t="shared" si="468"/>
        <v>Nov</v>
      </c>
      <c r="C1001" s="74">
        <f t="shared" si="491"/>
        <v>17</v>
      </c>
      <c r="D1001" s="75">
        <f t="shared" si="469"/>
        <v>8</v>
      </c>
      <c r="E1001" s="76">
        <f t="shared" si="470"/>
        <v>18</v>
      </c>
      <c r="F1001" s="80"/>
      <c r="G1001" s="83"/>
      <c r="H1001" s="69" t="str">
        <f t="shared" si="492"/>
        <v>Senbur6_20191117_08_00</v>
      </c>
      <c r="I1001" s="70">
        <f t="shared" si="495"/>
        <v>1</v>
      </c>
      <c r="J1001" s="77" t="str">
        <f t="shared" si="495"/>
        <v>Senecio</v>
      </c>
      <c r="K1001" s="77" t="str">
        <f t="shared" si="495"/>
        <v>burtoni</v>
      </c>
      <c r="L1001" s="78">
        <f t="shared" si="495"/>
        <v>6</v>
      </c>
      <c r="M1001" s="78">
        <f t="shared" si="495"/>
        <v>12</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INDEX([1]!VISITORS[INSECT ORDER], MATCH(X1001,[1]!VISITORS[NAME USED],0))</f>
        <v>#REF!</v>
      </c>
      <c r="AB1001" s="48" t="e">
        <f t="shared" si="476"/>
        <v>#REF!</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17</v>
      </c>
      <c r="D1002" s="75">
        <f t="shared" si="469"/>
        <v>8</v>
      </c>
      <c r="E1002" s="76">
        <f t="shared" si="470"/>
        <v>19</v>
      </c>
      <c r="F1002" s="80"/>
      <c r="G1002" s="83"/>
      <c r="H1002" s="69" t="str">
        <f t="shared" si="492"/>
        <v>Senbur6_20191117_08_00</v>
      </c>
      <c r="I1002" s="70">
        <f t="shared" si="495"/>
        <v>1</v>
      </c>
      <c r="J1002" s="77" t="str">
        <f t="shared" si="495"/>
        <v>Senecio</v>
      </c>
      <c r="K1002" s="77" t="str">
        <f t="shared" si="495"/>
        <v>burtoni</v>
      </c>
      <c r="L1002" s="78">
        <f t="shared" si="495"/>
        <v>6</v>
      </c>
      <c r="M1002" s="78">
        <f t="shared" si="495"/>
        <v>12</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INDEX([1]!VISITORS[INSECT ORDER], MATCH(X1002,[1]!VISITORS[NAME USED],0))</f>
        <v>#REF!</v>
      </c>
      <c r="AB1002" s="48" t="e">
        <f t="shared" si="476"/>
        <v>#REF!</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17</v>
      </c>
      <c r="D1003" s="75">
        <f t="shared" si="469"/>
        <v>8</v>
      </c>
      <c r="E1003" s="76">
        <f t="shared" si="470"/>
        <v>20</v>
      </c>
      <c r="F1003" s="80">
        <v>7</v>
      </c>
      <c r="G1003" s="83"/>
      <c r="H1003" s="69" t="str">
        <f t="shared" si="492"/>
        <v>Senbur6_20191117_08_00</v>
      </c>
      <c r="I1003" s="70">
        <f t="shared" si="495"/>
        <v>1</v>
      </c>
      <c r="J1003" s="77" t="str">
        <f t="shared" si="495"/>
        <v>Senecio</v>
      </c>
      <c r="K1003" s="77" t="str">
        <f t="shared" si="495"/>
        <v>burtoni</v>
      </c>
      <c r="L1003" s="78">
        <f t="shared" si="495"/>
        <v>6</v>
      </c>
      <c r="M1003" s="78">
        <f t="shared" si="495"/>
        <v>12</v>
      </c>
      <c r="N1003" s="72">
        <f t="shared" si="495"/>
        <v>0</v>
      </c>
      <c r="O1003" s="45"/>
      <c r="P1003" s="46">
        <f t="shared" si="471"/>
        <v>1</v>
      </c>
      <c r="Q1003" s="47" t="str">
        <f t="shared" si="472"/>
        <v>08:20:07</v>
      </c>
      <c r="R1003" s="48" t="str">
        <f t="shared" si="473"/>
        <v>20:07</v>
      </c>
      <c r="S1003" s="49">
        <f t="shared" si="466"/>
        <v>25</v>
      </c>
      <c r="T1003" s="48" t="str">
        <f t="shared" si="474"/>
        <v>08</v>
      </c>
      <c r="U1003" s="50">
        <v>20</v>
      </c>
      <c r="V1003" s="51">
        <v>32</v>
      </c>
      <c r="W1003" s="52" t="str">
        <f t="shared" si="475"/>
        <v>20:32</v>
      </c>
      <c r="X1003" s="53" t="s">
        <v>61</v>
      </c>
      <c r="Y1003" s="97" t="s">
        <v>79</v>
      </c>
      <c r="Z1003" s="97" t="s">
        <v>80</v>
      </c>
      <c r="AA1003" s="48" t="s">
        <v>60</v>
      </c>
      <c r="AB1003" s="48" t="str">
        <f t="shared" si="476"/>
        <v>NA</v>
      </c>
      <c r="AC1003" s="54">
        <f t="shared" si="477"/>
        <v>0</v>
      </c>
      <c r="AD1003" s="55">
        <f t="shared" si="478"/>
        <v>1</v>
      </c>
      <c r="AE1003" s="55"/>
      <c r="AF1003" s="55"/>
      <c r="AG1003" s="56">
        <v>1</v>
      </c>
      <c r="AH1003" s="57">
        <v>10</v>
      </c>
      <c r="AI1003" s="56"/>
      <c r="AJ1003" s="57" t="str">
        <f t="shared" si="481"/>
        <v/>
      </c>
      <c r="AK1003" s="56">
        <v>1</v>
      </c>
      <c r="AL1003" s="57">
        <v>15</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f t="shared" si="487"/>
        <v>0</v>
      </c>
      <c r="AZ1003" s="62" t="str">
        <f t="shared" si="488"/>
        <v/>
      </c>
      <c r="BA1003" s="61">
        <f t="shared" si="489"/>
        <v>0</v>
      </c>
      <c r="BB1003" s="62" t="str">
        <f t="shared" si="490"/>
        <v/>
      </c>
    </row>
    <row r="1004" spans="1:54" s="3" customFormat="1" hidden="1" x14ac:dyDescent="0.35">
      <c r="A1004" s="73">
        <f t="shared" si="467"/>
        <v>2019</v>
      </c>
      <c r="B1004" s="73" t="str">
        <f t="shared" si="468"/>
        <v>Nov</v>
      </c>
      <c r="C1004" s="74">
        <f t="shared" si="491"/>
        <v>17</v>
      </c>
      <c r="D1004" s="75">
        <f t="shared" si="469"/>
        <v>8</v>
      </c>
      <c r="E1004" s="76">
        <f t="shared" si="470"/>
        <v>21</v>
      </c>
      <c r="F1004" s="80"/>
      <c r="G1004" s="83"/>
      <c r="H1004" s="69" t="str">
        <f t="shared" si="492"/>
        <v>Senbur6_20191117_08_00</v>
      </c>
      <c r="I1004" s="70">
        <f t="shared" si="495"/>
        <v>1</v>
      </c>
      <c r="J1004" s="77" t="str">
        <f t="shared" si="495"/>
        <v>Senecio</v>
      </c>
      <c r="K1004" s="77" t="str">
        <f t="shared" si="495"/>
        <v>burtoni</v>
      </c>
      <c r="L1004" s="78">
        <f t="shared" si="495"/>
        <v>6</v>
      </c>
      <c r="M1004" s="78">
        <f t="shared" si="495"/>
        <v>12</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INDEX([1]!VISITORS[INSECT ORDER], MATCH(X1004,[1]!VISITORS[NAME USED],0))</f>
        <v>#REF!</v>
      </c>
      <c r="AB1004" s="48" t="e">
        <f t="shared" si="476"/>
        <v>#REF!</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17</v>
      </c>
      <c r="D1005" s="75">
        <f t="shared" si="469"/>
        <v>8</v>
      </c>
      <c r="E1005" s="76">
        <f t="shared" si="470"/>
        <v>22</v>
      </c>
      <c r="F1005" s="80"/>
      <c r="G1005" s="83"/>
      <c r="H1005" s="69" t="str">
        <f t="shared" si="492"/>
        <v>Senbur6_20191117_08_00</v>
      </c>
      <c r="I1005" s="70">
        <f t="shared" si="495"/>
        <v>1</v>
      </c>
      <c r="J1005" s="77" t="str">
        <f t="shared" si="495"/>
        <v>Senecio</v>
      </c>
      <c r="K1005" s="77" t="str">
        <f t="shared" si="495"/>
        <v>burtoni</v>
      </c>
      <c r="L1005" s="78">
        <f t="shared" si="495"/>
        <v>6</v>
      </c>
      <c r="M1005" s="78">
        <f t="shared" si="495"/>
        <v>12</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INDEX([1]!VISITORS[INSECT ORDER], MATCH(X1005,[1]!VISITORS[NAME USED],0))</f>
        <v>#REF!</v>
      </c>
      <c r="AB1005" s="48" t="e">
        <f t="shared" si="476"/>
        <v>#REF!</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17</v>
      </c>
      <c r="D1006" s="75">
        <f t="shared" si="469"/>
        <v>8</v>
      </c>
      <c r="E1006" s="76">
        <f t="shared" si="470"/>
        <v>23</v>
      </c>
      <c r="F1006" s="80"/>
      <c r="G1006" s="83"/>
      <c r="H1006" s="69" t="str">
        <f t="shared" si="492"/>
        <v>Senbur6_20191117_08_00</v>
      </c>
      <c r="I1006" s="70">
        <f t="shared" si="495"/>
        <v>1</v>
      </c>
      <c r="J1006" s="77" t="str">
        <f t="shared" si="495"/>
        <v>Senecio</v>
      </c>
      <c r="K1006" s="77" t="str">
        <f t="shared" si="495"/>
        <v>burtoni</v>
      </c>
      <c r="L1006" s="78">
        <f t="shared" si="495"/>
        <v>6</v>
      </c>
      <c r="M1006" s="78">
        <f t="shared" si="495"/>
        <v>12</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INDEX([1]!VISITORS[INSECT ORDER], MATCH(X1006,[1]!VISITORS[NAME USED],0))</f>
        <v>#REF!</v>
      </c>
      <c r="AB1006" s="48" t="e">
        <f t="shared" si="476"/>
        <v>#REF!</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17</v>
      </c>
      <c r="D1007" s="75">
        <f t="shared" si="469"/>
        <v>8</v>
      </c>
      <c r="E1007" s="76">
        <f t="shared" si="470"/>
        <v>24</v>
      </c>
      <c r="F1007" s="80">
        <v>34</v>
      </c>
      <c r="G1007" s="83"/>
      <c r="H1007" s="69" t="str">
        <f t="shared" si="492"/>
        <v>Senbur6_20191117_08_00</v>
      </c>
      <c r="I1007" s="70">
        <f t="shared" si="495"/>
        <v>1</v>
      </c>
      <c r="J1007" s="77" t="str">
        <f t="shared" si="495"/>
        <v>Senecio</v>
      </c>
      <c r="K1007" s="77" t="str">
        <f t="shared" si="495"/>
        <v>burtoni</v>
      </c>
      <c r="L1007" s="78">
        <f t="shared" si="495"/>
        <v>6</v>
      </c>
      <c r="M1007" s="78">
        <f t="shared" si="495"/>
        <v>12</v>
      </c>
      <c r="N1007" s="72">
        <f t="shared" si="495"/>
        <v>0</v>
      </c>
      <c r="O1007" s="45"/>
      <c r="P1007" s="46">
        <f t="shared" si="471"/>
        <v>1</v>
      </c>
      <c r="Q1007" s="47" t="str">
        <f t="shared" si="472"/>
        <v>08:24:34</v>
      </c>
      <c r="R1007" s="48" t="str">
        <f t="shared" si="473"/>
        <v>24:34</v>
      </c>
      <c r="S1007" s="49">
        <f t="shared" si="466"/>
        <v>239</v>
      </c>
      <c r="T1007" s="48" t="str">
        <f t="shared" si="474"/>
        <v>08</v>
      </c>
      <c r="U1007" s="50">
        <v>28</v>
      </c>
      <c r="V1007" s="51">
        <v>33</v>
      </c>
      <c r="W1007" s="52" t="str">
        <f t="shared" si="475"/>
        <v>28:33</v>
      </c>
      <c r="X1007" s="53" t="s">
        <v>69</v>
      </c>
      <c r="Y1007" s="97" t="s">
        <v>81</v>
      </c>
      <c r="Z1007" s="97"/>
      <c r="AA1007" s="48" t="s">
        <v>63</v>
      </c>
      <c r="AB1007" s="48" t="str">
        <f t="shared" si="476"/>
        <v>NA</v>
      </c>
      <c r="AC1007" s="54">
        <f t="shared" si="477"/>
        <v>0</v>
      </c>
      <c r="AD1007" s="55">
        <v>4</v>
      </c>
      <c r="AE1007" s="55"/>
      <c r="AF1007" s="55"/>
      <c r="AG1007" s="56">
        <v>1</v>
      </c>
      <c r="AH1007" s="57">
        <v>188</v>
      </c>
      <c r="AI1007" s="56">
        <v>1</v>
      </c>
      <c r="AJ1007" s="57">
        <v>5</v>
      </c>
      <c r="AK1007" s="56">
        <v>1</v>
      </c>
      <c r="AL1007" s="57">
        <v>46</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v>1</v>
      </c>
      <c r="AZ1007" s="62">
        <f t="shared" si="488"/>
        <v>4</v>
      </c>
      <c r="BA1007" s="61">
        <f t="shared" si="489"/>
        <v>0</v>
      </c>
      <c r="BB1007" s="62" t="str">
        <f t="shared" si="490"/>
        <v/>
      </c>
    </row>
    <row r="1008" spans="1:54" s="3" customFormat="1" hidden="1" x14ac:dyDescent="0.35">
      <c r="A1008" s="73">
        <f t="shared" si="467"/>
        <v>2019</v>
      </c>
      <c r="B1008" s="73" t="str">
        <f t="shared" si="468"/>
        <v>Nov</v>
      </c>
      <c r="C1008" s="74">
        <f t="shared" si="491"/>
        <v>17</v>
      </c>
      <c r="D1008" s="75">
        <f t="shared" si="469"/>
        <v>8</v>
      </c>
      <c r="E1008" s="76">
        <v>24</v>
      </c>
      <c r="F1008" s="80">
        <v>44</v>
      </c>
      <c r="G1008" s="83"/>
      <c r="H1008" s="69" t="str">
        <f t="shared" si="492"/>
        <v>Senbur6_20191117_08_00</v>
      </c>
      <c r="I1008" s="70">
        <f t="shared" si="495"/>
        <v>1</v>
      </c>
      <c r="J1008" s="77" t="str">
        <f t="shared" si="495"/>
        <v>Senecio</v>
      </c>
      <c r="K1008" s="77" t="str">
        <f t="shared" si="495"/>
        <v>burtoni</v>
      </c>
      <c r="L1008" s="78">
        <f t="shared" si="495"/>
        <v>6</v>
      </c>
      <c r="M1008" s="78">
        <f t="shared" si="495"/>
        <v>12</v>
      </c>
      <c r="N1008" s="72">
        <f t="shared" si="495"/>
        <v>0</v>
      </c>
      <c r="O1008" s="45"/>
      <c r="P1008" s="46">
        <f t="shared" si="471"/>
        <v>1</v>
      </c>
      <c r="Q1008" s="47" t="str">
        <f t="shared" si="472"/>
        <v>08:24:44</v>
      </c>
      <c r="R1008" s="48" t="str">
        <f t="shared" si="473"/>
        <v>24:44</v>
      </c>
      <c r="S1008" s="49">
        <f t="shared" si="466"/>
        <v>303</v>
      </c>
      <c r="T1008" s="48" t="str">
        <f t="shared" si="474"/>
        <v>08</v>
      </c>
      <c r="U1008" s="50">
        <v>29</v>
      </c>
      <c r="V1008" s="51">
        <v>47</v>
      </c>
      <c r="W1008" s="52" t="str">
        <f t="shared" si="475"/>
        <v>29:47</v>
      </c>
      <c r="X1008" s="53" t="s">
        <v>61</v>
      </c>
      <c r="Y1008" s="97" t="s">
        <v>84</v>
      </c>
      <c r="Z1008" s="97" t="s">
        <v>80</v>
      </c>
      <c r="AA1008" s="48" t="s">
        <v>60</v>
      </c>
      <c r="AB1008" s="48" t="str">
        <f t="shared" si="476"/>
        <v>NA</v>
      </c>
      <c r="AC1008" s="54">
        <f t="shared" si="477"/>
        <v>0</v>
      </c>
      <c r="AD1008" s="55">
        <v>6</v>
      </c>
      <c r="AE1008" s="55"/>
      <c r="AF1008" s="55"/>
      <c r="AG1008" s="56">
        <v>1</v>
      </c>
      <c r="AH1008" s="57">
        <v>17</v>
      </c>
      <c r="AI1008" s="56">
        <v>1</v>
      </c>
      <c r="AJ1008" s="57">
        <v>5</v>
      </c>
      <c r="AK1008" s="56">
        <v>1</v>
      </c>
      <c r="AL1008" s="57">
        <v>281</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v>1</v>
      </c>
      <c r="AZ1008" s="62">
        <f t="shared" si="488"/>
        <v>6</v>
      </c>
      <c r="BA1008" s="61">
        <f t="shared" si="489"/>
        <v>0</v>
      </c>
      <c r="BB1008" s="62" t="str">
        <f t="shared" si="490"/>
        <v/>
      </c>
    </row>
    <row r="1009" spans="1:54" s="3" customFormat="1" hidden="1" x14ac:dyDescent="0.35">
      <c r="A1009" s="73">
        <f t="shared" si="467"/>
        <v>2019</v>
      </c>
      <c r="B1009" s="73" t="str">
        <f t="shared" si="468"/>
        <v>Nov</v>
      </c>
      <c r="C1009" s="74">
        <f t="shared" si="491"/>
        <v>17</v>
      </c>
      <c r="D1009" s="75">
        <f t="shared" si="469"/>
        <v>8</v>
      </c>
      <c r="E1009" s="76">
        <f t="shared" si="470"/>
        <v>25</v>
      </c>
      <c r="F1009" s="80">
        <v>25</v>
      </c>
      <c r="G1009" s="83"/>
      <c r="H1009" s="69" t="str">
        <f t="shared" si="492"/>
        <v>Senbur6_20191117_08_00</v>
      </c>
      <c r="I1009" s="70">
        <f t="shared" si="495"/>
        <v>1</v>
      </c>
      <c r="J1009" s="77" t="str">
        <f t="shared" si="495"/>
        <v>Senecio</v>
      </c>
      <c r="K1009" s="77" t="str">
        <f t="shared" si="495"/>
        <v>burtoni</v>
      </c>
      <c r="L1009" s="78">
        <f t="shared" si="495"/>
        <v>6</v>
      </c>
      <c r="M1009" s="78">
        <f t="shared" si="495"/>
        <v>12</v>
      </c>
      <c r="N1009" s="72">
        <f t="shared" si="495"/>
        <v>0</v>
      </c>
      <c r="O1009" s="45"/>
      <c r="P1009" s="46">
        <f t="shared" si="471"/>
        <v>1</v>
      </c>
      <c r="Q1009" s="47" t="str">
        <f t="shared" si="472"/>
        <v>08:25:25</v>
      </c>
      <c r="R1009" s="48" t="str">
        <f t="shared" si="473"/>
        <v>25:25</v>
      </c>
      <c r="S1009" s="49">
        <f t="shared" si="466"/>
        <v>39</v>
      </c>
      <c r="T1009" s="48" t="str">
        <f t="shared" si="474"/>
        <v>08</v>
      </c>
      <c r="U1009" s="50">
        <v>26</v>
      </c>
      <c r="V1009" s="51">
        <v>4</v>
      </c>
      <c r="W1009" s="52" t="str">
        <f t="shared" si="475"/>
        <v>26:04</v>
      </c>
      <c r="X1009" s="53" t="s">
        <v>61</v>
      </c>
      <c r="Y1009" s="97" t="s">
        <v>78</v>
      </c>
      <c r="Z1009" s="97"/>
      <c r="AA1009" s="48" t="s">
        <v>60</v>
      </c>
      <c r="AB1009" s="48" t="str">
        <f t="shared" si="476"/>
        <v>NA</v>
      </c>
      <c r="AC1009" s="54">
        <f t="shared" si="477"/>
        <v>0</v>
      </c>
      <c r="AD1009" s="55">
        <v>5</v>
      </c>
      <c r="AE1009" s="55"/>
      <c r="AF1009" s="55"/>
      <c r="AG1009" s="56">
        <v>1</v>
      </c>
      <c r="AH1009" s="57">
        <v>26</v>
      </c>
      <c r="AI1009" s="56">
        <v>1</v>
      </c>
      <c r="AJ1009" s="57">
        <v>3</v>
      </c>
      <c r="AK1009" s="56">
        <v>1</v>
      </c>
      <c r="AL1009" s="57">
        <v>10</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v>1</v>
      </c>
      <c r="AZ1009" s="62">
        <v>2</v>
      </c>
      <c r="BA1009" s="61">
        <f t="shared" si="489"/>
        <v>0</v>
      </c>
      <c r="BB1009" s="62" t="str">
        <f t="shared" si="490"/>
        <v/>
      </c>
    </row>
    <row r="1010" spans="1:54" s="3" customFormat="1" hidden="1" x14ac:dyDescent="0.35">
      <c r="A1010" s="73">
        <f t="shared" si="467"/>
        <v>2019</v>
      </c>
      <c r="B1010" s="73" t="str">
        <f t="shared" si="468"/>
        <v>Nov</v>
      </c>
      <c r="C1010" s="74">
        <f t="shared" si="491"/>
        <v>17</v>
      </c>
      <c r="D1010" s="75">
        <f t="shared" si="469"/>
        <v>8</v>
      </c>
      <c r="E1010" s="76">
        <v>25</v>
      </c>
      <c r="F1010" s="80">
        <v>53</v>
      </c>
      <c r="G1010" s="83"/>
      <c r="H1010" s="69" t="str">
        <f t="shared" si="492"/>
        <v>Senbur6_20191117_08_00</v>
      </c>
      <c r="I1010" s="70">
        <f t="shared" si="495"/>
        <v>1</v>
      </c>
      <c r="J1010" s="77" t="str">
        <f t="shared" si="495"/>
        <v>Senecio</v>
      </c>
      <c r="K1010" s="77" t="str">
        <f t="shared" si="495"/>
        <v>burtoni</v>
      </c>
      <c r="L1010" s="78">
        <f t="shared" si="495"/>
        <v>6</v>
      </c>
      <c r="M1010" s="78">
        <f t="shared" si="495"/>
        <v>12</v>
      </c>
      <c r="N1010" s="72">
        <f t="shared" si="495"/>
        <v>0</v>
      </c>
      <c r="O1010" s="45"/>
      <c r="P1010" s="46">
        <f t="shared" si="471"/>
        <v>1</v>
      </c>
      <c r="Q1010" s="47" t="str">
        <f t="shared" si="472"/>
        <v>08:25:53</v>
      </c>
      <c r="R1010" s="48" t="str">
        <f t="shared" si="473"/>
        <v>25:53</v>
      </c>
      <c r="S1010" s="49">
        <f t="shared" si="466"/>
        <v>10</v>
      </c>
      <c r="T1010" s="48" t="str">
        <f t="shared" si="474"/>
        <v>08</v>
      </c>
      <c r="U1010" s="50">
        <v>26</v>
      </c>
      <c r="V1010" s="51">
        <v>3</v>
      </c>
      <c r="W1010" s="52" t="str">
        <f t="shared" si="475"/>
        <v>26:03</v>
      </c>
      <c r="X1010" s="53" t="s">
        <v>61</v>
      </c>
      <c r="Y1010" s="97" t="s">
        <v>78</v>
      </c>
      <c r="Z1010" s="97"/>
      <c r="AA1010" s="48" t="s">
        <v>60</v>
      </c>
      <c r="AB1010" s="48" t="str">
        <f t="shared" si="476"/>
        <v>NA</v>
      </c>
      <c r="AC1010" s="54">
        <f t="shared" si="477"/>
        <v>0</v>
      </c>
      <c r="AD1010" s="55">
        <f t="shared" si="478"/>
        <v>1</v>
      </c>
      <c r="AE1010" s="55"/>
      <c r="AF1010" s="55"/>
      <c r="AG1010" s="56">
        <v>1</v>
      </c>
      <c r="AH1010" s="57">
        <v>2</v>
      </c>
      <c r="AI1010" s="56"/>
      <c r="AJ1010" s="57" t="str">
        <f t="shared" si="481"/>
        <v/>
      </c>
      <c r="AK1010" s="56">
        <v>1</v>
      </c>
      <c r="AL1010" s="57">
        <v>8</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v>1</v>
      </c>
      <c r="AZ1010" s="62">
        <f t="shared" si="488"/>
        <v>1</v>
      </c>
      <c r="BA1010" s="61">
        <f t="shared" si="489"/>
        <v>0</v>
      </c>
      <c r="BB1010" s="62" t="str">
        <f t="shared" si="490"/>
        <v/>
      </c>
    </row>
    <row r="1011" spans="1:54" s="3" customFormat="1" hidden="1" x14ac:dyDescent="0.35">
      <c r="A1011" s="73">
        <f t="shared" si="467"/>
        <v>2019</v>
      </c>
      <c r="B1011" s="73" t="str">
        <f t="shared" si="468"/>
        <v>Nov</v>
      </c>
      <c r="C1011" s="74">
        <f t="shared" si="491"/>
        <v>17</v>
      </c>
      <c r="D1011" s="75">
        <f t="shared" si="469"/>
        <v>8</v>
      </c>
      <c r="E1011" s="76">
        <f t="shared" si="470"/>
        <v>26</v>
      </c>
      <c r="F1011" s="80"/>
      <c r="G1011" s="83"/>
      <c r="H1011" s="69" t="str">
        <f t="shared" si="492"/>
        <v>Senbur6_20191117_08_00</v>
      </c>
      <c r="I1011" s="70">
        <f t="shared" si="495"/>
        <v>1</v>
      </c>
      <c r="J1011" s="77" t="str">
        <f t="shared" si="495"/>
        <v>Senecio</v>
      </c>
      <c r="K1011" s="77" t="str">
        <f t="shared" si="495"/>
        <v>burtoni</v>
      </c>
      <c r="L1011" s="78">
        <f t="shared" si="495"/>
        <v>6</v>
      </c>
      <c r="M1011" s="78">
        <f t="shared" si="495"/>
        <v>12</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INDEX([1]!VISITORS[INSECT ORDER], MATCH(X1011,[1]!VISITORS[NAME USED],0))</f>
        <v>#REF!</v>
      </c>
      <c r="AB1011" s="48" t="e">
        <f t="shared" si="476"/>
        <v>#REF!</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17</v>
      </c>
      <c r="D1012" s="75">
        <f t="shared" si="469"/>
        <v>8</v>
      </c>
      <c r="E1012" s="76">
        <f t="shared" si="470"/>
        <v>27</v>
      </c>
      <c r="F1012" s="80">
        <v>19</v>
      </c>
      <c r="G1012" s="83"/>
      <c r="H1012" s="69" t="str">
        <f t="shared" si="492"/>
        <v>Senbur6_20191117_08_00</v>
      </c>
      <c r="I1012" s="70">
        <f t="shared" si="495"/>
        <v>1</v>
      </c>
      <c r="J1012" s="77" t="str">
        <f t="shared" si="495"/>
        <v>Senecio</v>
      </c>
      <c r="K1012" s="77" t="str">
        <f t="shared" si="495"/>
        <v>burtoni</v>
      </c>
      <c r="L1012" s="78">
        <f t="shared" si="495"/>
        <v>6</v>
      </c>
      <c r="M1012" s="78">
        <f t="shared" si="495"/>
        <v>12</v>
      </c>
      <c r="N1012" s="72">
        <f t="shared" si="495"/>
        <v>0</v>
      </c>
      <c r="O1012" s="45"/>
      <c r="P1012" s="46">
        <f t="shared" si="471"/>
        <v>1</v>
      </c>
      <c r="Q1012" s="47" t="str">
        <f t="shared" si="472"/>
        <v>08:27:19</v>
      </c>
      <c r="R1012" s="48" t="str">
        <f t="shared" si="473"/>
        <v>27:19</v>
      </c>
      <c r="S1012" s="49">
        <f t="shared" si="466"/>
        <v>23</v>
      </c>
      <c r="T1012" s="48" t="str">
        <f t="shared" si="474"/>
        <v>08</v>
      </c>
      <c r="U1012" s="50">
        <v>27</v>
      </c>
      <c r="V1012" s="51">
        <v>42</v>
      </c>
      <c r="W1012" s="52" t="str">
        <f t="shared" si="475"/>
        <v>27:42</v>
      </c>
      <c r="X1012" s="53" t="s">
        <v>69</v>
      </c>
      <c r="Y1012" s="97" t="s">
        <v>81</v>
      </c>
      <c r="Z1012" s="97"/>
      <c r="AA1012" s="48" t="s">
        <v>63</v>
      </c>
      <c r="AB1012" s="48" t="str">
        <f t="shared" si="476"/>
        <v>NA</v>
      </c>
      <c r="AC1012" s="54">
        <f t="shared" si="477"/>
        <v>0</v>
      </c>
      <c r="AD1012" s="55">
        <v>3</v>
      </c>
      <c r="AE1012" s="55"/>
      <c r="AF1012" s="55"/>
      <c r="AG1012" s="56">
        <v>1</v>
      </c>
      <c r="AH1012" s="57">
        <v>12</v>
      </c>
      <c r="AI1012" s="56">
        <v>1</v>
      </c>
      <c r="AJ1012" s="57">
        <v>1</v>
      </c>
      <c r="AK1012" s="56">
        <v>1</v>
      </c>
      <c r="AL1012" s="57">
        <v>10</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v>1</v>
      </c>
      <c r="AZ1012" s="62">
        <f t="shared" si="488"/>
        <v>3</v>
      </c>
      <c r="BA1012" s="61">
        <f t="shared" si="489"/>
        <v>0</v>
      </c>
      <c r="BB1012" s="62" t="str">
        <f t="shared" si="490"/>
        <v/>
      </c>
    </row>
    <row r="1013" spans="1:54" s="3" customFormat="1" hidden="1" x14ac:dyDescent="0.35">
      <c r="A1013" s="73">
        <f t="shared" si="467"/>
        <v>2019</v>
      </c>
      <c r="B1013" s="73" t="str">
        <f t="shared" si="468"/>
        <v>Nov</v>
      </c>
      <c r="C1013" s="74">
        <f t="shared" si="491"/>
        <v>17</v>
      </c>
      <c r="D1013" s="75">
        <f t="shared" si="469"/>
        <v>8</v>
      </c>
      <c r="E1013" s="76">
        <v>27</v>
      </c>
      <c r="F1013" s="80">
        <v>21</v>
      </c>
      <c r="G1013" s="83"/>
      <c r="H1013" s="69" t="str">
        <f t="shared" si="492"/>
        <v>Senbur6_20191117_08_00</v>
      </c>
      <c r="I1013" s="70">
        <f t="shared" ref="I1013:N1028" si="496">I1012</f>
        <v>1</v>
      </c>
      <c r="J1013" s="77" t="str">
        <f t="shared" si="496"/>
        <v>Senecio</v>
      </c>
      <c r="K1013" s="77" t="str">
        <f t="shared" si="496"/>
        <v>burtoni</v>
      </c>
      <c r="L1013" s="78">
        <f t="shared" si="496"/>
        <v>6</v>
      </c>
      <c r="M1013" s="78">
        <f t="shared" si="496"/>
        <v>12</v>
      </c>
      <c r="N1013" s="72">
        <f t="shared" si="496"/>
        <v>0</v>
      </c>
      <c r="O1013" s="45"/>
      <c r="P1013" s="46">
        <f t="shared" si="471"/>
        <v>1</v>
      </c>
      <c r="Q1013" s="47" t="str">
        <f t="shared" si="472"/>
        <v>08:27:21</v>
      </c>
      <c r="R1013" s="48" t="str">
        <f t="shared" si="473"/>
        <v>27:21</v>
      </c>
      <c r="S1013" s="49">
        <f t="shared" si="466"/>
        <v>14</v>
      </c>
      <c r="T1013" s="48" t="str">
        <f t="shared" si="474"/>
        <v>08</v>
      </c>
      <c r="U1013" s="50">
        <v>27</v>
      </c>
      <c r="V1013" s="51">
        <v>35</v>
      </c>
      <c r="W1013" s="52" t="str">
        <f t="shared" si="475"/>
        <v>27:35</v>
      </c>
      <c r="X1013" s="53" t="s">
        <v>69</v>
      </c>
      <c r="Y1013" s="97" t="s">
        <v>81</v>
      </c>
      <c r="Z1013" s="97"/>
      <c r="AA1013" s="48" t="s">
        <v>63</v>
      </c>
      <c r="AB1013" s="48" t="str">
        <f t="shared" si="476"/>
        <v>NA</v>
      </c>
      <c r="AC1013" s="54">
        <f t="shared" si="477"/>
        <v>0</v>
      </c>
      <c r="AD1013" s="55">
        <f t="shared" si="478"/>
        <v>1</v>
      </c>
      <c r="AE1013" s="55"/>
      <c r="AF1013" s="55"/>
      <c r="AG1013" s="56" t="str">
        <f t="shared" si="479"/>
        <v/>
      </c>
      <c r="AH1013" s="57" t="str">
        <f t="shared" si="480"/>
        <v/>
      </c>
      <c r="AI1013" s="56"/>
      <c r="AJ1013" s="57" t="str">
        <f t="shared" si="481"/>
        <v/>
      </c>
      <c r="AK1013" s="56">
        <v>1</v>
      </c>
      <c r="AL1013" s="57">
        <f t="shared" si="482"/>
        <v>14</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v>1</v>
      </c>
      <c r="AZ1013" s="62">
        <f t="shared" si="488"/>
        <v>1</v>
      </c>
      <c r="BA1013" s="61">
        <f t="shared" si="489"/>
        <v>0</v>
      </c>
      <c r="BB1013" s="62" t="str">
        <f t="shared" si="490"/>
        <v/>
      </c>
    </row>
    <row r="1014" spans="1:54" s="3" customFormat="1" hidden="1" x14ac:dyDescent="0.35">
      <c r="A1014" s="73">
        <f t="shared" si="467"/>
        <v>2019</v>
      </c>
      <c r="B1014" s="73" t="str">
        <f t="shared" si="468"/>
        <v>Nov</v>
      </c>
      <c r="C1014" s="74">
        <f t="shared" si="491"/>
        <v>17</v>
      </c>
      <c r="D1014" s="75">
        <f t="shared" si="469"/>
        <v>8</v>
      </c>
      <c r="E1014" s="76">
        <v>27</v>
      </c>
      <c r="F1014" s="80">
        <v>34</v>
      </c>
      <c r="G1014" s="83"/>
      <c r="H1014" s="69" t="str">
        <f t="shared" si="492"/>
        <v>Senbur6_20191117_08_00</v>
      </c>
      <c r="I1014" s="70">
        <f t="shared" si="496"/>
        <v>1</v>
      </c>
      <c r="J1014" s="77" t="str">
        <f t="shared" si="496"/>
        <v>Senecio</v>
      </c>
      <c r="K1014" s="77" t="str">
        <f t="shared" si="496"/>
        <v>burtoni</v>
      </c>
      <c r="L1014" s="78">
        <f t="shared" si="496"/>
        <v>6</v>
      </c>
      <c r="M1014" s="78">
        <f t="shared" si="496"/>
        <v>12</v>
      </c>
      <c r="N1014" s="72">
        <f t="shared" si="496"/>
        <v>0</v>
      </c>
      <c r="O1014" s="45"/>
      <c r="P1014" s="46">
        <f t="shared" si="471"/>
        <v>1</v>
      </c>
      <c r="Q1014" s="47" t="str">
        <f t="shared" si="472"/>
        <v>08:27:34</v>
      </c>
      <c r="R1014" s="48" t="str">
        <f t="shared" si="473"/>
        <v>27:34</v>
      </c>
      <c r="S1014" s="49">
        <f t="shared" si="466"/>
        <v>14</v>
      </c>
      <c r="T1014" s="48" t="str">
        <f t="shared" si="474"/>
        <v>08</v>
      </c>
      <c r="U1014" s="50">
        <v>27</v>
      </c>
      <c r="V1014" s="51">
        <v>48</v>
      </c>
      <c r="W1014" s="52" t="str">
        <f t="shared" si="475"/>
        <v>27:48</v>
      </c>
      <c r="X1014" s="53" t="s">
        <v>61</v>
      </c>
      <c r="Y1014" s="97" t="s">
        <v>96</v>
      </c>
      <c r="Z1014" s="97" t="s">
        <v>80</v>
      </c>
      <c r="AA1014" s="48" t="s">
        <v>63</v>
      </c>
      <c r="AB1014" s="48" t="str">
        <f t="shared" si="476"/>
        <v>NA</v>
      </c>
      <c r="AC1014" s="54">
        <f t="shared" si="477"/>
        <v>0</v>
      </c>
      <c r="AD1014" s="55">
        <v>3</v>
      </c>
      <c r="AE1014" s="55"/>
      <c r="AF1014" s="55"/>
      <c r="AG1014" s="56">
        <v>1</v>
      </c>
      <c r="AH1014" s="57">
        <v>10</v>
      </c>
      <c r="AI1014" s="56">
        <v>1</v>
      </c>
      <c r="AJ1014" s="57">
        <v>2</v>
      </c>
      <c r="AK1014" s="56">
        <v>1</v>
      </c>
      <c r="AL1014" s="57">
        <v>2</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v>1</v>
      </c>
      <c r="AZ1014" s="62">
        <v>1</v>
      </c>
      <c r="BA1014" s="61">
        <f t="shared" si="489"/>
        <v>0</v>
      </c>
      <c r="BB1014" s="62" t="str">
        <f t="shared" si="490"/>
        <v/>
      </c>
    </row>
    <row r="1015" spans="1:54" s="3" customFormat="1" hidden="1" x14ac:dyDescent="0.35">
      <c r="A1015" s="73">
        <f t="shared" si="467"/>
        <v>2019</v>
      </c>
      <c r="B1015" s="73" t="str">
        <f t="shared" si="468"/>
        <v>Nov</v>
      </c>
      <c r="C1015" s="74">
        <f t="shared" si="491"/>
        <v>17</v>
      </c>
      <c r="D1015" s="75">
        <f t="shared" si="469"/>
        <v>8</v>
      </c>
      <c r="E1015" s="76">
        <v>27</v>
      </c>
      <c r="F1015" s="80"/>
      <c r="G1015" s="83"/>
      <c r="H1015" s="69" t="str">
        <f t="shared" si="492"/>
        <v>Senbur6_20191117_08_00</v>
      </c>
      <c r="I1015" s="70">
        <f t="shared" si="496"/>
        <v>1</v>
      </c>
      <c r="J1015" s="77" t="str">
        <f t="shared" si="496"/>
        <v>Senecio</v>
      </c>
      <c r="K1015" s="77" t="str">
        <f t="shared" si="496"/>
        <v>burtoni</v>
      </c>
      <c r="L1015" s="78">
        <f t="shared" si="496"/>
        <v>6</v>
      </c>
      <c r="M1015" s="78">
        <f t="shared" si="496"/>
        <v>12</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INDEX([1]!VISITORS[INSECT ORDER], MATCH(X1015,[1]!VISITORS[NAME USED],0))</f>
        <v>#REF!</v>
      </c>
      <c r="AB1015" s="48" t="e">
        <f t="shared" si="476"/>
        <v>#REF!</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17</v>
      </c>
      <c r="D1016" s="75">
        <f t="shared" si="469"/>
        <v>8</v>
      </c>
      <c r="E1016" s="76">
        <f t="shared" si="470"/>
        <v>28</v>
      </c>
      <c r="F1016" s="80">
        <v>31</v>
      </c>
      <c r="G1016" s="83"/>
      <c r="H1016" s="69" t="str">
        <f t="shared" si="492"/>
        <v>Senbur6_20191117_08_00</v>
      </c>
      <c r="I1016" s="70">
        <f t="shared" si="496"/>
        <v>1</v>
      </c>
      <c r="J1016" s="77" t="str">
        <f t="shared" si="496"/>
        <v>Senecio</v>
      </c>
      <c r="K1016" s="77" t="str">
        <f t="shared" si="496"/>
        <v>burtoni</v>
      </c>
      <c r="L1016" s="78">
        <f t="shared" si="496"/>
        <v>6</v>
      </c>
      <c r="M1016" s="78">
        <f t="shared" si="496"/>
        <v>12</v>
      </c>
      <c r="N1016" s="72">
        <f t="shared" si="496"/>
        <v>0</v>
      </c>
      <c r="O1016" s="45"/>
      <c r="P1016" s="46">
        <f t="shared" si="471"/>
        <v>1</v>
      </c>
      <c r="Q1016" s="47" t="str">
        <f t="shared" si="472"/>
        <v>08:28:31</v>
      </c>
      <c r="R1016" s="48" t="str">
        <f t="shared" si="473"/>
        <v>28:31</v>
      </c>
      <c r="S1016" s="49">
        <f t="shared" si="466"/>
        <v>10</v>
      </c>
      <c r="T1016" s="48" t="str">
        <f t="shared" si="474"/>
        <v>08</v>
      </c>
      <c r="U1016" s="50">
        <v>28</v>
      </c>
      <c r="V1016" s="51">
        <v>41</v>
      </c>
      <c r="W1016" s="52" t="str">
        <f t="shared" si="475"/>
        <v>28:41</v>
      </c>
      <c r="X1016" s="53" t="s">
        <v>61</v>
      </c>
      <c r="Y1016" s="97" t="s">
        <v>79</v>
      </c>
      <c r="Z1016" s="97" t="s">
        <v>80</v>
      </c>
      <c r="AA1016" s="48" t="s">
        <v>60</v>
      </c>
      <c r="AB1016" s="48" t="str">
        <f t="shared" si="476"/>
        <v>NA</v>
      </c>
      <c r="AC1016" s="54">
        <f t="shared" si="477"/>
        <v>0</v>
      </c>
      <c r="AD1016" s="55">
        <f t="shared" si="478"/>
        <v>1</v>
      </c>
      <c r="AE1016" s="55"/>
      <c r="AF1016" s="55"/>
      <c r="AG1016" s="56">
        <v>1</v>
      </c>
      <c r="AH1016" s="57">
        <f t="shared" si="480"/>
        <v>10</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f t="shared" si="487"/>
        <v>0</v>
      </c>
      <c r="AZ1016" s="62" t="str">
        <f t="shared" si="488"/>
        <v/>
      </c>
      <c r="BA1016" s="61">
        <f t="shared" si="489"/>
        <v>0</v>
      </c>
      <c r="BB1016" s="62" t="str">
        <f t="shared" si="490"/>
        <v/>
      </c>
    </row>
    <row r="1017" spans="1:54" s="3" customFormat="1" hidden="1" x14ac:dyDescent="0.35">
      <c r="A1017" s="73">
        <f t="shared" si="467"/>
        <v>2019</v>
      </c>
      <c r="B1017" s="73" t="str">
        <f t="shared" si="468"/>
        <v>Nov</v>
      </c>
      <c r="C1017" s="74">
        <f t="shared" si="491"/>
        <v>17</v>
      </c>
      <c r="D1017" s="75">
        <f t="shared" si="469"/>
        <v>8</v>
      </c>
      <c r="E1017" s="76">
        <f t="shared" si="470"/>
        <v>29</v>
      </c>
      <c r="F1017" s="80">
        <v>51</v>
      </c>
      <c r="G1017" s="83"/>
      <c r="H1017" s="69" t="str">
        <f t="shared" si="492"/>
        <v>Senbur6_20191117_08_00</v>
      </c>
      <c r="I1017" s="70">
        <f t="shared" si="496"/>
        <v>1</v>
      </c>
      <c r="J1017" s="77" t="str">
        <f t="shared" si="496"/>
        <v>Senecio</v>
      </c>
      <c r="K1017" s="77" t="str">
        <f t="shared" si="496"/>
        <v>burtoni</v>
      </c>
      <c r="L1017" s="78">
        <f t="shared" si="496"/>
        <v>6</v>
      </c>
      <c r="M1017" s="78">
        <f t="shared" si="496"/>
        <v>12</v>
      </c>
      <c r="N1017" s="72">
        <f t="shared" si="496"/>
        <v>0</v>
      </c>
      <c r="O1017" s="45"/>
      <c r="P1017" s="46">
        <f t="shared" si="471"/>
        <v>1</v>
      </c>
      <c r="Q1017" s="47" t="str">
        <f t="shared" si="472"/>
        <v>08:29:51</v>
      </c>
      <c r="R1017" s="48" t="str">
        <f t="shared" si="473"/>
        <v>29:51</v>
      </c>
      <c r="S1017" s="49">
        <f t="shared" si="466"/>
        <v>36</v>
      </c>
      <c r="T1017" s="48" t="str">
        <f t="shared" si="474"/>
        <v>08</v>
      </c>
      <c r="U1017" s="50">
        <v>30</v>
      </c>
      <c r="V1017" s="51">
        <v>27</v>
      </c>
      <c r="W1017" s="52" t="str">
        <f t="shared" si="475"/>
        <v>30:27</v>
      </c>
      <c r="X1017" s="53" t="s">
        <v>61</v>
      </c>
      <c r="Y1017" s="97" t="s">
        <v>78</v>
      </c>
      <c r="Z1017" s="97"/>
      <c r="AA1017" s="48" t="s">
        <v>60</v>
      </c>
      <c r="AB1017" s="48" t="str">
        <f t="shared" si="476"/>
        <v>NA</v>
      </c>
      <c r="AC1017" s="54">
        <f t="shared" si="477"/>
        <v>0</v>
      </c>
      <c r="AD1017" s="55">
        <v>2</v>
      </c>
      <c r="AE1017" s="55"/>
      <c r="AF1017" s="55"/>
      <c r="AG1017" s="56">
        <v>1</v>
      </c>
      <c r="AH1017" s="57">
        <v>8</v>
      </c>
      <c r="AI1017" s="56">
        <v>1</v>
      </c>
      <c r="AJ1017" s="57">
        <v>1</v>
      </c>
      <c r="AK1017" s="56">
        <v>1</v>
      </c>
      <c r="AL1017" s="57">
        <v>27</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v>1</v>
      </c>
      <c r="AZ1017" s="62">
        <f t="shared" si="488"/>
        <v>2</v>
      </c>
      <c r="BA1017" s="61">
        <f t="shared" si="489"/>
        <v>0</v>
      </c>
      <c r="BB1017" s="62" t="str">
        <f t="shared" si="490"/>
        <v/>
      </c>
    </row>
    <row r="1018" spans="1:54" s="3" customFormat="1" hidden="1" x14ac:dyDescent="0.35">
      <c r="A1018" s="73">
        <f t="shared" si="467"/>
        <v>2019</v>
      </c>
      <c r="B1018" s="73" t="str">
        <f t="shared" si="468"/>
        <v>Nov</v>
      </c>
      <c r="C1018" s="74">
        <f t="shared" si="491"/>
        <v>17</v>
      </c>
      <c r="D1018" s="75">
        <f t="shared" si="469"/>
        <v>8</v>
      </c>
      <c r="E1018" s="76">
        <v>29</v>
      </c>
      <c r="F1018" s="80">
        <v>59</v>
      </c>
      <c r="G1018" s="83"/>
      <c r="H1018" s="69" t="str">
        <f t="shared" si="492"/>
        <v>Senbur6_20191117_08_00</v>
      </c>
      <c r="I1018" s="70">
        <f t="shared" si="496"/>
        <v>1</v>
      </c>
      <c r="J1018" s="77" t="str">
        <f t="shared" si="496"/>
        <v>Senecio</v>
      </c>
      <c r="K1018" s="77" t="str">
        <f t="shared" si="496"/>
        <v>burtoni</v>
      </c>
      <c r="L1018" s="78">
        <f t="shared" si="496"/>
        <v>6</v>
      </c>
      <c r="M1018" s="78">
        <f t="shared" si="496"/>
        <v>12</v>
      </c>
      <c r="N1018" s="72">
        <f t="shared" si="496"/>
        <v>0</v>
      </c>
      <c r="O1018" s="45"/>
      <c r="P1018" s="46">
        <f t="shared" si="471"/>
        <v>1</v>
      </c>
      <c r="Q1018" s="47" t="str">
        <f t="shared" si="472"/>
        <v>08:29:59</v>
      </c>
      <c r="R1018" s="48" t="str">
        <f t="shared" si="473"/>
        <v>29:59</v>
      </c>
      <c r="S1018" s="49">
        <f t="shared" si="466"/>
        <v>18</v>
      </c>
      <c r="T1018" s="48" t="str">
        <f t="shared" si="474"/>
        <v>08</v>
      </c>
      <c r="U1018" s="50">
        <v>30</v>
      </c>
      <c r="V1018" s="51">
        <v>17</v>
      </c>
      <c r="W1018" s="52" t="str">
        <f t="shared" si="475"/>
        <v>30:17</v>
      </c>
      <c r="X1018" s="53" t="s">
        <v>61</v>
      </c>
      <c r="Y1018" s="97" t="s">
        <v>79</v>
      </c>
      <c r="Z1018" s="97" t="s">
        <v>80</v>
      </c>
      <c r="AA1018" s="48" t="s">
        <v>60</v>
      </c>
      <c r="AB1018" s="48" t="str">
        <f t="shared" si="476"/>
        <v>NA</v>
      </c>
      <c r="AC1018" s="54">
        <f t="shared" si="477"/>
        <v>0</v>
      </c>
      <c r="AD1018" s="55">
        <v>2</v>
      </c>
      <c r="AE1018" s="55"/>
      <c r="AF1018" s="55"/>
      <c r="AG1018" s="56">
        <v>1</v>
      </c>
      <c r="AH1018" s="57">
        <v>17</v>
      </c>
      <c r="AI1018" s="56">
        <v>1</v>
      </c>
      <c r="AJ1018" s="57">
        <v>1</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v>1</v>
      </c>
      <c r="AZ1018" s="62">
        <f t="shared" si="488"/>
        <v>2</v>
      </c>
      <c r="BA1018" s="61">
        <f t="shared" si="489"/>
        <v>0</v>
      </c>
      <c r="BB1018" s="62" t="str">
        <f t="shared" si="490"/>
        <v/>
      </c>
    </row>
    <row r="1019" spans="1:54" s="3" customFormat="1" hidden="1" x14ac:dyDescent="0.35">
      <c r="A1019" s="73">
        <f t="shared" si="467"/>
        <v>2019</v>
      </c>
      <c r="B1019" s="73" t="str">
        <f t="shared" si="468"/>
        <v>Nov</v>
      </c>
      <c r="C1019" s="74">
        <f t="shared" si="491"/>
        <v>17</v>
      </c>
      <c r="D1019" s="75">
        <f t="shared" si="469"/>
        <v>8</v>
      </c>
      <c r="E1019" s="76">
        <f t="shared" si="470"/>
        <v>30</v>
      </c>
      <c r="F1019" s="80">
        <v>12</v>
      </c>
      <c r="G1019" s="83"/>
      <c r="H1019" s="69" t="str">
        <f t="shared" si="492"/>
        <v>Senbur6_20191117_08_00</v>
      </c>
      <c r="I1019" s="70">
        <f t="shared" si="496"/>
        <v>1</v>
      </c>
      <c r="J1019" s="77" t="str">
        <f t="shared" si="496"/>
        <v>Senecio</v>
      </c>
      <c r="K1019" s="77" t="str">
        <f t="shared" si="496"/>
        <v>burtoni</v>
      </c>
      <c r="L1019" s="78">
        <f t="shared" si="496"/>
        <v>6</v>
      </c>
      <c r="M1019" s="78">
        <f t="shared" si="496"/>
        <v>12</v>
      </c>
      <c r="N1019" s="72">
        <f t="shared" si="496"/>
        <v>0</v>
      </c>
      <c r="O1019" s="45"/>
      <c r="P1019" s="46">
        <f t="shared" si="471"/>
        <v>1</v>
      </c>
      <c r="Q1019" s="47" t="str">
        <f t="shared" si="472"/>
        <v>08:30:12</v>
      </c>
      <c r="R1019" s="48" t="str">
        <f t="shared" si="473"/>
        <v>30:12</v>
      </c>
      <c r="S1019" s="49">
        <f t="shared" si="466"/>
        <v>44</v>
      </c>
      <c r="T1019" s="48" t="str">
        <f t="shared" si="474"/>
        <v>08</v>
      </c>
      <c r="U1019" s="50">
        <v>30</v>
      </c>
      <c r="V1019" s="51">
        <v>56</v>
      </c>
      <c r="W1019" s="52" t="str">
        <f t="shared" si="475"/>
        <v>30:56</v>
      </c>
      <c r="X1019" s="53" t="s">
        <v>59</v>
      </c>
      <c r="Y1019" s="97" t="s">
        <v>85</v>
      </c>
      <c r="Z1019" s="97"/>
      <c r="AA1019" s="48" t="s">
        <v>60</v>
      </c>
      <c r="AB1019" s="48" t="str">
        <f t="shared" si="476"/>
        <v>NA</v>
      </c>
      <c r="AC1019" s="54">
        <f t="shared" si="477"/>
        <v>0</v>
      </c>
      <c r="AD1019" s="55">
        <f t="shared" si="478"/>
        <v>1</v>
      </c>
      <c r="AE1019" s="55"/>
      <c r="AF1019" s="55"/>
      <c r="AG1019" s="56">
        <v>1</v>
      </c>
      <c r="AH1019" s="57">
        <f t="shared" si="480"/>
        <v>44</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v>1</v>
      </c>
      <c r="AZ1019" s="62">
        <f t="shared" si="488"/>
        <v>1</v>
      </c>
      <c r="BA1019" s="61">
        <f t="shared" si="489"/>
        <v>0</v>
      </c>
      <c r="BB1019" s="62" t="str">
        <f t="shared" si="490"/>
        <v/>
      </c>
    </row>
    <row r="1020" spans="1:54" s="3" customFormat="1" hidden="1" x14ac:dyDescent="0.35">
      <c r="A1020" s="73">
        <f t="shared" si="467"/>
        <v>2019</v>
      </c>
      <c r="B1020" s="73" t="str">
        <f t="shared" si="468"/>
        <v>Nov</v>
      </c>
      <c r="C1020" s="74">
        <f t="shared" si="491"/>
        <v>17</v>
      </c>
      <c r="D1020" s="75">
        <f t="shared" si="469"/>
        <v>8</v>
      </c>
      <c r="E1020" s="76">
        <v>30</v>
      </c>
      <c r="F1020" s="80">
        <v>29</v>
      </c>
      <c r="G1020" s="83"/>
      <c r="H1020" s="69" t="str">
        <f t="shared" si="492"/>
        <v>Senbur6_20191117_08_00</v>
      </c>
      <c r="I1020" s="70">
        <f t="shared" si="496"/>
        <v>1</v>
      </c>
      <c r="J1020" s="77" t="str">
        <f t="shared" si="496"/>
        <v>Senecio</v>
      </c>
      <c r="K1020" s="77" t="str">
        <f t="shared" si="496"/>
        <v>burtoni</v>
      </c>
      <c r="L1020" s="78">
        <f t="shared" si="496"/>
        <v>6</v>
      </c>
      <c r="M1020" s="78">
        <f t="shared" si="496"/>
        <v>12</v>
      </c>
      <c r="N1020" s="72">
        <f t="shared" si="496"/>
        <v>0</v>
      </c>
      <c r="O1020" s="45"/>
      <c r="P1020" s="46">
        <f t="shared" si="471"/>
        <v>1</v>
      </c>
      <c r="Q1020" s="47" t="str">
        <f t="shared" si="472"/>
        <v>08:30:29</v>
      </c>
      <c r="R1020" s="48" t="str">
        <f t="shared" si="473"/>
        <v>30:29</v>
      </c>
      <c r="S1020" s="49">
        <f t="shared" si="466"/>
        <v>24</v>
      </c>
      <c r="T1020" s="48" t="str">
        <f t="shared" si="474"/>
        <v>08</v>
      </c>
      <c r="U1020" s="50">
        <v>30</v>
      </c>
      <c r="V1020" s="51">
        <v>53</v>
      </c>
      <c r="W1020" s="52" t="str">
        <f t="shared" si="475"/>
        <v>30:53</v>
      </c>
      <c r="X1020" s="53" t="s">
        <v>61</v>
      </c>
      <c r="Y1020" s="97" t="s">
        <v>79</v>
      </c>
      <c r="Z1020" s="97" t="s">
        <v>80</v>
      </c>
      <c r="AA1020" s="48" t="s">
        <v>60</v>
      </c>
      <c r="AB1020" s="48" t="str">
        <f t="shared" si="476"/>
        <v>NA</v>
      </c>
      <c r="AC1020" s="54">
        <f t="shared" si="477"/>
        <v>0</v>
      </c>
      <c r="AD1020" s="55">
        <v>2</v>
      </c>
      <c r="AE1020" s="55"/>
      <c r="AF1020" s="55"/>
      <c r="AG1020" s="56">
        <v>1</v>
      </c>
      <c r="AH1020" s="57">
        <v>8</v>
      </c>
      <c r="AI1020" s="56"/>
      <c r="AJ1020" s="57" t="str">
        <f t="shared" si="481"/>
        <v/>
      </c>
      <c r="AK1020" s="56">
        <v>1</v>
      </c>
      <c r="AL1020" s="57">
        <v>16</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v>1</v>
      </c>
      <c r="AZ1020" s="62">
        <v>1</v>
      </c>
      <c r="BA1020" s="61">
        <f t="shared" si="489"/>
        <v>0</v>
      </c>
      <c r="BB1020" s="62" t="str">
        <f t="shared" si="490"/>
        <v/>
      </c>
    </row>
    <row r="1021" spans="1:54" s="3" customFormat="1" hidden="1" x14ac:dyDescent="0.35">
      <c r="A1021" s="73">
        <f t="shared" si="467"/>
        <v>2019</v>
      </c>
      <c r="B1021" s="73" t="str">
        <f t="shared" si="468"/>
        <v>Nov</v>
      </c>
      <c r="C1021" s="74">
        <f t="shared" si="491"/>
        <v>17</v>
      </c>
      <c r="D1021" s="75">
        <f t="shared" si="469"/>
        <v>8</v>
      </c>
      <c r="E1021" s="76">
        <v>30</v>
      </c>
      <c r="F1021" s="80">
        <v>30</v>
      </c>
      <c r="G1021" s="83"/>
      <c r="H1021" s="69" t="str">
        <f t="shared" si="492"/>
        <v>Senbur6_20191117_08_00</v>
      </c>
      <c r="I1021" s="70">
        <f t="shared" si="496"/>
        <v>1</v>
      </c>
      <c r="J1021" s="77" t="str">
        <f t="shared" si="496"/>
        <v>Senecio</v>
      </c>
      <c r="K1021" s="77" t="str">
        <f t="shared" si="496"/>
        <v>burtoni</v>
      </c>
      <c r="L1021" s="78">
        <f t="shared" si="496"/>
        <v>6</v>
      </c>
      <c r="M1021" s="78">
        <f t="shared" si="496"/>
        <v>12</v>
      </c>
      <c r="N1021" s="72">
        <f t="shared" si="496"/>
        <v>0</v>
      </c>
      <c r="O1021" s="45"/>
      <c r="P1021" s="46">
        <f t="shared" si="471"/>
        <v>1</v>
      </c>
      <c r="Q1021" s="47" t="str">
        <f t="shared" si="472"/>
        <v>08:30:30</v>
      </c>
      <c r="R1021" s="48" t="str">
        <f t="shared" si="473"/>
        <v>30:30</v>
      </c>
      <c r="S1021" s="49">
        <f t="shared" si="466"/>
        <v>11</v>
      </c>
      <c r="T1021" s="48" t="str">
        <f t="shared" si="474"/>
        <v>08</v>
      </c>
      <c r="U1021" s="50">
        <v>30</v>
      </c>
      <c r="V1021" s="51">
        <v>41</v>
      </c>
      <c r="W1021" s="52" t="str">
        <f t="shared" si="475"/>
        <v>30:41</v>
      </c>
      <c r="X1021" s="53" t="s">
        <v>61</v>
      </c>
      <c r="Y1021" s="97" t="s">
        <v>84</v>
      </c>
      <c r="Z1021" s="97" t="s">
        <v>80</v>
      </c>
      <c r="AA1021" s="48" t="s">
        <v>60</v>
      </c>
      <c r="AB1021" s="48" t="str">
        <f t="shared" si="476"/>
        <v>NA</v>
      </c>
      <c r="AC1021" s="54">
        <f t="shared" si="477"/>
        <v>0</v>
      </c>
      <c r="AD1021" s="55">
        <f t="shared" si="478"/>
        <v>1</v>
      </c>
      <c r="AE1021" s="55"/>
      <c r="AF1021" s="55"/>
      <c r="AG1021" s="56">
        <v>1</v>
      </c>
      <c r="AH1021" s="57">
        <v>5</v>
      </c>
      <c r="AI1021" s="56"/>
      <c r="AJ1021" s="57" t="str">
        <f t="shared" si="481"/>
        <v/>
      </c>
      <c r="AK1021" s="56">
        <v>1</v>
      </c>
      <c r="AL1021" s="57">
        <v>6</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v>1</v>
      </c>
      <c r="AZ1021" s="62">
        <f t="shared" si="488"/>
        <v>1</v>
      </c>
      <c r="BA1021" s="61">
        <f t="shared" si="489"/>
        <v>0</v>
      </c>
      <c r="BB1021" s="62" t="str">
        <f t="shared" si="490"/>
        <v/>
      </c>
    </row>
    <row r="1022" spans="1:54" s="3" customFormat="1" hidden="1" x14ac:dyDescent="0.35">
      <c r="A1022" s="73">
        <f t="shared" si="467"/>
        <v>2019</v>
      </c>
      <c r="B1022" s="73" t="str">
        <f t="shared" si="468"/>
        <v>Nov</v>
      </c>
      <c r="C1022" s="74">
        <f t="shared" si="491"/>
        <v>17</v>
      </c>
      <c r="D1022" s="75">
        <f t="shared" si="469"/>
        <v>8</v>
      </c>
      <c r="E1022" s="76">
        <v>30</v>
      </c>
      <c r="F1022" s="80"/>
      <c r="G1022" s="83"/>
      <c r="H1022" s="69" t="str">
        <f t="shared" si="492"/>
        <v>Senbur6_20191117_08_00</v>
      </c>
      <c r="I1022" s="70">
        <f t="shared" si="496"/>
        <v>1</v>
      </c>
      <c r="J1022" s="77" t="str">
        <f t="shared" si="496"/>
        <v>Senecio</v>
      </c>
      <c r="K1022" s="77" t="str">
        <f t="shared" si="496"/>
        <v>burtoni</v>
      </c>
      <c r="L1022" s="78">
        <f t="shared" si="496"/>
        <v>6</v>
      </c>
      <c r="M1022" s="78">
        <f t="shared" si="496"/>
        <v>12</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c r="AB1022" s="48" t="str">
        <f t="shared" si="476"/>
        <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A1022</f>
        <v>2019</v>
      </c>
      <c r="B1023" s="73" t="str">
        <f>IF(C1022-C1023&gt;0, TEXT(DATE(2016,(MONTH(DATEVALUE(B1022&amp;"1"))+1),1),"mmm"), B1022)</f>
        <v>Nov</v>
      </c>
      <c r="C1023" s="74">
        <f>IF(AND(D1023=0, E1023=0), IF(TEXT(C1022,"dd")=TEXT(EOMONTH(DATE(A1022,MONTH(DATEVALUE(B1022&amp;"1")),C1022),0), "dd"), 1, C1022+1), C1022)</f>
        <v>17</v>
      </c>
      <c r="D1023" s="75">
        <f>IF(IF(E1022=59,D1022+1,D1022)=24,0,IF(E1022=59,D1022+1,D1022))</f>
        <v>8</v>
      </c>
      <c r="E1023" s="76">
        <v>30</v>
      </c>
      <c r="F1023" s="80">
        <v>47</v>
      </c>
      <c r="G1023" s="83"/>
      <c r="H1023" s="69" t="str">
        <f>IF(AND(OR(E1022=$G$3,E1022=$G$4,E1022=$G$5,E1022=$G$6,E1022=$G$7,E1022=$G$8),E1022&lt;&gt;RIGHT(H1022,2)),CONCATENATE(LEFT(J1023,3),LEFT(K1023,3),L1023,"_",A1023,TEXT(MONTH(DATEVALUE(B1023&amp;"1")),"00"),TEXT(C1023,"00"),"_",TEXT(D1023,"00"),"_",TEXT(E1022,"00")),IF(AND(OR(E1023=$G$3,E1023=$G$4,E1023=$G$5,E1023=$G$6,E1023=$G$7,E1023=$G$8),OR(F1023="",F1023&gt;$G$9-1)),CONCATENATE(LEFT(J1023,3),LEFT(K1023,3),L1023,"_",A1023,TEXT(MONTH(DATEVALUE(B1023&amp;"1")),"00"),TEXT(C1023,"00"),"_",TEXT(D1023,"00"),"_",TEXT(E1023,"00")),H1022))</f>
        <v>Senbur6_20191117_08_00</v>
      </c>
      <c r="I1023" s="70">
        <f t="shared" ref="I1023:N1023" si="497">I1022</f>
        <v>1</v>
      </c>
      <c r="J1023" s="77" t="str">
        <f t="shared" si="497"/>
        <v>Senecio</v>
      </c>
      <c r="K1023" s="77" t="str">
        <f t="shared" si="497"/>
        <v>burtoni</v>
      </c>
      <c r="L1023" s="78">
        <f t="shared" si="497"/>
        <v>6</v>
      </c>
      <c r="M1023" s="78">
        <f t="shared" si="497"/>
        <v>12</v>
      </c>
      <c r="N1023" s="72">
        <f t="shared" si="497"/>
        <v>0</v>
      </c>
      <c r="O1023" s="45"/>
      <c r="P1023" s="46">
        <f t="shared" si="471"/>
        <v>1</v>
      </c>
      <c r="Q1023" s="47" t="str">
        <f t="shared" si="472"/>
        <v>08:30:47</v>
      </c>
      <c r="R1023" s="48" t="str">
        <f t="shared" si="473"/>
        <v>30:47</v>
      </c>
      <c r="S1023" s="49">
        <f t="shared" si="466"/>
        <v>11</v>
      </c>
      <c r="T1023" s="48" t="str">
        <f t="shared" si="474"/>
        <v>08</v>
      </c>
      <c r="U1023" s="50">
        <v>30</v>
      </c>
      <c r="V1023" s="51">
        <v>58</v>
      </c>
      <c r="W1023" s="52" t="str">
        <f t="shared" si="475"/>
        <v>30:58</v>
      </c>
      <c r="X1023" s="53" t="s">
        <v>61</v>
      </c>
      <c r="Y1023" s="97" t="s">
        <v>78</v>
      </c>
      <c r="Z1023" s="97"/>
      <c r="AA1023" s="48" t="s">
        <v>60</v>
      </c>
      <c r="AB1023" s="48" t="str">
        <f t="shared" si="476"/>
        <v>NA</v>
      </c>
      <c r="AC1023" s="54">
        <f t="shared" si="477"/>
        <v>0</v>
      </c>
      <c r="AD1023" s="55">
        <v>2</v>
      </c>
      <c r="AE1023" s="55"/>
      <c r="AF1023" s="55"/>
      <c r="AG1023" s="56">
        <v>1</v>
      </c>
      <c r="AH1023" s="57">
        <v>8</v>
      </c>
      <c r="AI1023" s="56"/>
      <c r="AJ1023" s="57" t="str">
        <f t="shared" si="481"/>
        <v/>
      </c>
      <c r="AK1023" s="56">
        <v>1</v>
      </c>
      <c r="AL1023" s="57">
        <v>3</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v>1</v>
      </c>
      <c r="AZ1023" s="62">
        <f t="shared" si="488"/>
        <v>2</v>
      </c>
      <c r="BA1023" s="61">
        <f t="shared" si="489"/>
        <v>0</v>
      </c>
      <c r="BB1023" s="62" t="str">
        <f t="shared" si="490"/>
        <v/>
      </c>
    </row>
    <row r="1024" spans="1:54" s="3" customFormat="1" hidden="1" x14ac:dyDescent="0.35">
      <c r="A1024" s="73">
        <f t="shared" si="467"/>
        <v>2019</v>
      </c>
      <c r="B1024" s="73" t="str">
        <f t="shared" si="468"/>
        <v>Nov</v>
      </c>
      <c r="C1024" s="74">
        <f t="shared" si="491"/>
        <v>17</v>
      </c>
      <c r="D1024" s="75">
        <f t="shared" si="469"/>
        <v>8</v>
      </c>
      <c r="E1024" s="76">
        <v>30</v>
      </c>
      <c r="F1024" s="80">
        <v>57</v>
      </c>
      <c r="G1024" s="83"/>
      <c r="H1024" s="69" t="str">
        <f t="shared" si="492"/>
        <v>Senbur6_20191117_08_00</v>
      </c>
      <c r="I1024" s="70">
        <f t="shared" si="496"/>
        <v>1</v>
      </c>
      <c r="J1024" s="77" t="str">
        <f t="shared" si="496"/>
        <v>Senecio</v>
      </c>
      <c r="K1024" s="77" t="str">
        <f t="shared" si="496"/>
        <v>burtoni</v>
      </c>
      <c r="L1024" s="78">
        <f t="shared" si="496"/>
        <v>6</v>
      </c>
      <c r="M1024" s="78">
        <f t="shared" si="496"/>
        <v>12</v>
      </c>
      <c r="N1024" s="72">
        <f t="shared" si="496"/>
        <v>0</v>
      </c>
      <c r="O1024" s="45"/>
      <c r="P1024" s="46">
        <f t="shared" si="471"/>
        <v>1</v>
      </c>
      <c r="Q1024" s="47" t="str">
        <f t="shared" si="472"/>
        <v>08:30:57</v>
      </c>
      <c r="R1024" s="48" t="str">
        <f t="shared" si="473"/>
        <v>30:57</v>
      </c>
      <c r="S1024" s="49">
        <f t="shared" si="466"/>
        <v>61</v>
      </c>
      <c r="T1024" s="48" t="str">
        <f t="shared" si="474"/>
        <v>08</v>
      </c>
      <c r="U1024" s="50">
        <v>31</v>
      </c>
      <c r="V1024" s="51">
        <v>58</v>
      </c>
      <c r="W1024" s="52" t="str">
        <f t="shared" si="475"/>
        <v>31:58</v>
      </c>
      <c r="X1024" s="53" t="s">
        <v>69</v>
      </c>
      <c r="Y1024" s="97" t="s">
        <v>81</v>
      </c>
      <c r="Z1024" s="97"/>
      <c r="AA1024" s="48" t="s">
        <v>63</v>
      </c>
      <c r="AB1024" s="48" t="str">
        <f t="shared" si="476"/>
        <v>NA</v>
      </c>
      <c r="AC1024" s="54">
        <f t="shared" si="477"/>
        <v>0</v>
      </c>
      <c r="AD1024" s="55">
        <v>4</v>
      </c>
      <c r="AE1024" s="55"/>
      <c r="AF1024" s="55"/>
      <c r="AG1024" s="56">
        <v>1</v>
      </c>
      <c r="AH1024" s="57">
        <v>59</v>
      </c>
      <c r="AI1024" s="56">
        <v>1</v>
      </c>
      <c r="AJ1024" s="57">
        <v>2</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v>1</v>
      </c>
      <c r="AZ1024" s="62">
        <v>2</v>
      </c>
      <c r="BA1024" s="61">
        <f t="shared" si="489"/>
        <v>0</v>
      </c>
      <c r="BB1024" s="62" t="str">
        <f t="shared" si="490"/>
        <v/>
      </c>
    </row>
    <row r="1025" spans="1:54" s="3" customFormat="1" hidden="1" x14ac:dyDescent="0.35">
      <c r="A1025" s="73">
        <f t="shared" si="467"/>
        <v>2019</v>
      </c>
      <c r="B1025" s="73" t="str">
        <f t="shared" si="468"/>
        <v>Nov</v>
      </c>
      <c r="C1025" s="74">
        <f t="shared" si="491"/>
        <v>17</v>
      </c>
      <c r="D1025" s="75">
        <f t="shared" si="469"/>
        <v>8</v>
      </c>
      <c r="E1025" s="76">
        <f t="shared" si="470"/>
        <v>31</v>
      </c>
      <c r="F1025" s="80">
        <v>41</v>
      </c>
      <c r="G1025" s="83"/>
      <c r="H1025" s="69" t="str">
        <f t="shared" si="492"/>
        <v>Senbur6_20191117_08_00</v>
      </c>
      <c r="I1025" s="70">
        <f t="shared" si="496"/>
        <v>1</v>
      </c>
      <c r="J1025" s="77" t="str">
        <f t="shared" si="496"/>
        <v>Senecio</v>
      </c>
      <c r="K1025" s="77" t="str">
        <f t="shared" si="496"/>
        <v>burtoni</v>
      </c>
      <c r="L1025" s="78">
        <f t="shared" si="496"/>
        <v>6</v>
      </c>
      <c r="M1025" s="78">
        <f t="shared" si="496"/>
        <v>12</v>
      </c>
      <c r="N1025" s="72">
        <f t="shared" si="496"/>
        <v>0</v>
      </c>
      <c r="O1025" s="45"/>
      <c r="P1025" s="46">
        <f t="shared" si="471"/>
        <v>1</v>
      </c>
      <c r="Q1025" s="47" t="str">
        <f t="shared" si="472"/>
        <v>08:31:41</v>
      </c>
      <c r="R1025" s="48" t="str">
        <f t="shared" si="473"/>
        <v>31:41</v>
      </c>
      <c r="S1025" s="49">
        <f t="shared" si="466"/>
        <v>112</v>
      </c>
      <c r="T1025" s="48" t="str">
        <f t="shared" si="474"/>
        <v>08</v>
      </c>
      <c r="U1025" s="50">
        <v>33</v>
      </c>
      <c r="V1025" s="51">
        <v>33</v>
      </c>
      <c r="W1025" s="52" t="str">
        <f t="shared" si="475"/>
        <v>33:33</v>
      </c>
      <c r="X1025" s="53" t="s">
        <v>59</v>
      </c>
      <c r="Y1025" s="97" t="s">
        <v>78</v>
      </c>
      <c r="Z1025" s="97"/>
      <c r="AA1025" s="48" t="s">
        <v>60</v>
      </c>
      <c r="AB1025" s="48" t="str">
        <f t="shared" si="476"/>
        <v>NA</v>
      </c>
      <c r="AC1025" s="54">
        <f t="shared" si="477"/>
        <v>0</v>
      </c>
      <c r="AD1025" s="55">
        <f t="shared" si="478"/>
        <v>1</v>
      </c>
      <c r="AE1025" s="55"/>
      <c r="AF1025" s="55"/>
      <c r="AG1025" s="56">
        <v>1</v>
      </c>
      <c r="AH1025" s="57">
        <v>37</v>
      </c>
      <c r="AI1025" s="56">
        <v>1</v>
      </c>
      <c r="AJ1025" s="57">
        <v>1</v>
      </c>
      <c r="AK1025" s="56">
        <v>1</v>
      </c>
      <c r="AL1025" s="57">
        <v>74</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v>1</v>
      </c>
      <c r="AZ1025" s="62">
        <f t="shared" si="488"/>
        <v>1</v>
      </c>
      <c r="BA1025" s="61">
        <f t="shared" si="489"/>
        <v>0</v>
      </c>
      <c r="BB1025" s="62" t="str">
        <f t="shared" si="490"/>
        <v/>
      </c>
    </row>
    <row r="1026" spans="1:54" s="3" customFormat="1" hidden="1" x14ac:dyDescent="0.35">
      <c r="A1026" s="73">
        <f t="shared" si="467"/>
        <v>2019</v>
      </c>
      <c r="B1026" s="73" t="str">
        <f t="shared" si="468"/>
        <v>Nov</v>
      </c>
      <c r="C1026" s="74">
        <f t="shared" si="491"/>
        <v>17</v>
      </c>
      <c r="D1026" s="75">
        <f t="shared" si="469"/>
        <v>8</v>
      </c>
      <c r="E1026" s="76">
        <f t="shared" si="470"/>
        <v>32</v>
      </c>
      <c r="F1026" s="80">
        <v>46</v>
      </c>
      <c r="G1026" s="83"/>
      <c r="H1026" s="69" t="str">
        <f t="shared" si="492"/>
        <v>Senbur6_20191117_08_00</v>
      </c>
      <c r="I1026" s="70">
        <f t="shared" si="496"/>
        <v>1</v>
      </c>
      <c r="J1026" s="77" t="str">
        <f t="shared" si="496"/>
        <v>Senecio</v>
      </c>
      <c r="K1026" s="77" t="str">
        <f t="shared" si="496"/>
        <v>burtoni</v>
      </c>
      <c r="L1026" s="78">
        <f t="shared" si="496"/>
        <v>6</v>
      </c>
      <c r="M1026" s="78">
        <f t="shared" si="496"/>
        <v>12</v>
      </c>
      <c r="N1026" s="72">
        <f t="shared" si="496"/>
        <v>0</v>
      </c>
      <c r="O1026" s="45"/>
      <c r="P1026" s="46">
        <f t="shared" si="471"/>
        <v>1</v>
      </c>
      <c r="Q1026" s="47" t="str">
        <f t="shared" si="472"/>
        <v>08:32:46</v>
      </c>
      <c r="R1026" s="48" t="str">
        <f t="shared" si="473"/>
        <v>32:46</v>
      </c>
      <c r="S1026" s="49">
        <f t="shared" si="466"/>
        <v>29</v>
      </c>
      <c r="T1026" s="48" t="str">
        <f t="shared" si="474"/>
        <v>08</v>
      </c>
      <c r="U1026" s="50">
        <v>33</v>
      </c>
      <c r="V1026" s="51">
        <v>15</v>
      </c>
      <c r="W1026" s="52" t="str">
        <f t="shared" si="475"/>
        <v>33:15</v>
      </c>
      <c r="X1026" s="53" t="s">
        <v>59</v>
      </c>
      <c r="Y1026" s="97" t="s">
        <v>78</v>
      </c>
      <c r="Z1026" s="97"/>
      <c r="AA1026" s="48" t="s">
        <v>60</v>
      </c>
      <c r="AB1026" s="48" t="str">
        <f t="shared" si="476"/>
        <v>NA</v>
      </c>
      <c r="AC1026" s="54">
        <f t="shared" si="477"/>
        <v>0</v>
      </c>
      <c r="AD1026" s="55">
        <f t="shared" si="478"/>
        <v>1</v>
      </c>
      <c r="AE1026" s="55"/>
      <c r="AF1026" s="55"/>
      <c r="AG1026" s="56">
        <v>1</v>
      </c>
      <c r="AH1026" s="57">
        <v>15</v>
      </c>
      <c r="AI1026" s="56"/>
      <c r="AJ1026" s="57" t="str">
        <f t="shared" si="481"/>
        <v/>
      </c>
      <c r="AK1026" s="56">
        <v>1</v>
      </c>
      <c r="AL1026" s="57">
        <v>14</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v>1</v>
      </c>
      <c r="AZ1026" s="62">
        <f t="shared" si="488"/>
        <v>1</v>
      </c>
      <c r="BA1026" s="61">
        <f t="shared" si="489"/>
        <v>0</v>
      </c>
      <c r="BB1026" s="62" t="str">
        <f t="shared" si="490"/>
        <v/>
      </c>
    </row>
    <row r="1027" spans="1:54" s="3" customFormat="1" hidden="1" x14ac:dyDescent="0.35">
      <c r="A1027" s="73">
        <f t="shared" si="467"/>
        <v>2019</v>
      </c>
      <c r="B1027" s="73" t="str">
        <f t="shared" si="468"/>
        <v>Nov</v>
      </c>
      <c r="C1027" s="74">
        <f t="shared" si="491"/>
        <v>17</v>
      </c>
      <c r="D1027" s="75">
        <f t="shared" si="469"/>
        <v>8</v>
      </c>
      <c r="E1027" s="76">
        <f t="shared" si="470"/>
        <v>33</v>
      </c>
      <c r="F1027" s="80">
        <v>8</v>
      </c>
      <c r="G1027" s="83"/>
      <c r="H1027" s="69" t="str">
        <f t="shared" si="492"/>
        <v>Senbur6_20191117_08_00</v>
      </c>
      <c r="I1027" s="70">
        <f t="shared" si="496"/>
        <v>1</v>
      </c>
      <c r="J1027" s="77" t="str">
        <f t="shared" si="496"/>
        <v>Senecio</v>
      </c>
      <c r="K1027" s="77" t="str">
        <f t="shared" si="496"/>
        <v>burtoni</v>
      </c>
      <c r="L1027" s="78">
        <f t="shared" si="496"/>
        <v>6</v>
      </c>
      <c r="M1027" s="78">
        <f t="shared" si="496"/>
        <v>12</v>
      </c>
      <c r="N1027" s="72">
        <f t="shared" si="496"/>
        <v>0</v>
      </c>
      <c r="O1027" s="45"/>
      <c r="P1027" s="46">
        <f t="shared" si="471"/>
        <v>1</v>
      </c>
      <c r="Q1027" s="47" t="str">
        <f t="shared" si="472"/>
        <v>08:33:08</v>
      </c>
      <c r="R1027" s="48" t="str">
        <f t="shared" si="473"/>
        <v>33:08</v>
      </c>
      <c r="S1027" s="49">
        <f t="shared" ref="S1027:S1090" si="498">IF(T1027&lt;D1027, (T1027*3600+U1027*60+V1027)+((23*3600+59*60+60)-(D1027*3600+E1027*60+LEFT(F1027,2))), (T1027*3600+U1027*60+V1027)-(D1027*3600+E1027*60+LEFT(F1027,2)))</f>
        <v>18</v>
      </c>
      <c r="T1027" s="48" t="str">
        <f t="shared" si="474"/>
        <v>08</v>
      </c>
      <c r="U1027" s="50">
        <v>33</v>
      </c>
      <c r="V1027" s="51">
        <v>26</v>
      </c>
      <c r="W1027" s="52" t="str">
        <f t="shared" si="475"/>
        <v>33:26</v>
      </c>
      <c r="X1027" s="53" t="s">
        <v>69</v>
      </c>
      <c r="Y1027" s="97" t="s">
        <v>81</v>
      </c>
      <c r="Z1027" s="97"/>
      <c r="AA1027" s="48" t="s">
        <v>63</v>
      </c>
      <c r="AB1027" s="48" t="str">
        <f t="shared" si="476"/>
        <v>NA</v>
      </c>
      <c r="AC1027" s="54">
        <f t="shared" si="477"/>
        <v>0</v>
      </c>
      <c r="AD1027" s="55">
        <v>4</v>
      </c>
      <c r="AE1027" s="55"/>
      <c r="AF1027" s="55"/>
      <c r="AG1027" s="56">
        <v>1</v>
      </c>
      <c r="AH1027" s="57">
        <v>12</v>
      </c>
      <c r="AI1027" s="56">
        <v>1</v>
      </c>
      <c r="AJ1027" s="57">
        <v>6</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v>1</v>
      </c>
      <c r="AZ1027" s="62">
        <f t="shared" si="488"/>
        <v>4</v>
      </c>
      <c r="BA1027" s="61">
        <f t="shared" si="489"/>
        <v>0</v>
      </c>
      <c r="BB1027" s="62" t="str">
        <f t="shared" si="490"/>
        <v/>
      </c>
    </row>
    <row r="1028" spans="1:54" s="3" customFormat="1" hidden="1" x14ac:dyDescent="0.35">
      <c r="A1028" s="73">
        <f t="shared" ref="A1028:A1091" si="499">A1027</f>
        <v>2019</v>
      </c>
      <c r="B1028" s="73" t="str">
        <f t="shared" ref="B1028:B1091" si="500">IF(C1027-C1028&gt;0, TEXT(DATE(2016,(MONTH(DATEVALUE(B1027&amp;"1"))+1),1),"mmm"), B1027)</f>
        <v>Nov</v>
      </c>
      <c r="C1028" s="74">
        <f t="shared" si="491"/>
        <v>17</v>
      </c>
      <c r="D1028" s="75">
        <f t="shared" ref="D1028:D1091" si="501">IF(IF(E1027=59,D1027+1,D1027)=24,0,IF(E1027=59,D1027+1,D1027))</f>
        <v>8</v>
      </c>
      <c r="E1028" s="76">
        <v>33</v>
      </c>
      <c r="F1028" s="80">
        <v>44</v>
      </c>
      <c r="G1028" s="83"/>
      <c r="H1028" s="69" t="str">
        <f t="shared" si="492"/>
        <v>Senbur6_20191117_08_00</v>
      </c>
      <c r="I1028" s="70">
        <f t="shared" si="496"/>
        <v>1</v>
      </c>
      <c r="J1028" s="77" t="str">
        <f t="shared" si="496"/>
        <v>Senecio</v>
      </c>
      <c r="K1028" s="77" t="str">
        <f t="shared" si="496"/>
        <v>burtoni</v>
      </c>
      <c r="L1028" s="78">
        <f t="shared" si="496"/>
        <v>6</v>
      </c>
      <c r="M1028" s="78">
        <f t="shared" si="496"/>
        <v>12</v>
      </c>
      <c r="N1028" s="72">
        <f t="shared" si="496"/>
        <v>0</v>
      </c>
      <c r="O1028" s="45"/>
      <c r="P1028" s="46">
        <f t="shared" ref="P1028:P1091" si="502">IF(F1028="","",1)</f>
        <v>1</v>
      </c>
      <c r="Q1028" s="47" t="str">
        <f t="shared" ref="Q1028:Q1091" si="503">TEXT(IF(P1028=1,CONCATENATE($D1028,":",$E1028,":",(LEFT($F1028,2))),""),"hh:mm:ss")</f>
        <v>08:33:44</v>
      </c>
      <c r="R1028" s="48" t="str">
        <f t="shared" ref="R1028:R1091" si="504">TEXT(Q1028-TIME(0,RIGHT($H1028,2),$G$9)+(Q1028&gt;TIME(0,RIGHT($H1028,2),$G$9)),"mm:ss")</f>
        <v>33:44</v>
      </c>
      <c r="S1028" s="49">
        <f t="shared" si="498"/>
        <v>22</v>
      </c>
      <c r="T1028" s="48" t="str">
        <f t="shared" ref="T1028:T1091" si="505">TEXT(IF(P1028=1,D1028,""),"00")</f>
        <v>08</v>
      </c>
      <c r="U1028" s="50">
        <v>34</v>
      </c>
      <c r="V1028" s="51">
        <v>6</v>
      </c>
      <c r="W1028" s="52" t="str">
        <f t="shared" ref="W1028:W1091" si="506">IF(O1028=0,TEXT(TIME(T1028,U1028,V1028)-TIME(D1028,E1028,RIGHT(F1028,2))+TIME(0,LEFT(R1028,2),RIGHT(R1028,2)),"mm:ss"),TEXT(TIME(T1028,U1028,V1028)-TIME(D1028,E1028,RIGHT(F1028,2))+TIME(0,LEFT(R1028,2),RIGHT(R1028,2))-TIME(0,($G$10*O1028),0),"mm:ss"))</f>
        <v>34:06</v>
      </c>
      <c r="X1028" s="53" t="s">
        <v>59</v>
      </c>
      <c r="Y1028" s="97" t="s">
        <v>78</v>
      </c>
      <c r="Z1028" s="97"/>
      <c r="AA1028" s="48" t="s">
        <v>60</v>
      </c>
      <c r="AB1028" s="48" t="str">
        <f t="shared" ref="AB1028:AB1091" si="507">IF(AA1028&lt;&gt;0,"NA","")</f>
        <v>NA</v>
      </c>
      <c r="AC1028" s="54">
        <f t="shared" ref="AC1028:AC1091" si="508">IF(SUM(AH1028,AJ1028,AL1028,AN1028,AP1028,AR1028,AT1028)=S1028,,"")</f>
        <v>0</v>
      </c>
      <c r="AD1028" s="55">
        <v>2</v>
      </c>
      <c r="AE1028" s="55"/>
      <c r="AF1028" s="55"/>
      <c r="AG1028" s="56">
        <v>1</v>
      </c>
      <c r="AH1028" s="57">
        <v>10</v>
      </c>
      <c r="AI1028" s="56">
        <v>1</v>
      </c>
      <c r="AJ1028" s="57">
        <v>1</v>
      </c>
      <c r="AK1028" s="56">
        <v>1</v>
      </c>
      <c r="AL1028" s="57">
        <v>11</v>
      </c>
      <c r="AM1028" s="56"/>
      <c r="AN1028" s="57" t="str">
        <f t="shared" ref="AN1028:AN1091" si="509">IF(AM1028=1,$S1028,"")</f>
        <v/>
      </c>
      <c r="AO1028" s="56"/>
      <c r="AP1028" s="57" t="str">
        <f t="shared" ref="AP1028:AP1091" si="510">IF(AO1028=1,$S1028,"")</f>
        <v/>
      </c>
      <c r="AQ1028" s="56"/>
      <c r="AR1028" s="57" t="str">
        <f t="shared" ref="AR1028:AR1091" si="511">IF(AQ1028=1,$S1028,"")</f>
        <v/>
      </c>
      <c r="AS1028" s="56"/>
      <c r="AT1028" s="57" t="str">
        <f t="shared" ref="AT1028:AT1091" si="512">IF(AS1028=1,$S1028,"")</f>
        <v/>
      </c>
      <c r="AU1028" s="58"/>
      <c r="AV1028" s="59"/>
      <c r="AW1028" s="59"/>
      <c r="AX1028" s="60"/>
      <c r="AY1028" s="61">
        <v>1</v>
      </c>
      <c r="AZ1028" s="62">
        <f t="shared" ref="AZ1028:AZ1091" si="513">IF(AY1028=1,AD1028,"")</f>
        <v>2</v>
      </c>
      <c r="BA1028" s="61">
        <f t="shared" ref="BA1028:BA1091" si="514">IF(P1028=1,0,"")</f>
        <v>0</v>
      </c>
      <c r="BB1028" s="62" t="str">
        <f t="shared" ref="BB1028:BB1091" si="515">IF(BA1028=1,AD1028,"")</f>
        <v/>
      </c>
    </row>
    <row r="1029" spans="1:54" s="3" customFormat="1" hidden="1" x14ac:dyDescent="0.35">
      <c r="A1029" s="73">
        <f t="shared" si="499"/>
        <v>2019</v>
      </c>
      <c r="B1029" s="73" t="str">
        <f t="shared" si="500"/>
        <v>Nov</v>
      </c>
      <c r="C1029" s="74">
        <f t="shared" ref="C1029:C1092" si="516">IF(AND(D1029=0, E1029=0), IF(TEXT(C1028,"dd")=TEXT(EOMONTH(DATE(A1028,MONTH(DATEVALUE(B1028&amp;"1")),C1028),0), "dd"), 1, C1028+1), C1028)</f>
        <v>17</v>
      </c>
      <c r="D1029" s="75">
        <f t="shared" si="501"/>
        <v>8</v>
      </c>
      <c r="E1029" s="76">
        <f t="shared" ref="E1029:E1091" si="517">IF(E1028&lt;59,E1028+1,0)</f>
        <v>34</v>
      </c>
      <c r="F1029" s="80">
        <v>9</v>
      </c>
      <c r="G1029" s="83"/>
      <c r="H1029" s="69" t="str">
        <f t="shared" ref="H1029:H1092" si="518">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Senbur6_20191117_08_00</v>
      </c>
      <c r="I1029" s="70">
        <f t="shared" ref="I1029:N1044" si="519">I1028</f>
        <v>1</v>
      </c>
      <c r="J1029" s="77" t="str">
        <f t="shared" si="519"/>
        <v>Senecio</v>
      </c>
      <c r="K1029" s="77" t="str">
        <f t="shared" si="519"/>
        <v>burtoni</v>
      </c>
      <c r="L1029" s="78">
        <f t="shared" si="519"/>
        <v>6</v>
      </c>
      <c r="M1029" s="78">
        <f t="shared" si="519"/>
        <v>12</v>
      </c>
      <c r="N1029" s="72">
        <f t="shared" si="519"/>
        <v>0</v>
      </c>
      <c r="O1029" s="45"/>
      <c r="P1029" s="46">
        <f t="shared" si="502"/>
        <v>1</v>
      </c>
      <c r="Q1029" s="47" t="str">
        <f t="shared" si="503"/>
        <v>08:34:09</v>
      </c>
      <c r="R1029" s="48" t="str">
        <f t="shared" si="504"/>
        <v>34:09</v>
      </c>
      <c r="S1029" s="49">
        <f t="shared" si="498"/>
        <v>1</v>
      </c>
      <c r="T1029" s="48" t="str">
        <f t="shared" si="505"/>
        <v>08</v>
      </c>
      <c r="U1029" s="50">
        <v>34</v>
      </c>
      <c r="V1029" s="51">
        <v>10</v>
      </c>
      <c r="W1029" s="52" t="str">
        <f t="shared" si="506"/>
        <v>34:10</v>
      </c>
      <c r="X1029" s="53" t="s">
        <v>69</v>
      </c>
      <c r="Y1029" s="97" t="s">
        <v>81</v>
      </c>
      <c r="Z1029" s="97"/>
      <c r="AA1029" s="48" t="s">
        <v>63</v>
      </c>
      <c r="AB1029" s="48" t="str">
        <f t="shared" si="507"/>
        <v>NA</v>
      </c>
      <c r="AC1029" s="54">
        <f t="shared" si="508"/>
        <v>0</v>
      </c>
      <c r="AD1029" s="55">
        <f t="shared" ref="AD1029:AD1091" si="520">IF(P1029=1,1,"")</f>
        <v>1</v>
      </c>
      <c r="AE1029" s="55"/>
      <c r="AF1029" s="55"/>
      <c r="AG1029" s="56">
        <v>1</v>
      </c>
      <c r="AH1029" s="57">
        <f t="shared" ref="AH1029:AH1091" si="521">IF(AG1029=1,$S1029,"")</f>
        <v>1</v>
      </c>
      <c r="AI1029" s="56"/>
      <c r="AJ1029" s="57" t="str">
        <f t="shared" ref="AJ1029:AJ1091" si="522">IF(AI1029=1,$S1029,"")</f>
        <v/>
      </c>
      <c r="AK1029" s="56"/>
      <c r="AL1029" s="57" t="str">
        <f t="shared" ref="AL1029:AL1091" si="523">IF(AK1029=1,$S1029,"")</f>
        <v/>
      </c>
      <c r="AM1029" s="56"/>
      <c r="AN1029" s="57" t="str">
        <f t="shared" si="509"/>
        <v/>
      </c>
      <c r="AO1029" s="56"/>
      <c r="AP1029" s="57" t="str">
        <f t="shared" si="510"/>
        <v/>
      </c>
      <c r="AQ1029" s="56"/>
      <c r="AR1029" s="57" t="str">
        <f t="shared" si="511"/>
        <v/>
      </c>
      <c r="AS1029" s="56"/>
      <c r="AT1029" s="57" t="str">
        <f t="shared" si="512"/>
        <v/>
      </c>
      <c r="AU1029" s="58"/>
      <c r="AV1029" s="59"/>
      <c r="AW1029" s="59"/>
      <c r="AX1029" s="60"/>
      <c r="AY1029" s="61">
        <f t="shared" ref="AY1029:AY1091" si="524">IF(P1029=1,0,"")</f>
        <v>0</v>
      </c>
      <c r="AZ1029" s="62" t="str">
        <f t="shared" si="513"/>
        <v/>
      </c>
      <c r="BA1029" s="61">
        <f t="shared" si="514"/>
        <v>0</v>
      </c>
      <c r="BB1029" s="62" t="str">
        <f t="shared" si="515"/>
        <v/>
      </c>
    </row>
    <row r="1030" spans="1:54" s="3" customFormat="1" hidden="1" x14ac:dyDescent="0.35">
      <c r="A1030" s="73">
        <f t="shared" si="499"/>
        <v>2019</v>
      </c>
      <c r="B1030" s="73" t="str">
        <f t="shared" si="500"/>
        <v>Nov</v>
      </c>
      <c r="C1030" s="74">
        <f t="shared" si="516"/>
        <v>17</v>
      </c>
      <c r="D1030" s="75">
        <f t="shared" si="501"/>
        <v>8</v>
      </c>
      <c r="E1030" s="76">
        <v>34</v>
      </c>
      <c r="F1030" s="80">
        <v>40</v>
      </c>
      <c r="G1030" s="83"/>
      <c r="H1030" s="69" t="str">
        <f t="shared" si="518"/>
        <v>Senbur6_20191117_08_00</v>
      </c>
      <c r="I1030" s="70">
        <f t="shared" si="519"/>
        <v>1</v>
      </c>
      <c r="J1030" s="77" t="str">
        <f t="shared" si="519"/>
        <v>Senecio</v>
      </c>
      <c r="K1030" s="77" t="str">
        <f t="shared" si="519"/>
        <v>burtoni</v>
      </c>
      <c r="L1030" s="78">
        <f t="shared" si="519"/>
        <v>6</v>
      </c>
      <c r="M1030" s="78">
        <f t="shared" si="519"/>
        <v>12</v>
      </c>
      <c r="N1030" s="72">
        <f t="shared" si="519"/>
        <v>0</v>
      </c>
      <c r="O1030" s="45"/>
      <c r="P1030" s="46">
        <f t="shared" si="502"/>
        <v>1</v>
      </c>
      <c r="Q1030" s="47" t="str">
        <f t="shared" si="503"/>
        <v>08:34:40</v>
      </c>
      <c r="R1030" s="48" t="str">
        <f t="shared" si="504"/>
        <v>34:40</v>
      </c>
      <c r="S1030" s="49">
        <f t="shared" si="498"/>
        <v>18</v>
      </c>
      <c r="T1030" s="48" t="str">
        <f t="shared" si="505"/>
        <v>08</v>
      </c>
      <c r="U1030" s="50">
        <v>34</v>
      </c>
      <c r="V1030" s="51">
        <v>58</v>
      </c>
      <c r="W1030" s="52" t="str">
        <f t="shared" si="506"/>
        <v>34:58</v>
      </c>
      <c r="X1030" s="53" t="s">
        <v>61</v>
      </c>
      <c r="Y1030" s="97" t="s">
        <v>79</v>
      </c>
      <c r="Z1030" s="97" t="s">
        <v>80</v>
      </c>
      <c r="AA1030" s="48" t="s">
        <v>60</v>
      </c>
      <c r="AB1030" s="48" t="str">
        <f t="shared" si="507"/>
        <v>NA</v>
      </c>
      <c r="AC1030" s="54">
        <f t="shared" si="508"/>
        <v>0</v>
      </c>
      <c r="AD1030" s="55">
        <v>2</v>
      </c>
      <c r="AE1030" s="55"/>
      <c r="AF1030" s="55"/>
      <c r="AG1030" s="56">
        <v>1</v>
      </c>
      <c r="AH1030" s="57">
        <v>6</v>
      </c>
      <c r="AI1030" s="56">
        <v>1</v>
      </c>
      <c r="AJ1030" s="57">
        <v>2</v>
      </c>
      <c r="AK1030" s="56">
        <v>1</v>
      </c>
      <c r="AL1030" s="57">
        <v>10</v>
      </c>
      <c r="AM1030" s="56"/>
      <c r="AN1030" s="57" t="str">
        <f t="shared" si="509"/>
        <v/>
      </c>
      <c r="AO1030" s="56"/>
      <c r="AP1030" s="57" t="str">
        <f t="shared" si="510"/>
        <v/>
      </c>
      <c r="AQ1030" s="56"/>
      <c r="AR1030" s="57" t="str">
        <f t="shared" si="511"/>
        <v/>
      </c>
      <c r="AS1030" s="56"/>
      <c r="AT1030" s="57" t="str">
        <f t="shared" si="512"/>
        <v/>
      </c>
      <c r="AU1030" s="58"/>
      <c r="AV1030" s="59"/>
      <c r="AW1030" s="59"/>
      <c r="AX1030" s="60"/>
      <c r="AY1030" s="61">
        <v>1</v>
      </c>
      <c r="AZ1030" s="62">
        <f t="shared" si="513"/>
        <v>2</v>
      </c>
      <c r="BA1030" s="61">
        <f t="shared" si="514"/>
        <v>0</v>
      </c>
      <c r="BB1030" s="62" t="str">
        <f t="shared" si="515"/>
        <v/>
      </c>
    </row>
    <row r="1031" spans="1:54" s="3" customFormat="1" hidden="1" x14ac:dyDescent="0.35">
      <c r="A1031" s="73">
        <f t="shared" si="499"/>
        <v>2019</v>
      </c>
      <c r="B1031" s="73" t="str">
        <f t="shared" si="500"/>
        <v>Nov</v>
      </c>
      <c r="C1031" s="74">
        <f t="shared" si="516"/>
        <v>17</v>
      </c>
      <c r="D1031" s="75">
        <f t="shared" si="501"/>
        <v>8</v>
      </c>
      <c r="E1031" s="76">
        <v>34</v>
      </c>
      <c r="F1031" s="80">
        <v>42</v>
      </c>
      <c r="G1031" s="83"/>
      <c r="H1031" s="69" t="str">
        <f t="shared" si="518"/>
        <v>Senbur6_20191117_08_00</v>
      </c>
      <c r="I1031" s="70">
        <f t="shared" si="519"/>
        <v>1</v>
      </c>
      <c r="J1031" s="77" t="str">
        <f t="shared" si="519"/>
        <v>Senecio</v>
      </c>
      <c r="K1031" s="77" t="str">
        <f t="shared" si="519"/>
        <v>burtoni</v>
      </c>
      <c r="L1031" s="78">
        <f t="shared" si="519"/>
        <v>6</v>
      </c>
      <c r="M1031" s="78">
        <f t="shared" si="519"/>
        <v>12</v>
      </c>
      <c r="N1031" s="72">
        <f t="shared" si="519"/>
        <v>0</v>
      </c>
      <c r="O1031" s="45"/>
      <c r="P1031" s="46">
        <f t="shared" si="502"/>
        <v>1</v>
      </c>
      <c r="Q1031" s="47" t="str">
        <f t="shared" si="503"/>
        <v>08:34:42</v>
      </c>
      <c r="R1031" s="48" t="str">
        <f t="shared" si="504"/>
        <v>34:42</v>
      </c>
      <c r="S1031" s="49">
        <f t="shared" si="498"/>
        <v>26</v>
      </c>
      <c r="T1031" s="48" t="str">
        <f t="shared" si="505"/>
        <v>08</v>
      </c>
      <c r="U1031" s="50">
        <v>35</v>
      </c>
      <c r="V1031" s="51">
        <v>8</v>
      </c>
      <c r="W1031" s="52" t="str">
        <f t="shared" si="506"/>
        <v>35:08</v>
      </c>
      <c r="X1031" s="53" t="s">
        <v>61</v>
      </c>
      <c r="Y1031" s="97" t="s">
        <v>96</v>
      </c>
      <c r="Z1031" s="97" t="s">
        <v>80</v>
      </c>
      <c r="AA1031" s="48" t="s">
        <v>60</v>
      </c>
      <c r="AB1031" s="48" t="str">
        <f t="shared" si="507"/>
        <v>NA</v>
      </c>
      <c r="AC1031" s="54">
        <f t="shared" si="508"/>
        <v>0</v>
      </c>
      <c r="AD1031" s="55">
        <f t="shared" si="520"/>
        <v>1</v>
      </c>
      <c r="AE1031" s="55"/>
      <c r="AF1031" s="55"/>
      <c r="AG1031" s="56">
        <v>1</v>
      </c>
      <c r="AH1031" s="57">
        <v>4</v>
      </c>
      <c r="AI1031" s="56"/>
      <c r="AJ1031" s="57" t="str">
        <f t="shared" si="522"/>
        <v/>
      </c>
      <c r="AK1031" s="56">
        <v>1</v>
      </c>
      <c r="AL1031" s="57">
        <v>22</v>
      </c>
      <c r="AM1031" s="56"/>
      <c r="AN1031" s="57" t="str">
        <f t="shared" si="509"/>
        <v/>
      </c>
      <c r="AO1031" s="56"/>
      <c r="AP1031" s="57" t="str">
        <f t="shared" si="510"/>
        <v/>
      </c>
      <c r="AQ1031" s="56"/>
      <c r="AR1031" s="57" t="str">
        <f t="shared" si="511"/>
        <v/>
      </c>
      <c r="AS1031" s="56"/>
      <c r="AT1031" s="57" t="str">
        <f t="shared" si="512"/>
        <v/>
      </c>
      <c r="AU1031" s="58"/>
      <c r="AV1031" s="59"/>
      <c r="AW1031" s="59"/>
      <c r="AX1031" s="60"/>
      <c r="AY1031" s="61">
        <v>1</v>
      </c>
      <c r="AZ1031" s="62">
        <f t="shared" si="513"/>
        <v>1</v>
      </c>
      <c r="BA1031" s="61">
        <f t="shared" si="514"/>
        <v>0</v>
      </c>
      <c r="BB1031" s="62" t="str">
        <f t="shared" si="515"/>
        <v/>
      </c>
    </row>
    <row r="1032" spans="1:54" s="3" customFormat="1" hidden="1" x14ac:dyDescent="0.35">
      <c r="A1032" s="73">
        <f t="shared" si="499"/>
        <v>2019</v>
      </c>
      <c r="B1032" s="73" t="str">
        <f t="shared" si="500"/>
        <v>Nov</v>
      </c>
      <c r="C1032" s="74">
        <f t="shared" si="516"/>
        <v>17</v>
      </c>
      <c r="D1032" s="75">
        <f t="shared" si="501"/>
        <v>8</v>
      </c>
      <c r="E1032" s="76">
        <f t="shared" si="517"/>
        <v>35</v>
      </c>
      <c r="F1032" s="80"/>
      <c r="G1032" s="83"/>
      <c r="H1032" s="69" t="str">
        <f t="shared" si="518"/>
        <v>Senbur6_20191117_08_00</v>
      </c>
      <c r="I1032" s="70">
        <f t="shared" si="519"/>
        <v>1</v>
      </c>
      <c r="J1032" s="77" t="str">
        <f t="shared" si="519"/>
        <v>Senecio</v>
      </c>
      <c r="K1032" s="77" t="str">
        <f t="shared" si="519"/>
        <v>burtoni</v>
      </c>
      <c r="L1032" s="78">
        <f t="shared" si="519"/>
        <v>6</v>
      </c>
      <c r="M1032" s="78">
        <f t="shared" si="519"/>
        <v>12</v>
      </c>
      <c r="N1032" s="72">
        <f t="shared" si="519"/>
        <v>0</v>
      </c>
      <c r="O1032" s="45"/>
      <c r="P1032" s="46" t="str">
        <f t="shared" si="502"/>
        <v/>
      </c>
      <c r="Q1032" s="47" t="str">
        <f t="shared" si="503"/>
        <v/>
      </c>
      <c r="R1032" s="48" t="e">
        <f t="shared" si="504"/>
        <v>#VALUE!</v>
      </c>
      <c r="S1032" s="49" t="e">
        <f t="shared" si="498"/>
        <v>#VALUE!</v>
      </c>
      <c r="T1032" s="48" t="str">
        <f t="shared" si="505"/>
        <v/>
      </c>
      <c r="U1032" s="50"/>
      <c r="V1032" s="51"/>
      <c r="W1032" s="52" t="e">
        <f t="shared" si="506"/>
        <v>#VALUE!</v>
      </c>
      <c r="X1032" s="53"/>
      <c r="Y1032" s="53"/>
      <c r="Z1032" s="53"/>
      <c r="AA1032" s="48" t="e">
        <f>INDEX([1]!VISITORS[INSECT ORDER], MATCH(X1032,[1]!VISITORS[NAME USED],0))</f>
        <v>#REF!</v>
      </c>
      <c r="AB1032" s="48" t="e">
        <f t="shared" si="507"/>
        <v>#REF!</v>
      </c>
      <c r="AC1032" s="54" t="e">
        <f t="shared" si="508"/>
        <v>#VALUE!</v>
      </c>
      <c r="AD1032" s="55" t="str">
        <f t="shared" si="520"/>
        <v/>
      </c>
      <c r="AE1032" s="55"/>
      <c r="AF1032" s="55"/>
      <c r="AG1032" s="56" t="str">
        <f t="shared" ref="AG1032:AG1091" si="525">IF(OR(X1032="Something small"),1,"")</f>
        <v/>
      </c>
      <c r="AH1032" s="57" t="str">
        <f t="shared" si="521"/>
        <v/>
      </c>
      <c r="AI1032" s="56"/>
      <c r="AJ1032" s="57" t="str">
        <f t="shared" si="522"/>
        <v/>
      </c>
      <c r="AK1032" s="56"/>
      <c r="AL1032" s="57" t="str">
        <f t="shared" si="523"/>
        <v/>
      </c>
      <c r="AM1032" s="56"/>
      <c r="AN1032" s="57" t="str">
        <f t="shared" si="509"/>
        <v/>
      </c>
      <c r="AO1032" s="56"/>
      <c r="AP1032" s="57" t="str">
        <f t="shared" si="510"/>
        <v/>
      </c>
      <c r="AQ1032" s="56"/>
      <c r="AR1032" s="57" t="str">
        <f t="shared" si="511"/>
        <v/>
      </c>
      <c r="AS1032" s="56"/>
      <c r="AT1032" s="57" t="str">
        <f t="shared" si="512"/>
        <v/>
      </c>
      <c r="AU1032" s="58"/>
      <c r="AV1032" s="59"/>
      <c r="AW1032" s="59"/>
      <c r="AX1032" s="60"/>
      <c r="AY1032" s="61" t="str">
        <f t="shared" si="524"/>
        <v/>
      </c>
      <c r="AZ1032" s="62" t="str">
        <f t="shared" si="513"/>
        <v/>
      </c>
      <c r="BA1032" s="61" t="str">
        <f t="shared" si="514"/>
        <v/>
      </c>
      <c r="BB1032" s="62" t="str">
        <f t="shared" si="515"/>
        <v/>
      </c>
    </row>
    <row r="1033" spans="1:54" s="3" customFormat="1" hidden="1" x14ac:dyDescent="0.35">
      <c r="A1033" s="73">
        <f t="shared" si="499"/>
        <v>2019</v>
      </c>
      <c r="B1033" s="73" t="str">
        <f t="shared" si="500"/>
        <v>Nov</v>
      </c>
      <c r="C1033" s="74">
        <f t="shared" si="516"/>
        <v>17</v>
      </c>
      <c r="D1033" s="75">
        <f t="shared" si="501"/>
        <v>8</v>
      </c>
      <c r="E1033" s="76">
        <f t="shared" si="517"/>
        <v>36</v>
      </c>
      <c r="F1033" s="80">
        <v>45</v>
      </c>
      <c r="G1033" s="83"/>
      <c r="H1033" s="69" t="str">
        <f t="shared" si="518"/>
        <v>Senbur6_20191117_08_00</v>
      </c>
      <c r="I1033" s="70">
        <f t="shared" si="519"/>
        <v>1</v>
      </c>
      <c r="J1033" s="77" t="str">
        <f t="shared" si="519"/>
        <v>Senecio</v>
      </c>
      <c r="K1033" s="77" t="str">
        <f t="shared" si="519"/>
        <v>burtoni</v>
      </c>
      <c r="L1033" s="78">
        <f t="shared" si="519"/>
        <v>6</v>
      </c>
      <c r="M1033" s="78">
        <f t="shared" si="519"/>
        <v>12</v>
      </c>
      <c r="N1033" s="72">
        <f t="shared" si="519"/>
        <v>0</v>
      </c>
      <c r="O1033" s="45"/>
      <c r="P1033" s="46">
        <f t="shared" si="502"/>
        <v>1</v>
      </c>
      <c r="Q1033" s="47" t="str">
        <f t="shared" si="503"/>
        <v>08:36:45</v>
      </c>
      <c r="R1033" s="48" t="str">
        <f t="shared" si="504"/>
        <v>36:45</v>
      </c>
      <c r="S1033" s="49">
        <f t="shared" si="498"/>
        <v>18</v>
      </c>
      <c r="T1033" s="48" t="str">
        <f t="shared" si="505"/>
        <v>08</v>
      </c>
      <c r="U1033" s="50">
        <v>37</v>
      </c>
      <c r="V1033" s="51">
        <v>3</v>
      </c>
      <c r="W1033" s="52" t="str">
        <f t="shared" si="506"/>
        <v>37:03</v>
      </c>
      <c r="X1033" s="53" t="s">
        <v>61</v>
      </c>
      <c r="Y1033" s="97" t="s">
        <v>79</v>
      </c>
      <c r="Z1033" s="97" t="s">
        <v>80</v>
      </c>
      <c r="AA1033" s="48" t="s">
        <v>60</v>
      </c>
      <c r="AB1033" s="48" t="str">
        <f t="shared" si="507"/>
        <v>NA</v>
      </c>
      <c r="AC1033" s="54">
        <f t="shared" si="508"/>
        <v>0</v>
      </c>
      <c r="AD1033" s="55">
        <v>3</v>
      </c>
      <c r="AE1033" s="55"/>
      <c r="AF1033" s="55"/>
      <c r="AG1033" s="56">
        <v>1</v>
      </c>
      <c r="AH1033" s="57">
        <f t="shared" si="521"/>
        <v>18</v>
      </c>
      <c r="AI1033" s="56"/>
      <c r="AJ1033" s="57" t="str">
        <f t="shared" si="522"/>
        <v/>
      </c>
      <c r="AK1033" s="56"/>
      <c r="AL1033" s="57" t="str">
        <f t="shared" si="523"/>
        <v/>
      </c>
      <c r="AM1033" s="56"/>
      <c r="AN1033" s="57" t="str">
        <f t="shared" si="509"/>
        <v/>
      </c>
      <c r="AO1033" s="56"/>
      <c r="AP1033" s="57" t="str">
        <f t="shared" si="510"/>
        <v/>
      </c>
      <c r="AQ1033" s="56"/>
      <c r="AR1033" s="57" t="str">
        <f t="shared" si="511"/>
        <v/>
      </c>
      <c r="AS1033" s="56"/>
      <c r="AT1033" s="57" t="str">
        <f t="shared" si="512"/>
        <v/>
      </c>
      <c r="AU1033" s="58"/>
      <c r="AV1033" s="59"/>
      <c r="AW1033" s="59"/>
      <c r="AX1033" s="60"/>
      <c r="AY1033" s="61">
        <v>1</v>
      </c>
      <c r="AZ1033" s="62">
        <v>1</v>
      </c>
      <c r="BA1033" s="61">
        <f t="shared" si="514"/>
        <v>0</v>
      </c>
      <c r="BB1033" s="62" t="str">
        <f t="shared" si="515"/>
        <v/>
      </c>
    </row>
    <row r="1034" spans="1:54" s="3" customFormat="1" hidden="1" x14ac:dyDescent="0.35">
      <c r="A1034" s="73">
        <f t="shared" si="499"/>
        <v>2019</v>
      </c>
      <c r="B1034" s="73" t="str">
        <f t="shared" si="500"/>
        <v>Nov</v>
      </c>
      <c r="C1034" s="74">
        <f t="shared" si="516"/>
        <v>17</v>
      </c>
      <c r="D1034" s="75">
        <f t="shared" si="501"/>
        <v>8</v>
      </c>
      <c r="E1034" s="76">
        <f t="shared" si="517"/>
        <v>37</v>
      </c>
      <c r="F1034" s="80">
        <v>19</v>
      </c>
      <c r="G1034" s="83"/>
      <c r="H1034" s="69" t="str">
        <f t="shared" si="518"/>
        <v>Senbur6_20191117_08_00</v>
      </c>
      <c r="I1034" s="70">
        <f t="shared" si="519"/>
        <v>1</v>
      </c>
      <c r="J1034" s="77" t="str">
        <f t="shared" si="519"/>
        <v>Senecio</v>
      </c>
      <c r="K1034" s="77" t="str">
        <f t="shared" si="519"/>
        <v>burtoni</v>
      </c>
      <c r="L1034" s="78">
        <f t="shared" si="519"/>
        <v>6</v>
      </c>
      <c r="M1034" s="78">
        <f t="shared" si="519"/>
        <v>12</v>
      </c>
      <c r="N1034" s="72">
        <f t="shared" si="519"/>
        <v>0</v>
      </c>
      <c r="O1034" s="45"/>
      <c r="P1034" s="46">
        <f t="shared" si="502"/>
        <v>1</v>
      </c>
      <c r="Q1034" s="47" t="str">
        <f t="shared" si="503"/>
        <v>08:37:19</v>
      </c>
      <c r="R1034" s="48" t="str">
        <f t="shared" si="504"/>
        <v>37:19</v>
      </c>
      <c r="S1034" s="49">
        <f t="shared" si="498"/>
        <v>26</v>
      </c>
      <c r="T1034" s="48" t="str">
        <f t="shared" si="505"/>
        <v>08</v>
      </c>
      <c r="U1034" s="50">
        <v>37</v>
      </c>
      <c r="V1034" s="51">
        <v>45</v>
      </c>
      <c r="W1034" s="52" t="str">
        <f t="shared" si="506"/>
        <v>37:45</v>
      </c>
      <c r="X1034" s="53" t="s">
        <v>59</v>
      </c>
      <c r="Y1034" s="97" t="s">
        <v>78</v>
      </c>
      <c r="Z1034" s="97"/>
      <c r="AA1034" s="48" t="s">
        <v>60</v>
      </c>
      <c r="AB1034" s="48" t="str">
        <f t="shared" si="507"/>
        <v>NA</v>
      </c>
      <c r="AC1034" s="54">
        <f t="shared" si="508"/>
        <v>0</v>
      </c>
      <c r="AD1034" s="55">
        <f t="shared" si="520"/>
        <v>1</v>
      </c>
      <c r="AE1034" s="55"/>
      <c r="AF1034" s="55"/>
      <c r="AG1034" s="56">
        <v>1</v>
      </c>
      <c r="AH1034" s="57">
        <v>2</v>
      </c>
      <c r="AI1034" s="56"/>
      <c r="AJ1034" s="57" t="str">
        <f t="shared" si="522"/>
        <v/>
      </c>
      <c r="AK1034" s="56">
        <v>1</v>
      </c>
      <c r="AL1034" s="57">
        <v>24</v>
      </c>
      <c r="AM1034" s="56"/>
      <c r="AN1034" s="57" t="str">
        <f t="shared" si="509"/>
        <v/>
      </c>
      <c r="AO1034" s="56"/>
      <c r="AP1034" s="57" t="str">
        <f t="shared" si="510"/>
        <v/>
      </c>
      <c r="AQ1034" s="56"/>
      <c r="AR1034" s="57" t="str">
        <f t="shared" si="511"/>
        <v/>
      </c>
      <c r="AS1034" s="56"/>
      <c r="AT1034" s="57" t="str">
        <f t="shared" si="512"/>
        <v/>
      </c>
      <c r="AU1034" s="58"/>
      <c r="AV1034" s="59"/>
      <c r="AW1034" s="59"/>
      <c r="AX1034" s="60"/>
      <c r="AY1034" s="61">
        <v>1</v>
      </c>
      <c r="AZ1034" s="62">
        <f t="shared" si="513"/>
        <v>1</v>
      </c>
      <c r="BA1034" s="61">
        <f t="shared" si="514"/>
        <v>0</v>
      </c>
      <c r="BB1034" s="62" t="str">
        <f t="shared" si="515"/>
        <v/>
      </c>
    </row>
    <row r="1035" spans="1:54" s="3" customFormat="1" hidden="1" x14ac:dyDescent="0.35">
      <c r="A1035" s="73">
        <f t="shared" si="499"/>
        <v>2019</v>
      </c>
      <c r="B1035" s="73" t="str">
        <f t="shared" si="500"/>
        <v>Nov</v>
      </c>
      <c r="C1035" s="74">
        <f t="shared" si="516"/>
        <v>17</v>
      </c>
      <c r="D1035" s="75">
        <f t="shared" si="501"/>
        <v>8</v>
      </c>
      <c r="E1035" s="76">
        <f t="shared" si="517"/>
        <v>38</v>
      </c>
      <c r="F1035" s="80">
        <v>20</v>
      </c>
      <c r="G1035" s="83"/>
      <c r="H1035" s="69" t="str">
        <f t="shared" si="518"/>
        <v>Senbur6_20191117_08_00</v>
      </c>
      <c r="I1035" s="70">
        <f t="shared" si="519"/>
        <v>1</v>
      </c>
      <c r="J1035" s="77" t="str">
        <f t="shared" si="519"/>
        <v>Senecio</v>
      </c>
      <c r="K1035" s="77" t="str">
        <f t="shared" si="519"/>
        <v>burtoni</v>
      </c>
      <c r="L1035" s="78">
        <f t="shared" si="519"/>
        <v>6</v>
      </c>
      <c r="M1035" s="78">
        <f t="shared" si="519"/>
        <v>12</v>
      </c>
      <c r="N1035" s="72">
        <f t="shared" si="519"/>
        <v>0</v>
      </c>
      <c r="O1035" s="45"/>
      <c r="P1035" s="46">
        <f t="shared" si="502"/>
        <v>1</v>
      </c>
      <c r="Q1035" s="47" t="str">
        <f t="shared" si="503"/>
        <v>08:38:20</v>
      </c>
      <c r="R1035" s="48" t="str">
        <f t="shared" si="504"/>
        <v>38:20</v>
      </c>
      <c r="S1035" s="49">
        <f t="shared" si="498"/>
        <v>80</v>
      </c>
      <c r="T1035" s="48" t="str">
        <f t="shared" si="505"/>
        <v>08</v>
      </c>
      <c r="U1035" s="50">
        <v>39</v>
      </c>
      <c r="V1035" s="51">
        <v>40</v>
      </c>
      <c r="W1035" s="52" t="str">
        <f t="shared" si="506"/>
        <v>39:40</v>
      </c>
      <c r="X1035" s="53" t="s">
        <v>61</v>
      </c>
      <c r="Y1035" s="97" t="s">
        <v>86</v>
      </c>
      <c r="Z1035" s="97" t="s">
        <v>80</v>
      </c>
      <c r="AA1035" s="48" t="s">
        <v>60</v>
      </c>
      <c r="AB1035" s="48" t="str">
        <f t="shared" si="507"/>
        <v>NA</v>
      </c>
      <c r="AC1035" s="54">
        <f t="shared" si="508"/>
        <v>0</v>
      </c>
      <c r="AD1035" s="55">
        <v>5</v>
      </c>
      <c r="AE1035" s="55"/>
      <c r="AF1035" s="55"/>
      <c r="AG1035" s="56">
        <v>1</v>
      </c>
      <c r="AH1035" s="57">
        <v>6</v>
      </c>
      <c r="AI1035" s="56">
        <v>1</v>
      </c>
      <c r="AJ1035" s="57">
        <v>1</v>
      </c>
      <c r="AK1035" s="56"/>
      <c r="AL1035" s="57"/>
      <c r="AM1035" s="56">
        <v>1</v>
      </c>
      <c r="AN1035" s="57">
        <v>73</v>
      </c>
      <c r="AO1035" s="56"/>
      <c r="AP1035" s="57" t="str">
        <f t="shared" si="510"/>
        <v/>
      </c>
      <c r="AQ1035" s="56"/>
      <c r="AR1035" s="57" t="str">
        <f t="shared" si="511"/>
        <v/>
      </c>
      <c r="AS1035" s="56"/>
      <c r="AT1035" s="57" t="str">
        <f t="shared" si="512"/>
        <v/>
      </c>
      <c r="AU1035" s="58"/>
      <c r="AV1035" s="59"/>
      <c r="AW1035" s="59"/>
      <c r="AX1035" s="60"/>
      <c r="AY1035" s="61">
        <v>1</v>
      </c>
      <c r="AZ1035" s="62">
        <f t="shared" si="513"/>
        <v>5</v>
      </c>
      <c r="BA1035" s="61">
        <f t="shared" si="514"/>
        <v>0</v>
      </c>
      <c r="BB1035" s="62" t="str">
        <f t="shared" si="515"/>
        <v/>
      </c>
    </row>
    <row r="1036" spans="1:54" s="3" customFormat="1" hidden="1" x14ac:dyDescent="0.35">
      <c r="A1036" s="73">
        <f t="shared" si="499"/>
        <v>2019</v>
      </c>
      <c r="B1036" s="73" t="str">
        <f t="shared" si="500"/>
        <v>Nov</v>
      </c>
      <c r="C1036" s="74">
        <f t="shared" si="516"/>
        <v>17</v>
      </c>
      <c r="D1036" s="75">
        <f t="shared" si="501"/>
        <v>8</v>
      </c>
      <c r="E1036" s="76">
        <f t="shared" si="517"/>
        <v>39</v>
      </c>
      <c r="F1036" s="80">
        <v>8</v>
      </c>
      <c r="G1036" s="83"/>
      <c r="H1036" s="69" t="str">
        <f t="shared" si="518"/>
        <v>Senbur6_20191117_08_00</v>
      </c>
      <c r="I1036" s="70">
        <f t="shared" si="519"/>
        <v>1</v>
      </c>
      <c r="J1036" s="77" t="str">
        <f t="shared" si="519"/>
        <v>Senecio</v>
      </c>
      <c r="K1036" s="77" t="str">
        <f t="shared" si="519"/>
        <v>burtoni</v>
      </c>
      <c r="L1036" s="78">
        <f t="shared" si="519"/>
        <v>6</v>
      </c>
      <c r="M1036" s="78">
        <f t="shared" si="519"/>
        <v>12</v>
      </c>
      <c r="N1036" s="72">
        <f t="shared" si="519"/>
        <v>0</v>
      </c>
      <c r="O1036" s="45"/>
      <c r="P1036" s="46">
        <f t="shared" si="502"/>
        <v>1</v>
      </c>
      <c r="Q1036" s="47" t="str">
        <f t="shared" si="503"/>
        <v>08:39:08</v>
      </c>
      <c r="R1036" s="48" t="str">
        <f t="shared" si="504"/>
        <v>39:08</v>
      </c>
      <c r="S1036" s="49">
        <f t="shared" si="498"/>
        <v>34</v>
      </c>
      <c r="T1036" s="48" t="str">
        <f t="shared" si="505"/>
        <v>08</v>
      </c>
      <c r="U1036" s="50">
        <v>39</v>
      </c>
      <c r="V1036" s="51">
        <v>42</v>
      </c>
      <c r="W1036" s="52" t="str">
        <f t="shared" si="506"/>
        <v>39:42</v>
      </c>
      <c r="X1036" s="53" t="s">
        <v>61</v>
      </c>
      <c r="Y1036" s="97" t="s">
        <v>84</v>
      </c>
      <c r="Z1036" s="97" t="s">
        <v>80</v>
      </c>
      <c r="AA1036" s="48" t="s">
        <v>60</v>
      </c>
      <c r="AB1036" s="48" t="str">
        <f t="shared" si="507"/>
        <v>NA</v>
      </c>
      <c r="AC1036" s="54">
        <f t="shared" si="508"/>
        <v>0</v>
      </c>
      <c r="AD1036" s="55">
        <f t="shared" si="520"/>
        <v>1</v>
      </c>
      <c r="AE1036" s="55"/>
      <c r="AF1036" s="55"/>
      <c r="AG1036" s="56" t="str">
        <f t="shared" si="525"/>
        <v/>
      </c>
      <c r="AH1036" s="57" t="str">
        <f t="shared" si="521"/>
        <v/>
      </c>
      <c r="AI1036" s="56"/>
      <c r="AJ1036" s="57" t="str">
        <f t="shared" si="522"/>
        <v/>
      </c>
      <c r="AK1036" s="56">
        <v>1</v>
      </c>
      <c r="AL1036" s="57">
        <v>34</v>
      </c>
      <c r="AM1036" s="56"/>
      <c r="AN1036" s="57" t="str">
        <f t="shared" si="509"/>
        <v/>
      </c>
      <c r="AO1036" s="56"/>
      <c r="AP1036" s="57" t="str">
        <f t="shared" si="510"/>
        <v/>
      </c>
      <c r="AQ1036" s="56"/>
      <c r="AR1036" s="57" t="str">
        <f t="shared" si="511"/>
        <v/>
      </c>
      <c r="AS1036" s="56"/>
      <c r="AT1036" s="57" t="str">
        <f t="shared" si="512"/>
        <v/>
      </c>
      <c r="AU1036" s="58"/>
      <c r="AV1036" s="59"/>
      <c r="AW1036" s="59"/>
      <c r="AX1036" s="60"/>
      <c r="AY1036" s="61">
        <v>1</v>
      </c>
      <c r="AZ1036" s="62">
        <f t="shared" si="513"/>
        <v>1</v>
      </c>
      <c r="BA1036" s="61">
        <f t="shared" si="514"/>
        <v>0</v>
      </c>
      <c r="BB1036" s="62" t="str">
        <f t="shared" si="515"/>
        <v/>
      </c>
    </row>
    <row r="1037" spans="1:54" s="3" customFormat="1" hidden="1" x14ac:dyDescent="0.35">
      <c r="A1037" s="73">
        <f t="shared" si="499"/>
        <v>2019</v>
      </c>
      <c r="B1037" s="73" t="str">
        <f t="shared" si="500"/>
        <v>Nov</v>
      </c>
      <c r="C1037" s="74">
        <f t="shared" si="516"/>
        <v>17</v>
      </c>
      <c r="D1037" s="75">
        <f t="shared" si="501"/>
        <v>8</v>
      </c>
      <c r="E1037" s="76">
        <v>39</v>
      </c>
      <c r="F1037" s="80">
        <v>21</v>
      </c>
      <c r="G1037" s="83"/>
      <c r="H1037" s="69" t="str">
        <f t="shared" si="518"/>
        <v>Senbur6_20191117_08_00</v>
      </c>
      <c r="I1037" s="70">
        <f t="shared" si="519"/>
        <v>1</v>
      </c>
      <c r="J1037" s="77" t="str">
        <f t="shared" si="519"/>
        <v>Senecio</v>
      </c>
      <c r="K1037" s="77" t="str">
        <f t="shared" si="519"/>
        <v>burtoni</v>
      </c>
      <c r="L1037" s="78">
        <f t="shared" si="519"/>
        <v>6</v>
      </c>
      <c r="M1037" s="78">
        <f t="shared" si="519"/>
        <v>12</v>
      </c>
      <c r="N1037" s="72">
        <f t="shared" si="519"/>
        <v>0</v>
      </c>
      <c r="O1037" s="45"/>
      <c r="P1037" s="46">
        <f t="shared" si="502"/>
        <v>1</v>
      </c>
      <c r="Q1037" s="47" t="str">
        <f t="shared" si="503"/>
        <v>08:39:21</v>
      </c>
      <c r="R1037" s="48" t="str">
        <f t="shared" si="504"/>
        <v>39:21</v>
      </c>
      <c r="S1037" s="49">
        <f t="shared" si="498"/>
        <v>11</v>
      </c>
      <c r="T1037" s="48" t="str">
        <f t="shared" si="505"/>
        <v>08</v>
      </c>
      <c r="U1037" s="50">
        <v>39</v>
      </c>
      <c r="V1037" s="51">
        <v>32</v>
      </c>
      <c r="W1037" s="52" t="str">
        <f t="shared" si="506"/>
        <v>39:32</v>
      </c>
      <c r="X1037" s="53" t="s">
        <v>61</v>
      </c>
      <c r="Y1037" s="97" t="s">
        <v>86</v>
      </c>
      <c r="Z1037" s="97" t="s">
        <v>80</v>
      </c>
      <c r="AA1037" s="48" t="s">
        <v>60</v>
      </c>
      <c r="AB1037" s="48" t="str">
        <f t="shared" si="507"/>
        <v>NA</v>
      </c>
      <c r="AC1037" s="54">
        <f t="shared" si="508"/>
        <v>0</v>
      </c>
      <c r="AD1037" s="55">
        <f t="shared" si="520"/>
        <v>1</v>
      </c>
      <c r="AE1037" s="55"/>
      <c r="AF1037" s="55"/>
      <c r="AG1037" s="56">
        <v>1</v>
      </c>
      <c r="AH1037" s="57">
        <v>10</v>
      </c>
      <c r="AI1037" s="56"/>
      <c r="AJ1037" s="57" t="str">
        <f t="shared" si="522"/>
        <v/>
      </c>
      <c r="AK1037" s="56">
        <v>1</v>
      </c>
      <c r="AL1037" s="57">
        <v>1</v>
      </c>
      <c r="AM1037" s="56"/>
      <c r="AN1037" s="57" t="str">
        <f t="shared" si="509"/>
        <v/>
      </c>
      <c r="AO1037" s="56"/>
      <c r="AP1037" s="57" t="str">
        <f t="shared" si="510"/>
        <v/>
      </c>
      <c r="AQ1037" s="56"/>
      <c r="AR1037" s="57" t="str">
        <f t="shared" si="511"/>
        <v/>
      </c>
      <c r="AS1037" s="56"/>
      <c r="AT1037" s="57" t="str">
        <f t="shared" si="512"/>
        <v/>
      </c>
      <c r="AU1037" s="58"/>
      <c r="AV1037" s="59"/>
      <c r="AW1037" s="59"/>
      <c r="AX1037" s="60"/>
      <c r="AY1037" s="61">
        <v>1</v>
      </c>
      <c r="AZ1037" s="62">
        <f t="shared" si="513"/>
        <v>1</v>
      </c>
      <c r="BA1037" s="61">
        <f t="shared" si="514"/>
        <v>0</v>
      </c>
      <c r="BB1037" s="62" t="str">
        <f t="shared" si="515"/>
        <v/>
      </c>
    </row>
    <row r="1038" spans="1:54" s="3" customFormat="1" hidden="1" x14ac:dyDescent="0.35">
      <c r="A1038" s="73">
        <f t="shared" si="499"/>
        <v>2019</v>
      </c>
      <c r="B1038" s="73" t="str">
        <f t="shared" si="500"/>
        <v>Nov</v>
      </c>
      <c r="C1038" s="74">
        <f t="shared" si="516"/>
        <v>17</v>
      </c>
      <c r="D1038" s="75">
        <f t="shared" si="501"/>
        <v>8</v>
      </c>
      <c r="E1038" s="76">
        <v>39</v>
      </c>
      <c r="F1038" s="80">
        <v>34</v>
      </c>
      <c r="G1038" s="83"/>
      <c r="H1038" s="69" t="str">
        <f t="shared" si="518"/>
        <v>Senbur6_20191117_08_00</v>
      </c>
      <c r="I1038" s="70">
        <f t="shared" si="519"/>
        <v>1</v>
      </c>
      <c r="J1038" s="77" t="str">
        <f t="shared" si="519"/>
        <v>Senecio</v>
      </c>
      <c r="K1038" s="77" t="str">
        <f t="shared" si="519"/>
        <v>burtoni</v>
      </c>
      <c r="L1038" s="78">
        <f t="shared" si="519"/>
        <v>6</v>
      </c>
      <c r="M1038" s="78">
        <f t="shared" si="519"/>
        <v>12</v>
      </c>
      <c r="N1038" s="72">
        <f t="shared" si="519"/>
        <v>0</v>
      </c>
      <c r="O1038" s="45"/>
      <c r="P1038" s="46">
        <f t="shared" si="502"/>
        <v>1</v>
      </c>
      <c r="Q1038" s="47" t="str">
        <f t="shared" si="503"/>
        <v>08:39:34</v>
      </c>
      <c r="R1038" s="48" t="str">
        <f t="shared" si="504"/>
        <v>39:34</v>
      </c>
      <c r="S1038" s="49">
        <f t="shared" si="498"/>
        <v>26</v>
      </c>
      <c r="T1038" s="48" t="str">
        <f t="shared" si="505"/>
        <v>08</v>
      </c>
      <c r="U1038" s="50">
        <v>40</v>
      </c>
      <c r="V1038" s="51">
        <v>0</v>
      </c>
      <c r="W1038" s="52" t="str">
        <f t="shared" si="506"/>
        <v>40:00</v>
      </c>
      <c r="X1038" s="53" t="s">
        <v>61</v>
      </c>
      <c r="Y1038" s="97" t="s">
        <v>78</v>
      </c>
      <c r="Z1038" s="97"/>
      <c r="AA1038" s="48" t="s">
        <v>60</v>
      </c>
      <c r="AB1038" s="48" t="str">
        <f t="shared" si="507"/>
        <v>NA</v>
      </c>
      <c r="AC1038" s="54">
        <f t="shared" si="508"/>
        <v>0</v>
      </c>
      <c r="AD1038" s="55">
        <v>3</v>
      </c>
      <c r="AE1038" s="55"/>
      <c r="AF1038" s="55"/>
      <c r="AG1038" s="56">
        <v>1</v>
      </c>
      <c r="AH1038" s="57">
        <v>11</v>
      </c>
      <c r="AI1038" s="56"/>
      <c r="AJ1038" s="57" t="str">
        <f t="shared" si="522"/>
        <v/>
      </c>
      <c r="AK1038" s="56">
        <v>1</v>
      </c>
      <c r="AL1038" s="57">
        <v>15</v>
      </c>
      <c r="AM1038" s="56"/>
      <c r="AN1038" s="57" t="str">
        <f t="shared" si="509"/>
        <v/>
      </c>
      <c r="AO1038" s="56"/>
      <c r="AP1038" s="57" t="str">
        <f t="shared" si="510"/>
        <v/>
      </c>
      <c r="AQ1038" s="56"/>
      <c r="AR1038" s="57" t="str">
        <f t="shared" si="511"/>
        <v/>
      </c>
      <c r="AS1038" s="56"/>
      <c r="AT1038" s="57" t="str">
        <f t="shared" si="512"/>
        <v/>
      </c>
      <c r="AU1038" s="58"/>
      <c r="AV1038" s="59"/>
      <c r="AW1038" s="59"/>
      <c r="AX1038" s="60"/>
      <c r="AY1038" s="61">
        <v>1</v>
      </c>
      <c r="AZ1038" s="62">
        <v>1</v>
      </c>
      <c r="BA1038" s="61">
        <f t="shared" si="514"/>
        <v>0</v>
      </c>
      <c r="BB1038" s="62" t="str">
        <f t="shared" si="515"/>
        <v/>
      </c>
    </row>
    <row r="1039" spans="1:54" s="3" customFormat="1" hidden="1" x14ac:dyDescent="0.35">
      <c r="A1039" s="73">
        <f t="shared" si="499"/>
        <v>2019</v>
      </c>
      <c r="B1039" s="73" t="str">
        <f t="shared" si="500"/>
        <v>Nov</v>
      </c>
      <c r="C1039" s="74">
        <f t="shared" si="516"/>
        <v>17</v>
      </c>
      <c r="D1039" s="75">
        <f t="shared" si="501"/>
        <v>8</v>
      </c>
      <c r="E1039" s="76">
        <v>39</v>
      </c>
      <c r="F1039" s="80">
        <v>39</v>
      </c>
      <c r="G1039" s="83"/>
      <c r="H1039" s="69" t="str">
        <f t="shared" si="518"/>
        <v>Senbur6_20191117_08_00</v>
      </c>
      <c r="I1039" s="70">
        <f t="shared" si="519"/>
        <v>1</v>
      </c>
      <c r="J1039" s="77" t="str">
        <f t="shared" si="519"/>
        <v>Senecio</v>
      </c>
      <c r="K1039" s="77" t="str">
        <f t="shared" si="519"/>
        <v>burtoni</v>
      </c>
      <c r="L1039" s="78">
        <f t="shared" si="519"/>
        <v>6</v>
      </c>
      <c r="M1039" s="78">
        <f t="shared" si="519"/>
        <v>12</v>
      </c>
      <c r="N1039" s="72">
        <f t="shared" si="519"/>
        <v>0</v>
      </c>
      <c r="O1039" s="45"/>
      <c r="P1039" s="46">
        <f t="shared" si="502"/>
        <v>1</v>
      </c>
      <c r="Q1039" s="47" t="str">
        <f t="shared" si="503"/>
        <v>08:39:39</v>
      </c>
      <c r="R1039" s="48" t="str">
        <f t="shared" si="504"/>
        <v>39:39</v>
      </c>
      <c r="S1039" s="49">
        <f t="shared" si="498"/>
        <v>14</v>
      </c>
      <c r="T1039" s="48" t="str">
        <f t="shared" si="505"/>
        <v>08</v>
      </c>
      <c r="U1039" s="50">
        <v>39</v>
      </c>
      <c r="V1039" s="51">
        <v>53</v>
      </c>
      <c r="W1039" s="52" t="str">
        <f t="shared" si="506"/>
        <v>39:53</v>
      </c>
      <c r="X1039" s="53" t="s">
        <v>61</v>
      </c>
      <c r="Y1039" s="97" t="s">
        <v>78</v>
      </c>
      <c r="Z1039" s="97"/>
      <c r="AA1039" s="48" t="s">
        <v>60</v>
      </c>
      <c r="AB1039" s="48" t="str">
        <f t="shared" si="507"/>
        <v>NA</v>
      </c>
      <c r="AC1039" s="54">
        <f t="shared" si="508"/>
        <v>0</v>
      </c>
      <c r="AD1039" s="55">
        <f t="shared" si="520"/>
        <v>1</v>
      </c>
      <c r="AE1039" s="55"/>
      <c r="AF1039" s="55"/>
      <c r="AG1039" s="56" t="str">
        <f t="shared" si="525"/>
        <v/>
      </c>
      <c r="AH1039" s="57" t="str">
        <f t="shared" si="521"/>
        <v/>
      </c>
      <c r="AI1039" s="56"/>
      <c r="AJ1039" s="57" t="str">
        <f t="shared" si="522"/>
        <v/>
      </c>
      <c r="AK1039" s="56">
        <v>1</v>
      </c>
      <c r="AL1039" s="57">
        <v>14</v>
      </c>
      <c r="AM1039" s="56"/>
      <c r="AN1039" s="57" t="str">
        <f t="shared" si="509"/>
        <v/>
      </c>
      <c r="AO1039" s="56"/>
      <c r="AP1039" s="57" t="str">
        <f t="shared" si="510"/>
        <v/>
      </c>
      <c r="AQ1039" s="56"/>
      <c r="AR1039" s="57" t="str">
        <f t="shared" si="511"/>
        <v/>
      </c>
      <c r="AS1039" s="56"/>
      <c r="AT1039" s="57" t="str">
        <f t="shared" si="512"/>
        <v/>
      </c>
      <c r="AU1039" s="58"/>
      <c r="AV1039" s="59"/>
      <c r="AW1039" s="59"/>
      <c r="AX1039" s="60"/>
      <c r="AY1039" s="61">
        <v>1</v>
      </c>
      <c r="AZ1039" s="62">
        <f t="shared" si="513"/>
        <v>1</v>
      </c>
      <c r="BA1039" s="61">
        <f t="shared" si="514"/>
        <v>0</v>
      </c>
      <c r="BB1039" s="62" t="str">
        <f t="shared" si="515"/>
        <v/>
      </c>
    </row>
    <row r="1040" spans="1:54" s="3" customFormat="1" hidden="1" x14ac:dyDescent="0.35">
      <c r="A1040" s="73">
        <f t="shared" si="499"/>
        <v>2019</v>
      </c>
      <c r="B1040" s="73" t="str">
        <f t="shared" si="500"/>
        <v>Nov</v>
      </c>
      <c r="C1040" s="74">
        <f t="shared" si="516"/>
        <v>17</v>
      </c>
      <c r="D1040" s="75">
        <f t="shared" si="501"/>
        <v>8</v>
      </c>
      <c r="E1040" s="76">
        <v>39</v>
      </c>
      <c r="F1040" s="80">
        <v>42</v>
      </c>
      <c r="G1040" s="83"/>
      <c r="H1040" s="69" t="str">
        <f t="shared" si="518"/>
        <v>Senbur6_20191117_08_00</v>
      </c>
      <c r="I1040" s="70">
        <f t="shared" si="519"/>
        <v>1</v>
      </c>
      <c r="J1040" s="77" t="str">
        <f t="shared" si="519"/>
        <v>Senecio</v>
      </c>
      <c r="K1040" s="77" t="str">
        <f t="shared" si="519"/>
        <v>burtoni</v>
      </c>
      <c r="L1040" s="78">
        <f t="shared" si="519"/>
        <v>6</v>
      </c>
      <c r="M1040" s="78">
        <f t="shared" si="519"/>
        <v>12</v>
      </c>
      <c r="N1040" s="72">
        <f t="shared" si="519"/>
        <v>0</v>
      </c>
      <c r="O1040" s="45"/>
      <c r="P1040" s="46">
        <f t="shared" si="502"/>
        <v>1</v>
      </c>
      <c r="Q1040" s="47" t="str">
        <f t="shared" si="503"/>
        <v>08:39:42</v>
      </c>
      <c r="R1040" s="48" t="str">
        <f t="shared" si="504"/>
        <v>39:42</v>
      </c>
      <c r="S1040" s="49">
        <f t="shared" si="498"/>
        <v>108</v>
      </c>
      <c r="T1040" s="48" t="str">
        <f t="shared" si="505"/>
        <v>08</v>
      </c>
      <c r="U1040" s="50">
        <v>41</v>
      </c>
      <c r="V1040" s="51">
        <v>30</v>
      </c>
      <c r="W1040" s="52" t="str">
        <f t="shared" si="506"/>
        <v>41:30</v>
      </c>
      <c r="X1040" s="53" t="s">
        <v>61</v>
      </c>
      <c r="Y1040" s="97" t="s">
        <v>86</v>
      </c>
      <c r="Z1040" s="97" t="s">
        <v>80</v>
      </c>
      <c r="AA1040" s="48" t="s">
        <v>60</v>
      </c>
      <c r="AB1040" s="48" t="str">
        <f t="shared" si="507"/>
        <v>NA</v>
      </c>
      <c r="AC1040" s="54">
        <f t="shared" si="508"/>
        <v>0</v>
      </c>
      <c r="AD1040" s="55">
        <v>8</v>
      </c>
      <c r="AE1040" s="55"/>
      <c r="AF1040" s="55"/>
      <c r="AG1040" s="56">
        <v>1</v>
      </c>
      <c r="AH1040" s="57">
        <v>6</v>
      </c>
      <c r="AI1040" s="56">
        <v>1</v>
      </c>
      <c r="AJ1040" s="57">
        <v>3</v>
      </c>
      <c r="AK1040" s="56">
        <v>1</v>
      </c>
      <c r="AL1040" s="57">
        <v>99</v>
      </c>
      <c r="AM1040" s="56"/>
      <c r="AN1040" s="57" t="str">
        <f t="shared" si="509"/>
        <v/>
      </c>
      <c r="AO1040" s="56"/>
      <c r="AP1040" s="57" t="str">
        <f t="shared" si="510"/>
        <v/>
      </c>
      <c r="AQ1040" s="56"/>
      <c r="AR1040" s="57" t="str">
        <f t="shared" si="511"/>
        <v/>
      </c>
      <c r="AS1040" s="56"/>
      <c r="AT1040" s="57" t="str">
        <f t="shared" si="512"/>
        <v/>
      </c>
      <c r="AU1040" s="58"/>
      <c r="AV1040" s="59"/>
      <c r="AW1040" s="59"/>
      <c r="AX1040" s="60"/>
      <c r="AY1040" s="61">
        <v>1</v>
      </c>
      <c r="AZ1040" s="62">
        <f t="shared" si="513"/>
        <v>8</v>
      </c>
      <c r="BA1040" s="61">
        <f t="shared" si="514"/>
        <v>0</v>
      </c>
      <c r="BB1040" s="62" t="str">
        <f t="shared" si="515"/>
        <v/>
      </c>
    </row>
    <row r="1041" spans="1:54" s="3" customFormat="1" hidden="1" x14ac:dyDescent="0.35">
      <c r="A1041" s="73">
        <f t="shared" si="499"/>
        <v>2019</v>
      </c>
      <c r="B1041" s="73" t="str">
        <f t="shared" si="500"/>
        <v>Nov</v>
      </c>
      <c r="C1041" s="74">
        <f t="shared" si="516"/>
        <v>17</v>
      </c>
      <c r="D1041" s="75">
        <f t="shared" si="501"/>
        <v>8</v>
      </c>
      <c r="E1041" s="76">
        <f t="shared" si="517"/>
        <v>40</v>
      </c>
      <c r="F1041" s="80">
        <v>22</v>
      </c>
      <c r="G1041" s="83"/>
      <c r="H1041" s="69" t="str">
        <f t="shared" si="518"/>
        <v>Senbur6_20191117_08_00</v>
      </c>
      <c r="I1041" s="70">
        <f t="shared" si="519"/>
        <v>1</v>
      </c>
      <c r="J1041" s="77" t="str">
        <f t="shared" si="519"/>
        <v>Senecio</v>
      </c>
      <c r="K1041" s="77" t="str">
        <f t="shared" si="519"/>
        <v>burtoni</v>
      </c>
      <c r="L1041" s="78">
        <f t="shared" si="519"/>
        <v>6</v>
      </c>
      <c r="M1041" s="78">
        <f t="shared" si="519"/>
        <v>12</v>
      </c>
      <c r="N1041" s="72">
        <f t="shared" si="519"/>
        <v>0</v>
      </c>
      <c r="O1041" s="45"/>
      <c r="P1041" s="46">
        <f t="shared" si="502"/>
        <v>1</v>
      </c>
      <c r="Q1041" s="47" t="str">
        <f t="shared" si="503"/>
        <v>08:40:22</v>
      </c>
      <c r="R1041" s="48" t="str">
        <f t="shared" si="504"/>
        <v>40:22</v>
      </c>
      <c r="S1041" s="49">
        <f t="shared" si="498"/>
        <v>25</v>
      </c>
      <c r="T1041" s="48" t="str">
        <f t="shared" si="505"/>
        <v>08</v>
      </c>
      <c r="U1041" s="50">
        <v>40</v>
      </c>
      <c r="V1041" s="51">
        <v>47</v>
      </c>
      <c r="W1041" s="52" t="str">
        <f t="shared" si="506"/>
        <v>40:47</v>
      </c>
      <c r="X1041" s="53" t="s">
        <v>59</v>
      </c>
      <c r="Y1041" s="97" t="s">
        <v>84</v>
      </c>
      <c r="Z1041" s="97" t="s">
        <v>80</v>
      </c>
      <c r="AA1041" s="48" t="s">
        <v>60</v>
      </c>
      <c r="AB1041" s="48" t="str">
        <f t="shared" si="507"/>
        <v>NA</v>
      </c>
      <c r="AC1041" s="54">
        <f t="shared" si="508"/>
        <v>0</v>
      </c>
      <c r="AD1041" s="55">
        <v>2</v>
      </c>
      <c r="AE1041" s="55"/>
      <c r="AF1041" s="55"/>
      <c r="AG1041" s="56" t="str">
        <f t="shared" si="525"/>
        <v/>
      </c>
      <c r="AH1041" s="57" t="str">
        <f t="shared" si="521"/>
        <v/>
      </c>
      <c r="AI1041" s="56">
        <v>1</v>
      </c>
      <c r="AJ1041" s="57">
        <v>1</v>
      </c>
      <c r="AK1041" s="56">
        <v>1</v>
      </c>
      <c r="AL1041" s="57">
        <v>24</v>
      </c>
      <c r="AM1041" s="56"/>
      <c r="AN1041" s="57" t="str">
        <f t="shared" si="509"/>
        <v/>
      </c>
      <c r="AO1041" s="56"/>
      <c r="AP1041" s="57" t="str">
        <f t="shared" si="510"/>
        <v/>
      </c>
      <c r="AQ1041" s="56"/>
      <c r="AR1041" s="57" t="str">
        <f t="shared" si="511"/>
        <v/>
      </c>
      <c r="AS1041" s="56"/>
      <c r="AT1041" s="57" t="str">
        <f t="shared" si="512"/>
        <v/>
      </c>
      <c r="AU1041" s="58"/>
      <c r="AV1041" s="59"/>
      <c r="AW1041" s="59"/>
      <c r="AX1041" s="60"/>
      <c r="AY1041" s="61">
        <v>1</v>
      </c>
      <c r="AZ1041" s="62">
        <f t="shared" si="513"/>
        <v>2</v>
      </c>
      <c r="BA1041" s="61">
        <f t="shared" si="514"/>
        <v>0</v>
      </c>
      <c r="BB1041" s="62" t="str">
        <f t="shared" si="515"/>
        <v/>
      </c>
    </row>
    <row r="1042" spans="1:54" s="3" customFormat="1" hidden="1" x14ac:dyDescent="0.35">
      <c r="A1042" s="73">
        <f t="shared" si="499"/>
        <v>2019</v>
      </c>
      <c r="B1042" s="73" t="str">
        <f t="shared" si="500"/>
        <v>Nov</v>
      </c>
      <c r="C1042" s="74">
        <f t="shared" si="516"/>
        <v>17</v>
      </c>
      <c r="D1042" s="75">
        <f t="shared" si="501"/>
        <v>8</v>
      </c>
      <c r="E1042" s="76">
        <f t="shared" si="517"/>
        <v>41</v>
      </c>
      <c r="F1042" s="80">
        <v>10</v>
      </c>
      <c r="G1042" s="83"/>
      <c r="H1042" s="69" t="str">
        <f t="shared" si="518"/>
        <v>Senbur6_20191117_08_00</v>
      </c>
      <c r="I1042" s="70">
        <f t="shared" si="519"/>
        <v>1</v>
      </c>
      <c r="J1042" s="77" t="str">
        <f t="shared" si="519"/>
        <v>Senecio</v>
      </c>
      <c r="K1042" s="77" t="str">
        <f t="shared" si="519"/>
        <v>burtoni</v>
      </c>
      <c r="L1042" s="78">
        <f t="shared" si="519"/>
        <v>6</v>
      </c>
      <c r="M1042" s="78">
        <f t="shared" si="519"/>
        <v>12</v>
      </c>
      <c r="N1042" s="72">
        <f t="shared" si="519"/>
        <v>0</v>
      </c>
      <c r="O1042" s="45"/>
      <c r="P1042" s="46">
        <f t="shared" si="502"/>
        <v>1</v>
      </c>
      <c r="Q1042" s="47" t="str">
        <f t="shared" si="503"/>
        <v>08:41:10</v>
      </c>
      <c r="R1042" s="48" t="str">
        <f t="shared" si="504"/>
        <v>41:10</v>
      </c>
      <c r="S1042" s="49">
        <f t="shared" si="498"/>
        <v>230</v>
      </c>
      <c r="T1042" s="48" t="str">
        <f t="shared" si="505"/>
        <v>08</v>
      </c>
      <c r="U1042" s="50">
        <v>45</v>
      </c>
      <c r="V1042" s="51">
        <v>0</v>
      </c>
      <c r="W1042" s="52" t="str">
        <f t="shared" si="506"/>
        <v>45:00</v>
      </c>
      <c r="X1042" s="53" t="s">
        <v>59</v>
      </c>
      <c r="Y1042" s="97" t="s">
        <v>78</v>
      </c>
      <c r="Z1042" s="97"/>
      <c r="AA1042" s="48" t="s">
        <v>60</v>
      </c>
      <c r="AB1042" s="48" t="str">
        <f t="shared" si="507"/>
        <v>NA</v>
      </c>
      <c r="AC1042" s="54">
        <f t="shared" si="508"/>
        <v>0</v>
      </c>
      <c r="AD1042" s="55">
        <v>3</v>
      </c>
      <c r="AE1042" s="55"/>
      <c r="AF1042" s="55"/>
      <c r="AG1042" s="56">
        <v>1</v>
      </c>
      <c r="AH1042" s="57">
        <v>3</v>
      </c>
      <c r="AI1042" s="56">
        <v>1</v>
      </c>
      <c r="AJ1042" s="57">
        <v>3</v>
      </c>
      <c r="AK1042" s="56">
        <v>1</v>
      </c>
      <c r="AL1042" s="57">
        <v>224</v>
      </c>
      <c r="AM1042" s="56"/>
      <c r="AN1042" s="57" t="str">
        <f t="shared" si="509"/>
        <v/>
      </c>
      <c r="AO1042" s="56"/>
      <c r="AP1042" s="57" t="str">
        <f t="shared" si="510"/>
        <v/>
      </c>
      <c r="AQ1042" s="56"/>
      <c r="AR1042" s="57" t="str">
        <f t="shared" si="511"/>
        <v/>
      </c>
      <c r="AS1042" s="56"/>
      <c r="AT1042" s="57" t="str">
        <f t="shared" si="512"/>
        <v/>
      </c>
      <c r="AU1042" s="58"/>
      <c r="AV1042" s="59"/>
      <c r="AW1042" s="59"/>
      <c r="AX1042" s="60"/>
      <c r="AY1042" s="61">
        <v>1</v>
      </c>
      <c r="AZ1042" s="62">
        <f t="shared" si="513"/>
        <v>3</v>
      </c>
      <c r="BA1042" s="61">
        <f t="shared" si="514"/>
        <v>0</v>
      </c>
      <c r="BB1042" s="62" t="str">
        <f t="shared" si="515"/>
        <v/>
      </c>
    </row>
    <row r="1043" spans="1:54" s="3" customFormat="1" hidden="1" x14ac:dyDescent="0.35">
      <c r="A1043" s="73">
        <f t="shared" si="499"/>
        <v>2019</v>
      </c>
      <c r="B1043" s="73" t="str">
        <f t="shared" si="500"/>
        <v>Nov</v>
      </c>
      <c r="C1043" s="74">
        <f t="shared" si="516"/>
        <v>17</v>
      </c>
      <c r="D1043" s="75">
        <f t="shared" si="501"/>
        <v>8</v>
      </c>
      <c r="E1043" s="76">
        <v>41</v>
      </c>
      <c r="F1043" s="80">
        <v>13</v>
      </c>
      <c r="G1043" s="83"/>
      <c r="H1043" s="69" t="str">
        <f t="shared" si="518"/>
        <v>Senbur6_20191117_08_00</v>
      </c>
      <c r="I1043" s="70">
        <f t="shared" si="519"/>
        <v>1</v>
      </c>
      <c r="J1043" s="77" t="str">
        <f t="shared" si="519"/>
        <v>Senecio</v>
      </c>
      <c r="K1043" s="77" t="str">
        <f t="shared" si="519"/>
        <v>burtoni</v>
      </c>
      <c r="L1043" s="78">
        <f t="shared" si="519"/>
        <v>6</v>
      </c>
      <c r="M1043" s="78">
        <f t="shared" si="519"/>
        <v>12</v>
      </c>
      <c r="N1043" s="72">
        <f t="shared" si="519"/>
        <v>0</v>
      </c>
      <c r="O1043" s="45"/>
      <c r="P1043" s="46">
        <f t="shared" si="502"/>
        <v>1</v>
      </c>
      <c r="Q1043" s="47" t="str">
        <f t="shared" si="503"/>
        <v>08:41:13</v>
      </c>
      <c r="R1043" s="48" t="str">
        <f t="shared" si="504"/>
        <v>41:13</v>
      </c>
      <c r="S1043" s="49">
        <f t="shared" si="498"/>
        <v>255</v>
      </c>
      <c r="T1043" s="48" t="str">
        <f t="shared" si="505"/>
        <v>08</v>
      </c>
      <c r="U1043" s="50">
        <v>45</v>
      </c>
      <c r="V1043" s="51">
        <v>28</v>
      </c>
      <c r="W1043" s="52" t="str">
        <f t="shared" si="506"/>
        <v>45:28</v>
      </c>
      <c r="X1043" s="53" t="s">
        <v>59</v>
      </c>
      <c r="Y1043" s="97" t="s">
        <v>78</v>
      </c>
      <c r="Z1043" s="97"/>
      <c r="AA1043" s="48" t="s">
        <v>60</v>
      </c>
      <c r="AB1043" s="48" t="str">
        <f t="shared" si="507"/>
        <v>NA</v>
      </c>
      <c r="AC1043" s="54">
        <f t="shared" si="508"/>
        <v>0</v>
      </c>
      <c r="AD1043" s="55">
        <f t="shared" si="520"/>
        <v>1</v>
      </c>
      <c r="AE1043" s="55"/>
      <c r="AF1043" s="55"/>
      <c r="AG1043" s="56">
        <v>1</v>
      </c>
      <c r="AH1043" s="57">
        <v>3</v>
      </c>
      <c r="AI1043" s="56"/>
      <c r="AJ1043" s="57" t="str">
        <f t="shared" si="522"/>
        <v/>
      </c>
      <c r="AK1043" s="56">
        <v>1</v>
      </c>
      <c r="AL1043" s="57">
        <v>252</v>
      </c>
      <c r="AM1043" s="56"/>
      <c r="AN1043" s="57" t="str">
        <f t="shared" si="509"/>
        <v/>
      </c>
      <c r="AO1043" s="56"/>
      <c r="AP1043" s="57" t="str">
        <f t="shared" si="510"/>
        <v/>
      </c>
      <c r="AQ1043" s="56"/>
      <c r="AR1043" s="57" t="str">
        <f t="shared" si="511"/>
        <v/>
      </c>
      <c r="AS1043" s="56"/>
      <c r="AT1043" s="57" t="str">
        <f t="shared" si="512"/>
        <v/>
      </c>
      <c r="AU1043" s="58"/>
      <c r="AV1043" s="59"/>
      <c r="AW1043" s="59"/>
      <c r="AX1043" s="60"/>
      <c r="AY1043" s="61">
        <v>1</v>
      </c>
      <c r="AZ1043" s="62">
        <f t="shared" si="513"/>
        <v>1</v>
      </c>
      <c r="BA1043" s="61">
        <f t="shared" si="514"/>
        <v>0</v>
      </c>
      <c r="BB1043" s="62" t="str">
        <f t="shared" si="515"/>
        <v/>
      </c>
    </row>
    <row r="1044" spans="1:54" s="3" customFormat="1" hidden="1" x14ac:dyDescent="0.35">
      <c r="A1044" s="73">
        <f t="shared" si="499"/>
        <v>2019</v>
      </c>
      <c r="B1044" s="73" t="str">
        <f t="shared" si="500"/>
        <v>Nov</v>
      </c>
      <c r="C1044" s="74">
        <f t="shared" si="516"/>
        <v>17</v>
      </c>
      <c r="D1044" s="75">
        <f t="shared" si="501"/>
        <v>8</v>
      </c>
      <c r="E1044" s="76">
        <f t="shared" si="517"/>
        <v>42</v>
      </c>
      <c r="F1044" s="80"/>
      <c r="G1044" s="83"/>
      <c r="H1044" s="69" t="str">
        <f t="shared" si="518"/>
        <v>Senbur6_20191117_08_00</v>
      </c>
      <c r="I1044" s="70">
        <f t="shared" si="519"/>
        <v>1</v>
      </c>
      <c r="J1044" s="77" t="str">
        <f t="shared" si="519"/>
        <v>Senecio</v>
      </c>
      <c r="K1044" s="77" t="str">
        <f t="shared" si="519"/>
        <v>burtoni</v>
      </c>
      <c r="L1044" s="78">
        <f t="shared" si="519"/>
        <v>6</v>
      </c>
      <c r="M1044" s="78">
        <f t="shared" si="519"/>
        <v>12</v>
      </c>
      <c r="N1044" s="72">
        <f t="shared" si="519"/>
        <v>0</v>
      </c>
      <c r="O1044" s="45"/>
      <c r="P1044" s="46" t="str">
        <f t="shared" si="502"/>
        <v/>
      </c>
      <c r="Q1044" s="47" t="str">
        <f t="shared" si="503"/>
        <v/>
      </c>
      <c r="R1044" s="48" t="e">
        <f t="shared" si="504"/>
        <v>#VALUE!</v>
      </c>
      <c r="S1044" s="49" t="e">
        <f t="shared" si="498"/>
        <v>#VALUE!</v>
      </c>
      <c r="T1044" s="48" t="str">
        <f t="shared" si="505"/>
        <v/>
      </c>
      <c r="U1044" s="50"/>
      <c r="V1044" s="51"/>
      <c r="W1044" s="52" t="e">
        <f t="shared" si="506"/>
        <v>#VALUE!</v>
      </c>
      <c r="X1044" s="53"/>
      <c r="Y1044" s="53"/>
      <c r="Z1044" s="53"/>
      <c r="AA1044" s="48" t="e">
        <f>INDEX([1]!VISITORS[INSECT ORDER], MATCH(X1044,[1]!VISITORS[NAME USED],0))</f>
        <v>#REF!</v>
      </c>
      <c r="AB1044" s="48" t="e">
        <f t="shared" si="507"/>
        <v>#REF!</v>
      </c>
      <c r="AC1044" s="54" t="e">
        <f t="shared" si="508"/>
        <v>#VALUE!</v>
      </c>
      <c r="AD1044" s="55" t="str">
        <f t="shared" si="520"/>
        <v/>
      </c>
      <c r="AE1044" s="55"/>
      <c r="AF1044" s="55"/>
      <c r="AG1044" s="56" t="str">
        <f t="shared" si="525"/>
        <v/>
      </c>
      <c r="AH1044" s="57" t="str">
        <f t="shared" si="521"/>
        <v/>
      </c>
      <c r="AI1044" s="56"/>
      <c r="AJ1044" s="57" t="str">
        <f t="shared" si="522"/>
        <v/>
      </c>
      <c r="AK1044" s="56"/>
      <c r="AL1044" s="57" t="str">
        <f t="shared" si="523"/>
        <v/>
      </c>
      <c r="AM1044" s="56"/>
      <c r="AN1044" s="57" t="str">
        <f t="shared" si="509"/>
        <v/>
      </c>
      <c r="AO1044" s="56"/>
      <c r="AP1044" s="57" t="str">
        <f t="shared" si="510"/>
        <v/>
      </c>
      <c r="AQ1044" s="56"/>
      <c r="AR1044" s="57" t="str">
        <f t="shared" si="511"/>
        <v/>
      </c>
      <c r="AS1044" s="56"/>
      <c r="AT1044" s="57" t="str">
        <f t="shared" si="512"/>
        <v/>
      </c>
      <c r="AU1044" s="58"/>
      <c r="AV1044" s="59"/>
      <c r="AW1044" s="59"/>
      <c r="AX1044" s="60"/>
      <c r="AY1044" s="61" t="str">
        <f t="shared" si="524"/>
        <v/>
      </c>
      <c r="AZ1044" s="62" t="str">
        <f t="shared" si="513"/>
        <v/>
      </c>
      <c r="BA1044" s="61" t="str">
        <f t="shared" si="514"/>
        <v/>
      </c>
      <c r="BB1044" s="62" t="str">
        <f t="shared" si="515"/>
        <v/>
      </c>
    </row>
    <row r="1045" spans="1:54" s="3" customFormat="1" hidden="1" x14ac:dyDescent="0.35">
      <c r="A1045" s="73">
        <f t="shared" si="499"/>
        <v>2019</v>
      </c>
      <c r="B1045" s="73" t="str">
        <f t="shared" si="500"/>
        <v>Nov</v>
      </c>
      <c r="C1045" s="74">
        <f t="shared" si="516"/>
        <v>17</v>
      </c>
      <c r="D1045" s="75">
        <f t="shared" si="501"/>
        <v>8</v>
      </c>
      <c r="E1045" s="76">
        <f t="shared" si="517"/>
        <v>43</v>
      </c>
      <c r="F1045" s="80"/>
      <c r="G1045" s="83"/>
      <c r="H1045" s="69" t="str">
        <f t="shared" si="518"/>
        <v>Senbur6_20191117_08_00</v>
      </c>
      <c r="I1045" s="70">
        <f t="shared" ref="I1045:N1060" si="526">I1044</f>
        <v>1</v>
      </c>
      <c r="J1045" s="77" t="str">
        <f t="shared" si="526"/>
        <v>Senecio</v>
      </c>
      <c r="K1045" s="77" t="str">
        <f t="shared" si="526"/>
        <v>burtoni</v>
      </c>
      <c r="L1045" s="78">
        <f t="shared" si="526"/>
        <v>6</v>
      </c>
      <c r="M1045" s="78">
        <f t="shared" si="526"/>
        <v>12</v>
      </c>
      <c r="N1045" s="72">
        <f t="shared" si="526"/>
        <v>0</v>
      </c>
      <c r="O1045" s="45"/>
      <c r="P1045" s="46" t="str">
        <f t="shared" si="502"/>
        <v/>
      </c>
      <c r="Q1045" s="47" t="str">
        <f t="shared" si="503"/>
        <v/>
      </c>
      <c r="R1045" s="48" t="e">
        <f t="shared" si="504"/>
        <v>#VALUE!</v>
      </c>
      <c r="S1045" s="49" t="e">
        <f t="shared" si="498"/>
        <v>#VALUE!</v>
      </c>
      <c r="T1045" s="48" t="str">
        <f t="shared" si="505"/>
        <v/>
      </c>
      <c r="U1045" s="50"/>
      <c r="V1045" s="51"/>
      <c r="W1045" s="52" t="e">
        <f t="shared" si="506"/>
        <v>#VALUE!</v>
      </c>
      <c r="X1045" s="53"/>
      <c r="Y1045" s="53"/>
      <c r="Z1045" s="53"/>
      <c r="AA1045" s="48" t="e">
        <f>INDEX([1]!VISITORS[INSECT ORDER], MATCH(X1045,[1]!VISITORS[NAME USED],0))</f>
        <v>#REF!</v>
      </c>
      <c r="AB1045" s="48" t="e">
        <f t="shared" si="507"/>
        <v>#REF!</v>
      </c>
      <c r="AC1045" s="54" t="e">
        <f t="shared" si="508"/>
        <v>#VALUE!</v>
      </c>
      <c r="AD1045" s="55" t="str">
        <f t="shared" si="520"/>
        <v/>
      </c>
      <c r="AE1045" s="55"/>
      <c r="AF1045" s="55"/>
      <c r="AG1045" s="56" t="str">
        <f t="shared" si="525"/>
        <v/>
      </c>
      <c r="AH1045" s="57" t="str">
        <f t="shared" si="521"/>
        <v/>
      </c>
      <c r="AI1045" s="56"/>
      <c r="AJ1045" s="57" t="str">
        <f t="shared" si="522"/>
        <v/>
      </c>
      <c r="AK1045" s="56"/>
      <c r="AL1045" s="57" t="str">
        <f t="shared" si="523"/>
        <v/>
      </c>
      <c r="AM1045" s="56"/>
      <c r="AN1045" s="57" t="str">
        <f t="shared" si="509"/>
        <v/>
      </c>
      <c r="AO1045" s="56"/>
      <c r="AP1045" s="57" t="str">
        <f t="shared" si="510"/>
        <v/>
      </c>
      <c r="AQ1045" s="56"/>
      <c r="AR1045" s="57" t="str">
        <f t="shared" si="511"/>
        <v/>
      </c>
      <c r="AS1045" s="56"/>
      <c r="AT1045" s="57" t="str">
        <f t="shared" si="512"/>
        <v/>
      </c>
      <c r="AU1045" s="58"/>
      <c r="AV1045" s="59"/>
      <c r="AW1045" s="59"/>
      <c r="AX1045" s="60"/>
      <c r="AY1045" s="61" t="str">
        <f t="shared" si="524"/>
        <v/>
      </c>
      <c r="AZ1045" s="62" t="str">
        <f t="shared" si="513"/>
        <v/>
      </c>
      <c r="BA1045" s="61" t="str">
        <f t="shared" si="514"/>
        <v/>
      </c>
      <c r="BB1045" s="62" t="str">
        <f t="shared" si="515"/>
        <v/>
      </c>
    </row>
    <row r="1046" spans="1:54" s="3" customFormat="1" hidden="1" x14ac:dyDescent="0.35">
      <c r="A1046" s="73">
        <f t="shared" si="499"/>
        <v>2019</v>
      </c>
      <c r="B1046" s="73" t="str">
        <f t="shared" si="500"/>
        <v>Nov</v>
      </c>
      <c r="C1046" s="74">
        <f t="shared" si="516"/>
        <v>17</v>
      </c>
      <c r="D1046" s="75">
        <f t="shared" si="501"/>
        <v>8</v>
      </c>
      <c r="E1046" s="76">
        <f t="shared" si="517"/>
        <v>44</v>
      </c>
      <c r="F1046" s="80">
        <v>48</v>
      </c>
      <c r="G1046" s="83"/>
      <c r="H1046" s="69" t="str">
        <f t="shared" si="518"/>
        <v>Senbur6_20191117_08_00</v>
      </c>
      <c r="I1046" s="70">
        <f t="shared" si="526"/>
        <v>1</v>
      </c>
      <c r="J1046" s="77" t="str">
        <f t="shared" si="526"/>
        <v>Senecio</v>
      </c>
      <c r="K1046" s="77" t="str">
        <f t="shared" si="526"/>
        <v>burtoni</v>
      </c>
      <c r="L1046" s="78">
        <f t="shared" si="526"/>
        <v>6</v>
      </c>
      <c r="M1046" s="78">
        <f t="shared" si="526"/>
        <v>12</v>
      </c>
      <c r="N1046" s="72">
        <f t="shared" si="526"/>
        <v>0</v>
      </c>
      <c r="O1046" s="45"/>
      <c r="P1046" s="46">
        <f t="shared" si="502"/>
        <v>1</v>
      </c>
      <c r="Q1046" s="47" t="str">
        <f t="shared" si="503"/>
        <v>08:44:48</v>
      </c>
      <c r="R1046" s="48" t="str">
        <f t="shared" si="504"/>
        <v>44:48</v>
      </c>
      <c r="S1046" s="49">
        <f t="shared" si="498"/>
        <v>34</v>
      </c>
      <c r="T1046" s="48" t="str">
        <f t="shared" si="505"/>
        <v>08</v>
      </c>
      <c r="U1046" s="50">
        <v>45</v>
      </c>
      <c r="V1046" s="51">
        <v>22</v>
      </c>
      <c r="W1046" s="52" t="str">
        <f t="shared" si="506"/>
        <v>45:22</v>
      </c>
      <c r="X1046" s="53" t="s">
        <v>61</v>
      </c>
      <c r="Y1046" s="97" t="s">
        <v>78</v>
      </c>
      <c r="Z1046" s="97"/>
      <c r="AA1046" s="48" t="s">
        <v>60</v>
      </c>
      <c r="AB1046" s="48" t="str">
        <f t="shared" si="507"/>
        <v>NA</v>
      </c>
      <c r="AC1046" s="54">
        <f t="shared" si="508"/>
        <v>0</v>
      </c>
      <c r="AD1046" s="55">
        <f t="shared" si="520"/>
        <v>1</v>
      </c>
      <c r="AE1046" s="55"/>
      <c r="AF1046" s="55"/>
      <c r="AG1046" s="56">
        <v>1</v>
      </c>
      <c r="AH1046" s="57">
        <v>1</v>
      </c>
      <c r="AI1046" s="56"/>
      <c r="AJ1046" s="57" t="str">
        <f t="shared" si="522"/>
        <v/>
      </c>
      <c r="AK1046" s="56">
        <v>1</v>
      </c>
      <c r="AL1046" s="57">
        <v>33</v>
      </c>
      <c r="AM1046" s="56"/>
      <c r="AN1046" s="57" t="str">
        <f t="shared" si="509"/>
        <v/>
      </c>
      <c r="AO1046" s="56"/>
      <c r="AP1046" s="57" t="str">
        <f t="shared" si="510"/>
        <v/>
      </c>
      <c r="AQ1046" s="56"/>
      <c r="AR1046" s="57" t="str">
        <f t="shared" si="511"/>
        <v/>
      </c>
      <c r="AS1046" s="56"/>
      <c r="AT1046" s="57" t="str">
        <f t="shared" si="512"/>
        <v/>
      </c>
      <c r="AU1046" s="58"/>
      <c r="AV1046" s="59"/>
      <c r="AW1046" s="59"/>
      <c r="AX1046" s="60"/>
      <c r="AY1046" s="61">
        <v>1</v>
      </c>
      <c r="AZ1046" s="62">
        <f t="shared" si="513"/>
        <v>1</v>
      </c>
      <c r="BA1046" s="61">
        <f t="shared" si="514"/>
        <v>0</v>
      </c>
      <c r="BB1046" s="62" t="str">
        <f t="shared" si="515"/>
        <v/>
      </c>
    </row>
    <row r="1047" spans="1:54" s="3" customFormat="1" hidden="1" x14ac:dyDescent="0.35">
      <c r="A1047" s="73">
        <f t="shared" si="499"/>
        <v>2019</v>
      </c>
      <c r="B1047" s="73" t="str">
        <f t="shared" si="500"/>
        <v>Nov</v>
      </c>
      <c r="C1047" s="74">
        <f t="shared" si="516"/>
        <v>17</v>
      </c>
      <c r="D1047" s="75">
        <f t="shared" si="501"/>
        <v>8</v>
      </c>
      <c r="E1047" s="76">
        <f t="shared" si="517"/>
        <v>45</v>
      </c>
      <c r="F1047" s="80">
        <v>8</v>
      </c>
      <c r="G1047" s="83"/>
      <c r="H1047" s="69" t="str">
        <f t="shared" si="518"/>
        <v>Senbur6_20191117_08_00</v>
      </c>
      <c r="I1047" s="70">
        <f t="shared" si="526"/>
        <v>1</v>
      </c>
      <c r="J1047" s="77" t="str">
        <f t="shared" si="526"/>
        <v>Senecio</v>
      </c>
      <c r="K1047" s="77" t="str">
        <f t="shared" si="526"/>
        <v>burtoni</v>
      </c>
      <c r="L1047" s="78">
        <f t="shared" si="526"/>
        <v>6</v>
      </c>
      <c r="M1047" s="78">
        <f t="shared" si="526"/>
        <v>12</v>
      </c>
      <c r="N1047" s="72">
        <f t="shared" si="526"/>
        <v>0</v>
      </c>
      <c r="O1047" s="45"/>
      <c r="P1047" s="46">
        <f t="shared" si="502"/>
        <v>1</v>
      </c>
      <c r="Q1047" s="47" t="str">
        <f t="shared" si="503"/>
        <v>08:45:08</v>
      </c>
      <c r="R1047" s="48" t="str">
        <f t="shared" si="504"/>
        <v>45:08</v>
      </c>
      <c r="S1047" s="49">
        <f t="shared" si="498"/>
        <v>136</v>
      </c>
      <c r="T1047" s="48" t="str">
        <f t="shared" si="505"/>
        <v>08</v>
      </c>
      <c r="U1047" s="50">
        <v>47</v>
      </c>
      <c r="V1047" s="51">
        <v>24</v>
      </c>
      <c r="W1047" s="52" t="str">
        <f t="shared" si="506"/>
        <v>47:24</v>
      </c>
      <c r="X1047" s="53" t="s">
        <v>59</v>
      </c>
      <c r="Y1047" s="97" t="s">
        <v>84</v>
      </c>
      <c r="Z1047" s="97" t="s">
        <v>80</v>
      </c>
      <c r="AA1047" s="48" t="s">
        <v>60</v>
      </c>
      <c r="AB1047" s="48" t="s">
        <v>64</v>
      </c>
      <c r="AC1047" s="54">
        <f t="shared" si="508"/>
        <v>0</v>
      </c>
      <c r="AD1047" s="55">
        <v>2</v>
      </c>
      <c r="AE1047" s="55"/>
      <c r="AF1047" s="55"/>
      <c r="AG1047" s="56">
        <v>1</v>
      </c>
      <c r="AH1047" s="57">
        <v>1</v>
      </c>
      <c r="AI1047" s="56">
        <v>1</v>
      </c>
      <c r="AJ1047" s="57">
        <v>4</v>
      </c>
      <c r="AK1047" s="56">
        <v>1</v>
      </c>
      <c r="AL1047" s="57">
        <v>131</v>
      </c>
      <c r="AM1047" s="56"/>
      <c r="AN1047" s="57" t="str">
        <f t="shared" si="509"/>
        <v/>
      </c>
      <c r="AO1047" s="56"/>
      <c r="AP1047" s="57" t="str">
        <f t="shared" si="510"/>
        <v/>
      </c>
      <c r="AQ1047" s="56"/>
      <c r="AR1047" s="57" t="str">
        <f t="shared" si="511"/>
        <v/>
      </c>
      <c r="AS1047" s="56"/>
      <c r="AT1047" s="57" t="str">
        <f t="shared" si="512"/>
        <v/>
      </c>
      <c r="AU1047" s="58"/>
      <c r="AV1047" s="59"/>
      <c r="AW1047" s="59"/>
      <c r="AX1047" s="60"/>
      <c r="AY1047" s="61">
        <v>1</v>
      </c>
      <c r="AZ1047" s="62">
        <f t="shared" si="513"/>
        <v>2</v>
      </c>
      <c r="BA1047" s="61">
        <f t="shared" si="514"/>
        <v>0</v>
      </c>
      <c r="BB1047" s="62" t="str">
        <f t="shared" si="515"/>
        <v/>
      </c>
    </row>
    <row r="1048" spans="1:54" s="3" customFormat="1" hidden="1" x14ac:dyDescent="0.35">
      <c r="A1048" s="73">
        <f t="shared" si="499"/>
        <v>2019</v>
      </c>
      <c r="B1048" s="73" t="str">
        <f t="shared" si="500"/>
        <v>Nov</v>
      </c>
      <c r="C1048" s="74">
        <f t="shared" si="516"/>
        <v>17</v>
      </c>
      <c r="D1048" s="75">
        <f t="shared" si="501"/>
        <v>8</v>
      </c>
      <c r="E1048" s="76">
        <f t="shared" si="517"/>
        <v>46</v>
      </c>
      <c r="F1048" s="80"/>
      <c r="G1048" s="83"/>
      <c r="H1048" s="69" t="str">
        <f t="shared" si="518"/>
        <v>Senbur6_20191117_08_00</v>
      </c>
      <c r="I1048" s="70">
        <f t="shared" si="526"/>
        <v>1</v>
      </c>
      <c r="J1048" s="77" t="str">
        <f t="shared" si="526"/>
        <v>Senecio</v>
      </c>
      <c r="K1048" s="77" t="str">
        <f t="shared" si="526"/>
        <v>burtoni</v>
      </c>
      <c r="L1048" s="78">
        <f t="shared" si="526"/>
        <v>6</v>
      </c>
      <c r="M1048" s="78">
        <f t="shared" si="526"/>
        <v>12</v>
      </c>
      <c r="N1048" s="72">
        <f t="shared" si="526"/>
        <v>0</v>
      </c>
      <c r="O1048" s="45"/>
      <c r="P1048" s="46" t="str">
        <f t="shared" si="502"/>
        <v/>
      </c>
      <c r="Q1048" s="47" t="str">
        <f t="shared" si="503"/>
        <v/>
      </c>
      <c r="R1048" s="48" t="e">
        <f t="shared" si="504"/>
        <v>#VALUE!</v>
      </c>
      <c r="S1048" s="49" t="e">
        <f t="shared" si="498"/>
        <v>#VALUE!</v>
      </c>
      <c r="T1048" s="48" t="str">
        <f t="shared" si="505"/>
        <v/>
      </c>
      <c r="U1048" s="50"/>
      <c r="V1048" s="51"/>
      <c r="W1048" s="52" t="e">
        <f t="shared" si="506"/>
        <v>#VALUE!</v>
      </c>
      <c r="X1048" s="53"/>
      <c r="Y1048" s="53"/>
      <c r="Z1048" s="53"/>
      <c r="AA1048" s="48" t="e">
        <f>INDEX([1]!VISITORS[INSECT ORDER], MATCH(X1048,[1]!VISITORS[NAME USED],0))</f>
        <v>#REF!</v>
      </c>
      <c r="AB1048" s="48" t="e">
        <f t="shared" si="507"/>
        <v>#REF!</v>
      </c>
      <c r="AC1048" s="54" t="e">
        <f t="shared" si="508"/>
        <v>#VALUE!</v>
      </c>
      <c r="AD1048" s="55" t="str">
        <f t="shared" si="520"/>
        <v/>
      </c>
      <c r="AE1048" s="55"/>
      <c r="AF1048" s="55"/>
      <c r="AG1048" s="56" t="str">
        <f t="shared" si="525"/>
        <v/>
      </c>
      <c r="AH1048" s="57" t="str">
        <f t="shared" si="521"/>
        <v/>
      </c>
      <c r="AI1048" s="56"/>
      <c r="AJ1048" s="57" t="str">
        <f t="shared" si="522"/>
        <v/>
      </c>
      <c r="AK1048" s="56"/>
      <c r="AL1048" s="57" t="str">
        <f t="shared" si="523"/>
        <v/>
      </c>
      <c r="AM1048" s="56"/>
      <c r="AN1048" s="57" t="str">
        <f t="shared" si="509"/>
        <v/>
      </c>
      <c r="AO1048" s="56"/>
      <c r="AP1048" s="57" t="str">
        <f t="shared" si="510"/>
        <v/>
      </c>
      <c r="AQ1048" s="56"/>
      <c r="AR1048" s="57" t="str">
        <f t="shared" si="511"/>
        <v/>
      </c>
      <c r="AS1048" s="56"/>
      <c r="AT1048" s="57" t="str">
        <f t="shared" si="512"/>
        <v/>
      </c>
      <c r="AU1048" s="58"/>
      <c r="AV1048" s="59"/>
      <c r="AW1048" s="59"/>
      <c r="AX1048" s="60"/>
      <c r="AY1048" s="61" t="str">
        <f t="shared" si="524"/>
        <v/>
      </c>
      <c r="AZ1048" s="62" t="str">
        <f t="shared" si="513"/>
        <v/>
      </c>
      <c r="BA1048" s="61" t="str">
        <f t="shared" si="514"/>
        <v/>
      </c>
      <c r="BB1048" s="62" t="str">
        <f t="shared" si="515"/>
        <v/>
      </c>
    </row>
    <row r="1049" spans="1:54" s="3" customFormat="1" hidden="1" x14ac:dyDescent="0.35">
      <c r="A1049" s="73">
        <f t="shared" si="499"/>
        <v>2019</v>
      </c>
      <c r="B1049" s="73" t="str">
        <f t="shared" si="500"/>
        <v>Nov</v>
      </c>
      <c r="C1049" s="74">
        <f t="shared" si="516"/>
        <v>17</v>
      </c>
      <c r="D1049" s="75">
        <f t="shared" si="501"/>
        <v>8</v>
      </c>
      <c r="E1049" s="76">
        <f t="shared" si="517"/>
        <v>47</v>
      </c>
      <c r="F1049" s="80"/>
      <c r="G1049" s="83"/>
      <c r="H1049" s="69" t="str">
        <f t="shared" si="518"/>
        <v>Senbur6_20191117_08_00</v>
      </c>
      <c r="I1049" s="70">
        <f t="shared" si="526"/>
        <v>1</v>
      </c>
      <c r="J1049" s="77" t="str">
        <f t="shared" si="526"/>
        <v>Senecio</v>
      </c>
      <c r="K1049" s="77" t="str">
        <f t="shared" si="526"/>
        <v>burtoni</v>
      </c>
      <c r="L1049" s="78">
        <f t="shared" si="526"/>
        <v>6</v>
      </c>
      <c r="M1049" s="78">
        <f t="shared" si="526"/>
        <v>12</v>
      </c>
      <c r="N1049" s="72">
        <f t="shared" si="526"/>
        <v>0</v>
      </c>
      <c r="O1049" s="45"/>
      <c r="P1049" s="46" t="str">
        <f t="shared" si="502"/>
        <v/>
      </c>
      <c r="Q1049" s="47" t="str">
        <f t="shared" si="503"/>
        <v/>
      </c>
      <c r="R1049" s="48" t="e">
        <f t="shared" si="504"/>
        <v>#VALUE!</v>
      </c>
      <c r="S1049" s="49" t="e">
        <f t="shared" si="498"/>
        <v>#VALUE!</v>
      </c>
      <c r="T1049" s="48" t="str">
        <f t="shared" si="505"/>
        <v/>
      </c>
      <c r="U1049" s="50"/>
      <c r="V1049" s="51"/>
      <c r="W1049" s="52" t="e">
        <f t="shared" si="506"/>
        <v>#VALUE!</v>
      </c>
      <c r="X1049" s="53"/>
      <c r="Y1049" s="53"/>
      <c r="Z1049" s="53"/>
      <c r="AA1049" s="48" t="e">
        <f>INDEX([1]!VISITORS[INSECT ORDER], MATCH(X1049,[1]!VISITORS[NAME USED],0))</f>
        <v>#REF!</v>
      </c>
      <c r="AB1049" s="48" t="e">
        <f t="shared" si="507"/>
        <v>#REF!</v>
      </c>
      <c r="AC1049" s="54" t="e">
        <f t="shared" si="508"/>
        <v>#VALUE!</v>
      </c>
      <c r="AD1049" s="55" t="str">
        <f t="shared" si="520"/>
        <v/>
      </c>
      <c r="AE1049" s="55"/>
      <c r="AF1049" s="55"/>
      <c r="AG1049" s="56" t="str">
        <f t="shared" si="525"/>
        <v/>
      </c>
      <c r="AH1049" s="57" t="str">
        <f t="shared" si="521"/>
        <v/>
      </c>
      <c r="AI1049" s="56"/>
      <c r="AJ1049" s="57" t="str">
        <f t="shared" si="522"/>
        <v/>
      </c>
      <c r="AK1049" s="56"/>
      <c r="AL1049" s="57" t="str">
        <f t="shared" si="523"/>
        <v/>
      </c>
      <c r="AM1049" s="56"/>
      <c r="AN1049" s="57" t="str">
        <f t="shared" si="509"/>
        <v/>
      </c>
      <c r="AO1049" s="56"/>
      <c r="AP1049" s="57" t="str">
        <f t="shared" si="510"/>
        <v/>
      </c>
      <c r="AQ1049" s="56"/>
      <c r="AR1049" s="57" t="str">
        <f t="shared" si="511"/>
        <v/>
      </c>
      <c r="AS1049" s="56"/>
      <c r="AT1049" s="57" t="str">
        <f t="shared" si="512"/>
        <v/>
      </c>
      <c r="AU1049" s="58"/>
      <c r="AV1049" s="59"/>
      <c r="AW1049" s="59"/>
      <c r="AX1049" s="60"/>
      <c r="AY1049" s="61" t="str">
        <f t="shared" si="524"/>
        <v/>
      </c>
      <c r="AZ1049" s="62" t="str">
        <f t="shared" si="513"/>
        <v/>
      </c>
      <c r="BA1049" s="61" t="str">
        <f t="shared" si="514"/>
        <v/>
      </c>
      <c r="BB1049" s="62" t="str">
        <f t="shared" si="515"/>
        <v/>
      </c>
    </row>
    <row r="1050" spans="1:54" s="3" customFormat="1" hidden="1" x14ac:dyDescent="0.35">
      <c r="A1050" s="73">
        <f t="shared" si="499"/>
        <v>2019</v>
      </c>
      <c r="B1050" s="73" t="str">
        <f t="shared" si="500"/>
        <v>Nov</v>
      </c>
      <c r="C1050" s="74">
        <f t="shared" si="516"/>
        <v>17</v>
      </c>
      <c r="D1050" s="75">
        <f t="shared" si="501"/>
        <v>8</v>
      </c>
      <c r="E1050" s="76">
        <f t="shared" si="517"/>
        <v>48</v>
      </c>
      <c r="F1050" s="80"/>
      <c r="G1050" s="83"/>
      <c r="H1050" s="69" t="str">
        <f t="shared" si="518"/>
        <v>Senbur6_20191117_08_00</v>
      </c>
      <c r="I1050" s="70">
        <f t="shared" si="526"/>
        <v>1</v>
      </c>
      <c r="J1050" s="77" t="str">
        <f t="shared" si="526"/>
        <v>Senecio</v>
      </c>
      <c r="K1050" s="77" t="str">
        <f t="shared" si="526"/>
        <v>burtoni</v>
      </c>
      <c r="L1050" s="78">
        <f t="shared" si="526"/>
        <v>6</v>
      </c>
      <c r="M1050" s="78">
        <f t="shared" si="526"/>
        <v>12</v>
      </c>
      <c r="N1050" s="72">
        <f t="shared" si="526"/>
        <v>0</v>
      </c>
      <c r="O1050" s="45"/>
      <c r="P1050" s="46" t="str">
        <f t="shared" si="502"/>
        <v/>
      </c>
      <c r="Q1050" s="47" t="str">
        <f t="shared" si="503"/>
        <v/>
      </c>
      <c r="R1050" s="48" t="e">
        <f t="shared" si="504"/>
        <v>#VALUE!</v>
      </c>
      <c r="S1050" s="49" t="e">
        <f t="shared" si="498"/>
        <v>#VALUE!</v>
      </c>
      <c r="T1050" s="48" t="str">
        <f t="shared" si="505"/>
        <v/>
      </c>
      <c r="U1050" s="50"/>
      <c r="V1050" s="51"/>
      <c r="W1050" s="52" t="e">
        <f t="shared" si="506"/>
        <v>#VALUE!</v>
      </c>
      <c r="X1050" s="53"/>
      <c r="Y1050" s="53"/>
      <c r="Z1050" s="53"/>
      <c r="AA1050" s="48" t="e">
        <f>INDEX([1]!VISITORS[INSECT ORDER], MATCH(X1050,[1]!VISITORS[NAME USED],0))</f>
        <v>#REF!</v>
      </c>
      <c r="AB1050" s="48" t="e">
        <f t="shared" si="507"/>
        <v>#REF!</v>
      </c>
      <c r="AC1050" s="54" t="e">
        <f t="shared" si="508"/>
        <v>#VALUE!</v>
      </c>
      <c r="AD1050" s="55" t="str">
        <f t="shared" si="520"/>
        <v/>
      </c>
      <c r="AE1050" s="55"/>
      <c r="AF1050" s="55"/>
      <c r="AG1050" s="56" t="str">
        <f t="shared" si="525"/>
        <v/>
      </c>
      <c r="AH1050" s="57" t="str">
        <f t="shared" si="521"/>
        <v/>
      </c>
      <c r="AI1050" s="56"/>
      <c r="AJ1050" s="57" t="str">
        <f t="shared" si="522"/>
        <v/>
      </c>
      <c r="AK1050" s="56"/>
      <c r="AL1050" s="57" t="str">
        <f t="shared" si="523"/>
        <v/>
      </c>
      <c r="AM1050" s="56"/>
      <c r="AN1050" s="57" t="str">
        <f t="shared" si="509"/>
        <v/>
      </c>
      <c r="AO1050" s="56"/>
      <c r="AP1050" s="57" t="str">
        <f t="shared" si="510"/>
        <v/>
      </c>
      <c r="AQ1050" s="56"/>
      <c r="AR1050" s="57" t="str">
        <f t="shared" si="511"/>
        <v/>
      </c>
      <c r="AS1050" s="56"/>
      <c r="AT1050" s="57" t="str">
        <f t="shared" si="512"/>
        <v/>
      </c>
      <c r="AU1050" s="58"/>
      <c r="AV1050" s="59"/>
      <c r="AW1050" s="59"/>
      <c r="AX1050" s="60"/>
      <c r="AY1050" s="61" t="str">
        <f t="shared" si="524"/>
        <v/>
      </c>
      <c r="AZ1050" s="62" t="str">
        <f t="shared" si="513"/>
        <v/>
      </c>
      <c r="BA1050" s="61" t="str">
        <f t="shared" si="514"/>
        <v/>
      </c>
      <c r="BB1050" s="62" t="str">
        <f t="shared" si="515"/>
        <v/>
      </c>
    </row>
    <row r="1051" spans="1:54" s="3" customFormat="1" hidden="1" x14ac:dyDescent="0.35">
      <c r="A1051" s="73">
        <f t="shared" si="499"/>
        <v>2019</v>
      </c>
      <c r="B1051" s="73" t="str">
        <f t="shared" si="500"/>
        <v>Nov</v>
      </c>
      <c r="C1051" s="74">
        <f t="shared" si="516"/>
        <v>17</v>
      </c>
      <c r="D1051" s="75">
        <f t="shared" si="501"/>
        <v>8</v>
      </c>
      <c r="E1051" s="76">
        <f t="shared" si="517"/>
        <v>49</v>
      </c>
      <c r="F1051" s="80">
        <v>3</v>
      </c>
      <c r="G1051" s="83"/>
      <c r="H1051" s="69" t="str">
        <f t="shared" si="518"/>
        <v>Senbur6_20191117_08_00</v>
      </c>
      <c r="I1051" s="70">
        <f t="shared" si="526"/>
        <v>1</v>
      </c>
      <c r="J1051" s="77" t="str">
        <f t="shared" si="526"/>
        <v>Senecio</v>
      </c>
      <c r="K1051" s="77" t="str">
        <f t="shared" si="526"/>
        <v>burtoni</v>
      </c>
      <c r="L1051" s="78">
        <f t="shared" si="526"/>
        <v>6</v>
      </c>
      <c r="M1051" s="78">
        <f t="shared" si="526"/>
        <v>12</v>
      </c>
      <c r="N1051" s="72">
        <f t="shared" si="526"/>
        <v>0</v>
      </c>
      <c r="O1051" s="45"/>
      <c r="P1051" s="46">
        <f t="shared" si="502"/>
        <v>1</v>
      </c>
      <c r="Q1051" s="47" t="str">
        <f t="shared" si="503"/>
        <v>08:49:03</v>
      </c>
      <c r="R1051" s="48" t="str">
        <f t="shared" si="504"/>
        <v>49:03</v>
      </c>
      <c r="S1051" s="49">
        <f t="shared" si="498"/>
        <v>26</v>
      </c>
      <c r="T1051" s="48" t="str">
        <f t="shared" si="505"/>
        <v>08</v>
      </c>
      <c r="U1051" s="50">
        <v>49</v>
      </c>
      <c r="V1051" s="51">
        <v>29</v>
      </c>
      <c r="W1051" s="52" t="str">
        <f t="shared" si="506"/>
        <v>49:29</v>
      </c>
      <c r="X1051" s="53" t="s">
        <v>59</v>
      </c>
      <c r="Y1051" s="97" t="s">
        <v>84</v>
      </c>
      <c r="Z1051" s="97" t="s">
        <v>80</v>
      </c>
      <c r="AA1051" s="48" t="s">
        <v>60</v>
      </c>
      <c r="AB1051" s="48" t="str">
        <f t="shared" si="507"/>
        <v>NA</v>
      </c>
      <c r="AC1051" s="54">
        <f t="shared" si="508"/>
        <v>0</v>
      </c>
      <c r="AD1051" s="55">
        <f t="shared" si="520"/>
        <v>1</v>
      </c>
      <c r="AE1051" s="55"/>
      <c r="AF1051" s="55"/>
      <c r="AG1051" s="56">
        <v>1</v>
      </c>
      <c r="AH1051" s="57">
        <v>4</v>
      </c>
      <c r="AI1051" s="56"/>
      <c r="AJ1051" s="57" t="str">
        <f t="shared" si="522"/>
        <v/>
      </c>
      <c r="AK1051" s="56">
        <v>1</v>
      </c>
      <c r="AL1051" s="57">
        <v>22</v>
      </c>
      <c r="AM1051" s="56"/>
      <c r="AN1051" s="57" t="str">
        <f t="shared" si="509"/>
        <v/>
      </c>
      <c r="AO1051" s="56"/>
      <c r="AP1051" s="57" t="str">
        <f t="shared" si="510"/>
        <v/>
      </c>
      <c r="AQ1051" s="56"/>
      <c r="AR1051" s="57" t="str">
        <f t="shared" si="511"/>
        <v/>
      </c>
      <c r="AS1051" s="56"/>
      <c r="AT1051" s="57" t="str">
        <f t="shared" si="512"/>
        <v/>
      </c>
      <c r="AU1051" s="58"/>
      <c r="AV1051" s="59"/>
      <c r="AW1051" s="59"/>
      <c r="AX1051" s="60"/>
      <c r="AY1051" s="61">
        <v>1</v>
      </c>
      <c r="AZ1051" s="62">
        <f t="shared" si="513"/>
        <v>1</v>
      </c>
      <c r="BA1051" s="61">
        <f t="shared" si="514"/>
        <v>0</v>
      </c>
      <c r="BB1051" s="62" t="str">
        <f t="shared" si="515"/>
        <v/>
      </c>
    </row>
    <row r="1052" spans="1:54" s="3" customFormat="1" hidden="1" x14ac:dyDescent="0.35">
      <c r="A1052" s="73">
        <f t="shared" si="499"/>
        <v>2019</v>
      </c>
      <c r="B1052" s="73" t="str">
        <f t="shared" si="500"/>
        <v>Nov</v>
      </c>
      <c r="C1052" s="74">
        <f t="shared" si="516"/>
        <v>17</v>
      </c>
      <c r="D1052" s="75">
        <f t="shared" si="501"/>
        <v>8</v>
      </c>
      <c r="E1052" s="76">
        <v>49</v>
      </c>
      <c r="F1052" s="80">
        <v>12</v>
      </c>
      <c r="G1052" s="83"/>
      <c r="H1052" s="69" t="str">
        <f t="shared" si="518"/>
        <v>Senbur6_20191117_08_00</v>
      </c>
      <c r="I1052" s="70">
        <f t="shared" si="526"/>
        <v>1</v>
      </c>
      <c r="J1052" s="77" t="str">
        <f t="shared" si="526"/>
        <v>Senecio</v>
      </c>
      <c r="K1052" s="77" t="str">
        <f t="shared" si="526"/>
        <v>burtoni</v>
      </c>
      <c r="L1052" s="78">
        <f t="shared" si="526"/>
        <v>6</v>
      </c>
      <c r="M1052" s="78">
        <f t="shared" si="526"/>
        <v>12</v>
      </c>
      <c r="N1052" s="72">
        <f t="shared" si="526"/>
        <v>0</v>
      </c>
      <c r="O1052" s="45"/>
      <c r="P1052" s="46">
        <f t="shared" si="502"/>
        <v>1</v>
      </c>
      <c r="Q1052" s="47" t="str">
        <f t="shared" si="503"/>
        <v>08:49:12</v>
      </c>
      <c r="R1052" s="48" t="str">
        <f t="shared" si="504"/>
        <v>49:12</v>
      </c>
      <c r="S1052" s="49">
        <f t="shared" si="498"/>
        <v>59</v>
      </c>
      <c r="T1052" s="48" t="str">
        <f t="shared" si="505"/>
        <v>08</v>
      </c>
      <c r="U1052" s="50">
        <v>50</v>
      </c>
      <c r="V1052" s="51">
        <v>11</v>
      </c>
      <c r="W1052" s="52" t="str">
        <f t="shared" si="506"/>
        <v>50:11</v>
      </c>
      <c r="X1052" s="53" t="s">
        <v>59</v>
      </c>
      <c r="Y1052" s="97" t="s">
        <v>84</v>
      </c>
      <c r="Z1052" s="97" t="s">
        <v>80</v>
      </c>
      <c r="AA1052" s="48" t="s">
        <v>60</v>
      </c>
      <c r="AB1052" s="48" t="str">
        <f t="shared" si="507"/>
        <v>NA</v>
      </c>
      <c r="AC1052" s="54">
        <f t="shared" si="508"/>
        <v>0</v>
      </c>
      <c r="AD1052" s="55">
        <v>2</v>
      </c>
      <c r="AE1052" s="55"/>
      <c r="AF1052" s="55"/>
      <c r="AG1052" s="56" t="str">
        <f t="shared" si="525"/>
        <v/>
      </c>
      <c r="AH1052" s="57" t="str">
        <f t="shared" si="521"/>
        <v/>
      </c>
      <c r="AI1052" s="56">
        <v>1</v>
      </c>
      <c r="AJ1052" s="57">
        <v>2</v>
      </c>
      <c r="AK1052" s="56">
        <v>1</v>
      </c>
      <c r="AL1052" s="57">
        <v>57</v>
      </c>
      <c r="AM1052" s="56"/>
      <c r="AN1052" s="57" t="str">
        <f t="shared" si="509"/>
        <v/>
      </c>
      <c r="AO1052" s="56"/>
      <c r="AP1052" s="57" t="str">
        <f t="shared" si="510"/>
        <v/>
      </c>
      <c r="AQ1052" s="56"/>
      <c r="AR1052" s="57" t="str">
        <f t="shared" si="511"/>
        <v/>
      </c>
      <c r="AS1052" s="56"/>
      <c r="AT1052" s="57" t="str">
        <f t="shared" si="512"/>
        <v/>
      </c>
      <c r="AU1052" s="58"/>
      <c r="AV1052" s="59"/>
      <c r="AW1052" s="59"/>
      <c r="AX1052" s="60"/>
      <c r="AY1052" s="61">
        <v>1</v>
      </c>
      <c r="AZ1052" s="62">
        <f t="shared" si="513"/>
        <v>2</v>
      </c>
      <c r="BA1052" s="61">
        <f t="shared" si="514"/>
        <v>0</v>
      </c>
      <c r="BB1052" s="62" t="str">
        <f t="shared" si="515"/>
        <v/>
      </c>
    </row>
    <row r="1053" spans="1:54" s="3" customFormat="1" hidden="1" x14ac:dyDescent="0.35">
      <c r="A1053" s="73">
        <f t="shared" si="499"/>
        <v>2019</v>
      </c>
      <c r="B1053" s="73" t="str">
        <f t="shared" si="500"/>
        <v>Nov</v>
      </c>
      <c r="C1053" s="74">
        <f t="shared" si="516"/>
        <v>17</v>
      </c>
      <c r="D1053" s="75">
        <f t="shared" si="501"/>
        <v>8</v>
      </c>
      <c r="E1053" s="76">
        <f t="shared" si="517"/>
        <v>50</v>
      </c>
      <c r="F1053" s="80">
        <v>10</v>
      </c>
      <c r="G1053" s="83"/>
      <c r="H1053" s="69" t="str">
        <f t="shared" si="518"/>
        <v>Senbur6_20191117_08_00</v>
      </c>
      <c r="I1053" s="70">
        <f t="shared" si="526"/>
        <v>1</v>
      </c>
      <c r="J1053" s="77" t="str">
        <f t="shared" si="526"/>
        <v>Senecio</v>
      </c>
      <c r="K1053" s="77" t="str">
        <f t="shared" si="526"/>
        <v>burtoni</v>
      </c>
      <c r="L1053" s="78">
        <f t="shared" si="526"/>
        <v>6</v>
      </c>
      <c r="M1053" s="78">
        <f t="shared" si="526"/>
        <v>12</v>
      </c>
      <c r="N1053" s="72">
        <f t="shared" si="526"/>
        <v>0</v>
      </c>
      <c r="O1053" s="45"/>
      <c r="P1053" s="46">
        <f t="shared" si="502"/>
        <v>1</v>
      </c>
      <c r="Q1053" s="47" t="str">
        <f t="shared" si="503"/>
        <v>08:50:10</v>
      </c>
      <c r="R1053" s="48" t="str">
        <f t="shared" si="504"/>
        <v>50:10</v>
      </c>
      <c r="S1053" s="49">
        <f t="shared" si="498"/>
        <v>14</v>
      </c>
      <c r="T1053" s="48" t="str">
        <f t="shared" si="505"/>
        <v>08</v>
      </c>
      <c r="U1053" s="50">
        <v>50</v>
      </c>
      <c r="V1053" s="51">
        <v>24</v>
      </c>
      <c r="W1053" s="52" t="str">
        <f t="shared" si="506"/>
        <v>50:24</v>
      </c>
      <c r="X1053" s="53" t="s">
        <v>59</v>
      </c>
      <c r="Y1053" s="97" t="s">
        <v>84</v>
      </c>
      <c r="Z1053" s="97" t="s">
        <v>80</v>
      </c>
      <c r="AA1053" s="48" t="s">
        <v>60</v>
      </c>
      <c r="AB1053" s="48" t="str">
        <f t="shared" si="507"/>
        <v>NA</v>
      </c>
      <c r="AC1053" s="54">
        <f t="shared" si="508"/>
        <v>0</v>
      </c>
      <c r="AD1053" s="55">
        <v>2</v>
      </c>
      <c r="AE1053" s="55"/>
      <c r="AF1053" s="55"/>
      <c r="AG1053" s="56">
        <v>1</v>
      </c>
      <c r="AH1053" s="57">
        <v>3</v>
      </c>
      <c r="AI1053" s="56">
        <v>1</v>
      </c>
      <c r="AJ1053" s="57">
        <v>1</v>
      </c>
      <c r="AK1053" s="56">
        <v>1</v>
      </c>
      <c r="AL1053" s="57">
        <v>10</v>
      </c>
      <c r="AM1053" s="56"/>
      <c r="AN1053" s="57" t="str">
        <f t="shared" si="509"/>
        <v/>
      </c>
      <c r="AO1053" s="56"/>
      <c r="AP1053" s="57" t="str">
        <f t="shared" si="510"/>
        <v/>
      </c>
      <c r="AQ1053" s="56"/>
      <c r="AR1053" s="57" t="str">
        <f t="shared" si="511"/>
        <v/>
      </c>
      <c r="AS1053" s="56"/>
      <c r="AT1053" s="57" t="str">
        <f t="shared" si="512"/>
        <v/>
      </c>
      <c r="AU1053" s="58"/>
      <c r="AV1053" s="59"/>
      <c r="AW1053" s="59"/>
      <c r="AX1053" s="60"/>
      <c r="AY1053" s="61">
        <v>1</v>
      </c>
      <c r="AZ1053" s="62">
        <v>1</v>
      </c>
      <c r="BA1053" s="61">
        <f t="shared" si="514"/>
        <v>0</v>
      </c>
      <c r="BB1053" s="62" t="str">
        <f t="shared" si="515"/>
        <v/>
      </c>
    </row>
    <row r="1054" spans="1:54" s="3" customFormat="1" hidden="1" x14ac:dyDescent="0.35">
      <c r="A1054" s="73">
        <f t="shared" si="499"/>
        <v>2019</v>
      </c>
      <c r="B1054" s="73" t="str">
        <f t="shared" si="500"/>
        <v>Nov</v>
      </c>
      <c r="C1054" s="74">
        <f t="shared" si="516"/>
        <v>17</v>
      </c>
      <c r="D1054" s="75">
        <f t="shared" si="501"/>
        <v>8</v>
      </c>
      <c r="E1054" s="76">
        <v>50</v>
      </c>
      <c r="F1054" s="80">
        <v>13</v>
      </c>
      <c r="G1054" s="83"/>
      <c r="H1054" s="69" t="str">
        <f t="shared" si="518"/>
        <v>Senbur6_20191117_08_00</v>
      </c>
      <c r="I1054" s="70">
        <f t="shared" si="526"/>
        <v>1</v>
      </c>
      <c r="J1054" s="77" t="str">
        <f t="shared" si="526"/>
        <v>Senecio</v>
      </c>
      <c r="K1054" s="77" t="str">
        <f t="shared" si="526"/>
        <v>burtoni</v>
      </c>
      <c r="L1054" s="78">
        <f t="shared" si="526"/>
        <v>6</v>
      </c>
      <c r="M1054" s="78">
        <f t="shared" si="526"/>
        <v>12</v>
      </c>
      <c r="N1054" s="72">
        <f t="shared" si="526"/>
        <v>0</v>
      </c>
      <c r="O1054" s="45"/>
      <c r="P1054" s="46">
        <f t="shared" si="502"/>
        <v>1</v>
      </c>
      <c r="Q1054" s="47" t="str">
        <f t="shared" si="503"/>
        <v>08:50:13</v>
      </c>
      <c r="R1054" s="48" t="str">
        <f t="shared" si="504"/>
        <v>50:13</v>
      </c>
      <c r="S1054" s="49">
        <f t="shared" si="498"/>
        <v>12</v>
      </c>
      <c r="T1054" s="48" t="str">
        <f t="shared" si="505"/>
        <v>08</v>
      </c>
      <c r="U1054" s="50">
        <v>50</v>
      </c>
      <c r="V1054" s="51">
        <v>25</v>
      </c>
      <c r="W1054" s="52" t="str">
        <f t="shared" si="506"/>
        <v>50:25</v>
      </c>
      <c r="X1054" s="53" t="s">
        <v>59</v>
      </c>
      <c r="Y1054" s="97" t="s">
        <v>84</v>
      </c>
      <c r="Z1054" s="97" t="s">
        <v>80</v>
      </c>
      <c r="AA1054" s="48" t="s">
        <v>60</v>
      </c>
      <c r="AB1054" s="48" t="str">
        <f t="shared" si="507"/>
        <v>NA</v>
      </c>
      <c r="AC1054" s="54">
        <f t="shared" si="508"/>
        <v>0</v>
      </c>
      <c r="AD1054" s="55">
        <f t="shared" si="520"/>
        <v>1</v>
      </c>
      <c r="AE1054" s="55"/>
      <c r="AF1054" s="55"/>
      <c r="AG1054" s="56">
        <v>1</v>
      </c>
      <c r="AH1054" s="57">
        <f t="shared" si="521"/>
        <v>12</v>
      </c>
      <c r="AI1054" s="56"/>
      <c r="AJ1054" s="57" t="str">
        <f t="shared" si="522"/>
        <v/>
      </c>
      <c r="AK1054" s="56"/>
      <c r="AL1054" s="57" t="str">
        <f t="shared" si="523"/>
        <v/>
      </c>
      <c r="AM1054" s="56"/>
      <c r="AN1054" s="57" t="str">
        <f t="shared" si="509"/>
        <v/>
      </c>
      <c r="AO1054" s="56"/>
      <c r="AP1054" s="57" t="str">
        <f t="shared" si="510"/>
        <v/>
      </c>
      <c r="AQ1054" s="56"/>
      <c r="AR1054" s="57" t="str">
        <f t="shared" si="511"/>
        <v/>
      </c>
      <c r="AS1054" s="56"/>
      <c r="AT1054" s="57" t="str">
        <f t="shared" si="512"/>
        <v/>
      </c>
      <c r="AU1054" s="58"/>
      <c r="AV1054" s="59"/>
      <c r="AW1054" s="59"/>
      <c r="AX1054" s="60"/>
      <c r="AY1054" s="61">
        <f t="shared" si="524"/>
        <v>0</v>
      </c>
      <c r="AZ1054" s="62" t="str">
        <f t="shared" si="513"/>
        <v/>
      </c>
      <c r="BA1054" s="61">
        <f t="shared" si="514"/>
        <v>0</v>
      </c>
      <c r="BB1054" s="62" t="str">
        <f t="shared" si="515"/>
        <v/>
      </c>
    </row>
    <row r="1055" spans="1:54" s="3" customFormat="1" hidden="1" x14ac:dyDescent="0.35">
      <c r="A1055" s="73">
        <f t="shared" si="499"/>
        <v>2019</v>
      </c>
      <c r="B1055" s="73" t="str">
        <f t="shared" si="500"/>
        <v>Nov</v>
      </c>
      <c r="C1055" s="74">
        <f t="shared" si="516"/>
        <v>17</v>
      </c>
      <c r="D1055" s="75">
        <f t="shared" si="501"/>
        <v>8</v>
      </c>
      <c r="E1055" s="76">
        <v>50</v>
      </c>
      <c r="F1055" s="80">
        <v>26</v>
      </c>
      <c r="G1055" s="83"/>
      <c r="H1055" s="69" t="str">
        <f t="shared" si="518"/>
        <v>Senbur6_20191117_08_00</v>
      </c>
      <c r="I1055" s="70">
        <f t="shared" si="526"/>
        <v>1</v>
      </c>
      <c r="J1055" s="77" t="str">
        <f t="shared" si="526"/>
        <v>Senecio</v>
      </c>
      <c r="K1055" s="77" t="str">
        <f t="shared" si="526"/>
        <v>burtoni</v>
      </c>
      <c r="L1055" s="78">
        <f t="shared" si="526"/>
        <v>6</v>
      </c>
      <c r="M1055" s="78">
        <f t="shared" si="526"/>
        <v>12</v>
      </c>
      <c r="N1055" s="72">
        <f t="shared" si="526"/>
        <v>0</v>
      </c>
      <c r="O1055" s="45"/>
      <c r="P1055" s="46">
        <f t="shared" si="502"/>
        <v>1</v>
      </c>
      <c r="Q1055" s="47" t="str">
        <f t="shared" si="503"/>
        <v>08:50:26</v>
      </c>
      <c r="R1055" s="48" t="str">
        <f t="shared" si="504"/>
        <v>50:26</v>
      </c>
      <c r="S1055" s="49">
        <f t="shared" si="498"/>
        <v>89</v>
      </c>
      <c r="T1055" s="48" t="str">
        <f t="shared" si="505"/>
        <v>08</v>
      </c>
      <c r="U1055" s="50">
        <v>51</v>
      </c>
      <c r="V1055" s="51">
        <v>55</v>
      </c>
      <c r="W1055" s="52" t="str">
        <f t="shared" si="506"/>
        <v>51:55</v>
      </c>
      <c r="X1055" s="53" t="s">
        <v>59</v>
      </c>
      <c r="Y1055" s="97" t="s">
        <v>78</v>
      </c>
      <c r="Z1055" s="97"/>
      <c r="AA1055" s="48" t="s">
        <v>60</v>
      </c>
      <c r="AB1055" s="48" t="str">
        <f t="shared" si="507"/>
        <v>NA</v>
      </c>
      <c r="AC1055" s="54">
        <f t="shared" si="508"/>
        <v>0</v>
      </c>
      <c r="AD1055" s="55">
        <v>5</v>
      </c>
      <c r="AE1055" s="55"/>
      <c r="AF1055" s="55"/>
      <c r="AG1055" s="56" t="str">
        <f t="shared" si="525"/>
        <v/>
      </c>
      <c r="AH1055" s="57" t="str">
        <f t="shared" si="521"/>
        <v/>
      </c>
      <c r="AI1055" s="56">
        <v>1</v>
      </c>
      <c r="AJ1055" s="57">
        <v>7</v>
      </c>
      <c r="AK1055" s="56">
        <v>1</v>
      </c>
      <c r="AL1055" s="57">
        <v>82</v>
      </c>
      <c r="AM1055" s="56"/>
      <c r="AN1055" s="57" t="str">
        <f t="shared" si="509"/>
        <v/>
      </c>
      <c r="AO1055" s="56"/>
      <c r="AP1055" s="57" t="str">
        <f t="shared" si="510"/>
        <v/>
      </c>
      <c r="AQ1055" s="56"/>
      <c r="AR1055" s="57" t="str">
        <f t="shared" si="511"/>
        <v/>
      </c>
      <c r="AS1055" s="56"/>
      <c r="AT1055" s="57" t="str">
        <f t="shared" si="512"/>
        <v/>
      </c>
      <c r="AU1055" s="58"/>
      <c r="AV1055" s="59"/>
      <c r="AW1055" s="59"/>
      <c r="AX1055" s="60"/>
      <c r="AY1055" s="61">
        <v>1</v>
      </c>
      <c r="AZ1055" s="62">
        <f t="shared" si="513"/>
        <v>5</v>
      </c>
      <c r="BA1055" s="61">
        <f t="shared" si="514"/>
        <v>0</v>
      </c>
      <c r="BB1055" s="62" t="str">
        <f t="shared" si="515"/>
        <v/>
      </c>
    </row>
    <row r="1056" spans="1:54" s="3" customFormat="1" hidden="1" x14ac:dyDescent="0.35">
      <c r="A1056" s="73">
        <f t="shared" si="499"/>
        <v>2019</v>
      </c>
      <c r="B1056" s="73" t="str">
        <f t="shared" si="500"/>
        <v>Nov</v>
      </c>
      <c r="C1056" s="74">
        <f t="shared" si="516"/>
        <v>17</v>
      </c>
      <c r="D1056" s="75">
        <f t="shared" si="501"/>
        <v>8</v>
      </c>
      <c r="E1056" s="76">
        <v>50</v>
      </c>
      <c r="F1056" s="80">
        <v>57</v>
      </c>
      <c r="G1056" s="83"/>
      <c r="H1056" s="69" t="str">
        <f t="shared" si="518"/>
        <v>Senbur6_20191117_08_00</v>
      </c>
      <c r="I1056" s="70">
        <f t="shared" si="526"/>
        <v>1</v>
      </c>
      <c r="J1056" s="77" t="str">
        <f t="shared" si="526"/>
        <v>Senecio</v>
      </c>
      <c r="K1056" s="77" t="str">
        <f t="shared" si="526"/>
        <v>burtoni</v>
      </c>
      <c r="L1056" s="78">
        <f t="shared" si="526"/>
        <v>6</v>
      </c>
      <c r="M1056" s="78">
        <f t="shared" si="526"/>
        <v>12</v>
      </c>
      <c r="N1056" s="72">
        <f t="shared" si="526"/>
        <v>0</v>
      </c>
      <c r="O1056" s="45"/>
      <c r="P1056" s="46">
        <f t="shared" si="502"/>
        <v>1</v>
      </c>
      <c r="Q1056" s="47" t="str">
        <f t="shared" si="503"/>
        <v>08:50:57</v>
      </c>
      <c r="R1056" s="48" t="str">
        <f t="shared" si="504"/>
        <v>50:57</v>
      </c>
      <c r="S1056" s="49">
        <f t="shared" si="498"/>
        <v>93</v>
      </c>
      <c r="T1056" s="48" t="str">
        <f t="shared" si="505"/>
        <v>08</v>
      </c>
      <c r="U1056" s="50">
        <v>52</v>
      </c>
      <c r="V1056" s="51">
        <v>30</v>
      </c>
      <c r="W1056" s="52" t="str">
        <f t="shared" si="506"/>
        <v>52:30</v>
      </c>
      <c r="X1056" s="53" t="s">
        <v>59</v>
      </c>
      <c r="Y1056" s="97" t="s">
        <v>84</v>
      </c>
      <c r="Z1056" s="97" t="s">
        <v>80</v>
      </c>
      <c r="AA1056" s="48" t="s">
        <v>60</v>
      </c>
      <c r="AB1056" s="48" t="str">
        <f t="shared" si="507"/>
        <v>NA</v>
      </c>
      <c r="AC1056" s="54">
        <f t="shared" si="508"/>
        <v>0</v>
      </c>
      <c r="AD1056" s="55">
        <v>6</v>
      </c>
      <c r="AE1056" s="55"/>
      <c r="AF1056" s="55"/>
      <c r="AG1056" s="56">
        <v>1</v>
      </c>
      <c r="AH1056" s="57">
        <v>3</v>
      </c>
      <c r="AI1056" s="56">
        <v>1</v>
      </c>
      <c r="AJ1056" s="57">
        <v>3</v>
      </c>
      <c r="AK1056" s="56">
        <v>1</v>
      </c>
      <c r="AL1056" s="57">
        <v>87</v>
      </c>
      <c r="AM1056" s="56"/>
      <c r="AN1056" s="57" t="str">
        <f t="shared" si="509"/>
        <v/>
      </c>
      <c r="AO1056" s="56"/>
      <c r="AP1056" s="57" t="str">
        <f t="shared" si="510"/>
        <v/>
      </c>
      <c r="AQ1056" s="56"/>
      <c r="AR1056" s="57" t="str">
        <f t="shared" si="511"/>
        <v/>
      </c>
      <c r="AS1056" s="56"/>
      <c r="AT1056" s="57" t="str">
        <f t="shared" si="512"/>
        <v/>
      </c>
      <c r="AU1056" s="58"/>
      <c r="AV1056" s="59"/>
      <c r="AW1056" s="59"/>
      <c r="AX1056" s="60"/>
      <c r="AY1056" s="61">
        <v>1</v>
      </c>
      <c r="AZ1056" s="62">
        <v>4</v>
      </c>
      <c r="BA1056" s="61">
        <f t="shared" si="514"/>
        <v>0</v>
      </c>
      <c r="BB1056" s="62" t="str">
        <f t="shared" si="515"/>
        <v/>
      </c>
    </row>
    <row r="1057" spans="1:54" s="3" customFormat="1" hidden="1" x14ac:dyDescent="0.35">
      <c r="A1057" s="73">
        <f t="shared" si="499"/>
        <v>2019</v>
      </c>
      <c r="B1057" s="73" t="str">
        <f t="shared" si="500"/>
        <v>Nov</v>
      </c>
      <c r="C1057" s="74">
        <f t="shared" si="516"/>
        <v>17</v>
      </c>
      <c r="D1057" s="75">
        <f t="shared" si="501"/>
        <v>8</v>
      </c>
      <c r="E1057" s="76">
        <f t="shared" si="517"/>
        <v>51</v>
      </c>
      <c r="F1057" s="80">
        <v>39</v>
      </c>
      <c r="G1057" s="83"/>
      <c r="H1057" s="69" t="str">
        <f t="shared" si="518"/>
        <v>Senbur6_20191117_08_00</v>
      </c>
      <c r="I1057" s="70">
        <f t="shared" si="526"/>
        <v>1</v>
      </c>
      <c r="J1057" s="77" t="str">
        <f t="shared" si="526"/>
        <v>Senecio</v>
      </c>
      <c r="K1057" s="77" t="str">
        <f t="shared" si="526"/>
        <v>burtoni</v>
      </c>
      <c r="L1057" s="78">
        <f t="shared" si="526"/>
        <v>6</v>
      </c>
      <c r="M1057" s="78">
        <f t="shared" si="526"/>
        <v>12</v>
      </c>
      <c r="N1057" s="72">
        <f t="shared" si="526"/>
        <v>0</v>
      </c>
      <c r="O1057" s="45"/>
      <c r="P1057" s="46">
        <f t="shared" si="502"/>
        <v>1</v>
      </c>
      <c r="Q1057" s="47" t="str">
        <f t="shared" si="503"/>
        <v>08:51:39</v>
      </c>
      <c r="R1057" s="48" t="str">
        <f t="shared" si="504"/>
        <v>51:39</v>
      </c>
      <c r="S1057" s="49">
        <f t="shared" si="498"/>
        <v>14</v>
      </c>
      <c r="T1057" s="48" t="str">
        <f t="shared" si="505"/>
        <v>08</v>
      </c>
      <c r="U1057" s="50">
        <v>51</v>
      </c>
      <c r="V1057" s="51">
        <v>53</v>
      </c>
      <c r="W1057" s="52" t="str">
        <f t="shared" si="506"/>
        <v>51:53</v>
      </c>
      <c r="X1057" s="53" t="s">
        <v>59</v>
      </c>
      <c r="Y1057" s="97" t="s">
        <v>78</v>
      </c>
      <c r="Z1057" s="97"/>
      <c r="AA1057" s="48" t="s">
        <v>60</v>
      </c>
      <c r="AB1057" s="48" t="str">
        <f t="shared" si="507"/>
        <v>NA</v>
      </c>
      <c r="AC1057" s="54">
        <f t="shared" si="508"/>
        <v>0</v>
      </c>
      <c r="AD1057" s="55">
        <f t="shared" si="520"/>
        <v>1</v>
      </c>
      <c r="AE1057" s="55"/>
      <c r="AF1057" s="55"/>
      <c r="AG1057" s="56" t="str">
        <f t="shared" si="525"/>
        <v/>
      </c>
      <c r="AH1057" s="57" t="str">
        <f t="shared" si="521"/>
        <v/>
      </c>
      <c r="AI1057" s="56"/>
      <c r="AJ1057" s="57" t="str">
        <f t="shared" si="522"/>
        <v/>
      </c>
      <c r="AK1057" s="56">
        <v>1</v>
      </c>
      <c r="AL1057" s="57">
        <f t="shared" si="523"/>
        <v>14</v>
      </c>
      <c r="AM1057" s="56"/>
      <c r="AN1057" s="57" t="str">
        <f t="shared" si="509"/>
        <v/>
      </c>
      <c r="AO1057" s="56"/>
      <c r="AP1057" s="57" t="str">
        <f t="shared" si="510"/>
        <v/>
      </c>
      <c r="AQ1057" s="56"/>
      <c r="AR1057" s="57" t="str">
        <f t="shared" si="511"/>
        <v/>
      </c>
      <c r="AS1057" s="56"/>
      <c r="AT1057" s="57" t="str">
        <f t="shared" si="512"/>
        <v/>
      </c>
      <c r="AU1057" s="58"/>
      <c r="AV1057" s="59"/>
      <c r="AW1057" s="59"/>
      <c r="AX1057" s="60"/>
      <c r="AY1057" s="61">
        <v>1</v>
      </c>
      <c r="AZ1057" s="62">
        <f t="shared" si="513"/>
        <v>1</v>
      </c>
      <c r="BA1057" s="61">
        <f t="shared" si="514"/>
        <v>0</v>
      </c>
      <c r="BB1057" s="62" t="str">
        <f t="shared" si="515"/>
        <v/>
      </c>
    </row>
    <row r="1058" spans="1:54" s="3" customFormat="1" hidden="1" x14ac:dyDescent="0.35">
      <c r="A1058" s="73">
        <f t="shared" si="499"/>
        <v>2019</v>
      </c>
      <c r="B1058" s="73" t="str">
        <f t="shared" si="500"/>
        <v>Nov</v>
      </c>
      <c r="C1058" s="74">
        <f t="shared" si="516"/>
        <v>17</v>
      </c>
      <c r="D1058" s="75">
        <f t="shared" si="501"/>
        <v>8</v>
      </c>
      <c r="E1058" s="76">
        <f t="shared" si="517"/>
        <v>52</v>
      </c>
      <c r="F1058" s="80">
        <v>8</v>
      </c>
      <c r="G1058" s="83"/>
      <c r="H1058" s="69" t="str">
        <f t="shared" si="518"/>
        <v>Senbur6_20191117_08_00</v>
      </c>
      <c r="I1058" s="70">
        <f t="shared" si="526"/>
        <v>1</v>
      </c>
      <c r="J1058" s="77" t="str">
        <f t="shared" si="526"/>
        <v>Senecio</v>
      </c>
      <c r="K1058" s="77" t="str">
        <f t="shared" si="526"/>
        <v>burtoni</v>
      </c>
      <c r="L1058" s="78">
        <f t="shared" si="526"/>
        <v>6</v>
      </c>
      <c r="M1058" s="78">
        <f t="shared" si="526"/>
        <v>12</v>
      </c>
      <c r="N1058" s="72">
        <f t="shared" si="526"/>
        <v>0</v>
      </c>
      <c r="O1058" s="45"/>
      <c r="P1058" s="46">
        <f t="shared" si="502"/>
        <v>1</v>
      </c>
      <c r="Q1058" s="47" t="str">
        <f t="shared" si="503"/>
        <v>08:52:08</v>
      </c>
      <c r="R1058" s="48" t="str">
        <f t="shared" si="504"/>
        <v>52:08</v>
      </c>
      <c r="S1058" s="49">
        <f t="shared" si="498"/>
        <v>25</v>
      </c>
      <c r="T1058" s="48" t="str">
        <f t="shared" si="505"/>
        <v>08</v>
      </c>
      <c r="U1058" s="50">
        <v>52</v>
      </c>
      <c r="V1058" s="51">
        <v>33</v>
      </c>
      <c r="W1058" s="52" t="str">
        <f t="shared" si="506"/>
        <v>52:33</v>
      </c>
      <c r="X1058" s="53" t="s">
        <v>61</v>
      </c>
      <c r="Y1058" s="97" t="s">
        <v>84</v>
      </c>
      <c r="Z1058" s="97" t="s">
        <v>80</v>
      </c>
      <c r="AA1058" s="48" t="s">
        <v>60</v>
      </c>
      <c r="AB1058" s="48" t="str">
        <f t="shared" si="507"/>
        <v>NA</v>
      </c>
      <c r="AC1058" s="54">
        <f t="shared" si="508"/>
        <v>0</v>
      </c>
      <c r="AD1058" s="55">
        <v>2</v>
      </c>
      <c r="AE1058" s="55"/>
      <c r="AF1058" s="55"/>
      <c r="AG1058" s="56">
        <v>1</v>
      </c>
      <c r="AH1058" s="57">
        <v>1</v>
      </c>
      <c r="AI1058" s="56">
        <v>1</v>
      </c>
      <c r="AJ1058" s="57">
        <v>1</v>
      </c>
      <c r="AK1058" s="56">
        <v>1</v>
      </c>
      <c r="AL1058" s="57">
        <v>23</v>
      </c>
      <c r="AM1058" s="56"/>
      <c r="AN1058" s="57" t="str">
        <f t="shared" si="509"/>
        <v/>
      </c>
      <c r="AO1058" s="56"/>
      <c r="AP1058" s="57" t="str">
        <f t="shared" si="510"/>
        <v/>
      </c>
      <c r="AQ1058" s="56"/>
      <c r="AR1058" s="57" t="str">
        <f t="shared" si="511"/>
        <v/>
      </c>
      <c r="AS1058" s="56"/>
      <c r="AT1058" s="57" t="str">
        <f t="shared" si="512"/>
        <v/>
      </c>
      <c r="AU1058" s="58"/>
      <c r="AV1058" s="59"/>
      <c r="AW1058" s="59"/>
      <c r="AX1058" s="60"/>
      <c r="AY1058" s="61">
        <v>1</v>
      </c>
      <c r="AZ1058" s="62">
        <f t="shared" si="513"/>
        <v>2</v>
      </c>
      <c r="BA1058" s="61">
        <f t="shared" si="514"/>
        <v>0</v>
      </c>
      <c r="BB1058" s="62" t="str">
        <f t="shared" si="515"/>
        <v/>
      </c>
    </row>
    <row r="1059" spans="1:54" s="3" customFormat="1" hidden="1" x14ac:dyDescent="0.35">
      <c r="A1059" s="73">
        <f t="shared" si="499"/>
        <v>2019</v>
      </c>
      <c r="B1059" s="73" t="str">
        <f t="shared" si="500"/>
        <v>Nov</v>
      </c>
      <c r="C1059" s="74">
        <f t="shared" si="516"/>
        <v>17</v>
      </c>
      <c r="D1059" s="75">
        <f t="shared" si="501"/>
        <v>8</v>
      </c>
      <c r="E1059" s="76">
        <f t="shared" si="517"/>
        <v>53</v>
      </c>
      <c r="F1059" s="80"/>
      <c r="G1059" s="83"/>
      <c r="H1059" s="69" t="str">
        <f t="shared" si="518"/>
        <v>Senbur6_20191117_08_00</v>
      </c>
      <c r="I1059" s="70">
        <f t="shared" si="526"/>
        <v>1</v>
      </c>
      <c r="J1059" s="77" t="str">
        <f t="shared" si="526"/>
        <v>Senecio</v>
      </c>
      <c r="K1059" s="77" t="str">
        <f t="shared" si="526"/>
        <v>burtoni</v>
      </c>
      <c r="L1059" s="78">
        <f t="shared" si="526"/>
        <v>6</v>
      </c>
      <c r="M1059" s="78">
        <f t="shared" si="526"/>
        <v>12</v>
      </c>
      <c r="N1059" s="72">
        <f t="shared" si="526"/>
        <v>0</v>
      </c>
      <c r="O1059" s="45"/>
      <c r="P1059" s="46" t="str">
        <f t="shared" si="502"/>
        <v/>
      </c>
      <c r="Q1059" s="47" t="str">
        <f t="shared" si="503"/>
        <v/>
      </c>
      <c r="R1059" s="48" t="e">
        <f t="shared" si="504"/>
        <v>#VALUE!</v>
      </c>
      <c r="S1059" s="49" t="e">
        <f t="shared" si="498"/>
        <v>#VALUE!</v>
      </c>
      <c r="T1059" s="48" t="str">
        <f t="shared" si="505"/>
        <v/>
      </c>
      <c r="U1059" s="50"/>
      <c r="V1059" s="51"/>
      <c r="W1059" s="52" t="e">
        <f t="shared" si="506"/>
        <v>#VALUE!</v>
      </c>
      <c r="X1059" s="53"/>
      <c r="Y1059" s="53"/>
      <c r="Z1059" s="53"/>
      <c r="AA1059" s="48" t="e">
        <f>INDEX([1]!VISITORS[INSECT ORDER], MATCH(X1059,[1]!VISITORS[NAME USED],0))</f>
        <v>#REF!</v>
      </c>
      <c r="AB1059" s="48" t="e">
        <f t="shared" si="507"/>
        <v>#REF!</v>
      </c>
      <c r="AC1059" s="54" t="e">
        <f t="shared" si="508"/>
        <v>#VALUE!</v>
      </c>
      <c r="AD1059" s="55" t="str">
        <f t="shared" si="520"/>
        <v/>
      </c>
      <c r="AE1059" s="55"/>
      <c r="AF1059" s="55"/>
      <c r="AG1059" s="56" t="str">
        <f t="shared" si="525"/>
        <v/>
      </c>
      <c r="AH1059" s="57" t="str">
        <f t="shared" si="521"/>
        <v/>
      </c>
      <c r="AI1059" s="56"/>
      <c r="AJ1059" s="57" t="str">
        <f t="shared" si="522"/>
        <v/>
      </c>
      <c r="AK1059" s="56"/>
      <c r="AL1059" s="57" t="str">
        <f t="shared" si="523"/>
        <v/>
      </c>
      <c r="AM1059" s="56"/>
      <c r="AN1059" s="57" t="str">
        <f t="shared" si="509"/>
        <v/>
      </c>
      <c r="AO1059" s="56"/>
      <c r="AP1059" s="57" t="str">
        <f t="shared" si="510"/>
        <v/>
      </c>
      <c r="AQ1059" s="56"/>
      <c r="AR1059" s="57" t="str">
        <f t="shared" si="511"/>
        <v/>
      </c>
      <c r="AS1059" s="56"/>
      <c r="AT1059" s="57" t="str">
        <f t="shared" si="512"/>
        <v/>
      </c>
      <c r="AU1059" s="58"/>
      <c r="AV1059" s="59"/>
      <c r="AW1059" s="59"/>
      <c r="AX1059" s="60"/>
      <c r="AY1059" s="61" t="str">
        <f t="shared" si="524"/>
        <v/>
      </c>
      <c r="AZ1059" s="62" t="str">
        <f t="shared" si="513"/>
        <v/>
      </c>
      <c r="BA1059" s="61" t="str">
        <f t="shared" si="514"/>
        <v/>
      </c>
      <c r="BB1059" s="62" t="str">
        <f t="shared" si="515"/>
        <v/>
      </c>
    </row>
    <row r="1060" spans="1:54" s="3" customFormat="1" hidden="1" x14ac:dyDescent="0.35">
      <c r="A1060" s="73">
        <f t="shared" si="499"/>
        <v>2019</v>
      </c>
      <c r="B1060" s="73" t="str">
        <f t="shared" si="500"/>
        <v>Nov</v>
      </c>
      <c r="C1060" s="74">
        <f t="shared" si="516"/>
        <v>17</v>
      </c>
      <c r="D1060" s="75">
        <f t="shared" si="501"/>
        <v>8</v>
      </c>
      <c r="E1060" s="76">
        <f t="shared" si="517"/>
        <v>54</v>
      </c>
      <c r="F1060" s="80"/>
      <c r="G1060" s="83"/>
      <c r="H1060" s="69" t="str">
        <f t="shared" si="518"/>
        <v>Senbur6_20191117_08_00</v>
      </c>
      <c r="I1060" s="70">
        <f t="shared" si="526"/>
        <v>1</v>
      </c>
      <c r="J1060" s="77" t="str">
        <f t="shared" si="526"/>
        <v>Senecio</v>
      </c>
      <c r="K1060" s="77" t="str">
        <f t="shared" si="526"/>
        <v>burtoni</v>
      </c>
      <c r="L1060" s="78">
        <f t="shared" si="526"/>
        <v>6</v>
      </c>
      <c r="M1060" s="78">
        <f t="shared" si="526"/>
        <v>12</v>
      </c>
      <c r="N1060" s="72">
        <f t="shared" si="526"/>
        <v>0</v>
      </c>
      <c r="O1060" s="45"/>
      <c r="P1060" s="46" t="str">
        <f t="shared" si="502"/>
        <v/>
      </c>
      <c r="Q1060" s="47" t="str">
        <f t="shared" si="503"/>
        <v/>
      </c>
      <c r="R1060" s="48" t="e">
        <f t="shared" si="504"/>
        <v>#VALUE!</v>
      </c>
      <c r="S1060" s="49" t="e">
        <f t="shared" si="498"/>
        <v>#VALUE!</v>
      </c>
      <c r="T1060" s="48" t="str">
        <f t="shared" si="505"/>
        <v/>
      </c>
      <c r="U1060" s="50"/>
      <c r="V1060" s="51"/>
      <c r="W1060" s="52" t="e">
        <f t="shared" si="506"/>
        <v>#VALUE!</v>
      </c>
      <c r="X1060" s="53"/>
      <c r="Y1060" s="53"/>
      <c r="Z1060" s="53"/>
      <c r="AA1060" s="48" t="e">
        <f>INDEX([1]!VISITORS[INSECT ORDER], MATCH(X1060,[1]!VISITORS[NAME USED],0))</f>
        <v>#REF!</v>
      </c>
      <c r="AB1060" s="48" t="e">
        <f t="shared" si="507"/>
        <v>#REF!</v>
      </c>
      <c r="AC1060" s="54" t="e">
        <f t="shared" si="508"/>
        <v>#VALUE!</v>
      </c>
      <c r="AD1060" s="55" t="str">
        <f t="shared" si="520"/>
        <v/>
      </c>
      <c r="AE1060" s="55"/>
      <c r="AF1060" s="55"/>
      <c r="AG1060" s="56" t="str">
        <f t="shared" si="525"/>
        <v/>
      </c>
      <c r="AH1060" s="57" t="str">
        <f t="shared" si="521"/>
        <v/>
      </c>
      <c r="AI1060" s="56"/>
      <c r="AJ1060" s="57" t="str">
        <f t="shared" si="522"/>
        <v/>
      </c>
      <c r="AK1060" s="56"/>
      <c r="AL1060" s="57" t="str">
        <f t="shared" si="523"/>
        <v/>
      </c>
      <c r="AM1060" s="56"/>
      <c r="AN1060" s="57" t="str">
        <f t="shared" si="509"/>
        <v/>
      </c>
      <c r="AO1060" s="56"/>
      <c r="AP1060" s="57" t="str">
        <f t="shared" si="510"/>
        <v/>
      </c>
      <c r="AQ1060" s="56"/>
      <c r="AR1060" s="57" t="str">
        <f t="shared" si="511"/>
        <v/>
      </c>
      <c r="AS1060" s="56"/>
      <c r="AT1060" s="57" t="str">
        <f t="shared" si="512"/>
        <v/>
      </c>
      <c r="AU1060" s="58"/>
      <c r="AV1060" s="59"/>
      <c r="AW1060" s="59"/>
      <c r="AX1060" s="60"/>
      <c r="AY1060" s="61" t="str">
        <f t="shared" si="524"/>
        <v/>
      </c>
      <c r="AZ1060" s="62" t="str">
        <f t="shared" si="513"/>
        <v/>
      </c>
      <c r="BA1060" s="61" t="str">
        <f t="shared" si="514"/>
        <v/>
      </c>
      <c r="BB1060" s="62" t="str">
        <f t="shared" si="515"/>
        <v/>
      </c>
    </row>
    <row r="1061" spans="1:54" s="3" customFormat="1" hidden="1" x14ac:dyDescent="0.35">
      <c r="A1061" s="73">
        <f t="shared" si="499"/>
        <v>2019</v>
      </c>
      <c r="B1061" s="73" t="str">
        <f t="shared" si="500"/>
        <v>Nov</v>
      </c>
      <c r="C1061" s="74">
        <f t="shared" si="516"/>
        <v>17</v>
      </c>
      <c r="D1061" s="75">
        <f t="shared" si="501"/>
        <v>8</v>
      </c>
      <c r="E1061" s="76">
        <f t="shared" si="517"/>
        <v>55</v>
      </c>
      <c r="F1061" s="80"/>
      <c r="G1061" s="83"/>
      <c r="H1061" s="69" t="str">
        <f t="shared" si="518"/>
        <v>Senbur6_20191117_08_00</v>
      </c>
      <c r="I1061" s="70">
        <f t="shared" ref="I1061:N1076" si="527">I1060</f>
        <v>1</v>
      </c>
      <c r="J1061" s="77" t="str">
        <f t="shared" si="527"/>
        <v>Senecio</v>
      </c>
      <c r="K1061" s="77" t="str">
        <f t="shared" si="527"/>
        <v>burtoni</v>
      </c>
      <c r="L1061" s="78">
        <f t="shared" si="527"/>
        <v>6</v>
      </c>
      <c r="M1061" s="78">
        <f t="shared" si="527"/>
        <v>12</v>
      </c>
      <c r="N1061" s="72">
        <f t="shared" si="527"/>
        <v>0</v>
      </c>
      <c r="O1061" s="45"/>
      <c r="P1061" s="46" t="str">
        <f t="shared" si="502"/>
        <v/>
      </c>
      <c r="Q1061" s="47" t="str">
        <f t="shared" si="503"/>
        <v/>
      </c>
      <c r="R1061" s="48" t="e">
        <f t="shared" si="504"/>
        <v>#VALUE!</v>
      </c>
      <c r="S1061" s="49" t="e">
        <f t="shared" si="498"/>
        <v>#VALUE!</v>
      </c>
      <c r="T1061" s="48" t="str">
        <f t="shared" si="505"/>
        <v/>
      </c>
      <c r="U1061" s="50"/>
      <c r="V1061" s="51"/>
      <c r="W1061" s="52" t="e">
        <f t="shared" si="506"/>
        <v>#VALUE!</v>
      </c>
      <c r="X1061" s="53"/>
      <c r="Y1061" s="53"/>
      <c r="Z1061" s="53"/>
      <c r="AA1061" s="48" t="e">
        <f>INDEX([1]!VISITORS[INSECT ORDER], MATCH(X1061,[1]!VISITORS[NAME USED],0))</f>
        <v>#REF!</v>
      </c>
      <c r="AB1061" s="48" t="e">
        <f t="shared" si="507"/>
        <v>#REF!</v>
      </c>
      <c r="AC1061" s="54" t="e">
        <f t="shared" si="508"/>
        <v>#VALUE!</v>
      </c>
      <c r="AD1061" s="55" t="str">
        <f t="shared" si="520"/>
        <v/>
      </c>
      <c r="AE1061" s="55"/>
      <c r="AF1061" s="55"/>
      <c r="AG1061" s="56" t="str">
        <f t="shared" si="525"/>
        <v/>
      </c>
      <c r="AH1061" s="57" t="str">
        <f t="shared" si="521"/>
        <v/>
      </c>
      <c r="AI1061" s="56"/>
      <c r="AJ1061" s="57" t="str">
        <f t="shared" si="522"/>
        <v/>
      </c>
      <c r="AK1061" s="56"/>
      <c r="AL1061" s="57" t="str">
        <f t="shared" si="523"/>
        <v/>
      </c>
      <c r="AM1061" s="56"/>
      <c r="AN1061" s="57" t="str">
        <f t="shared" si="509"/>
        <v/>
      </c>
      <c r="AO1061" s="56"/>
      <c r="AP1061" s="57" t="str">
        <f t="shared" si="510"/>
        <v/>
      </c>
      <c r="AQ1061" s="56"/>
      <c r="AR1061" s="57" t="str">
        <f t="shared" si="511"/>
        <v/>
      </c>
      <c r="AS1061" s="56"/>
      <c r="AT1061" s="57" t="str">
        <f t="shared" si="512"/>
        <v/>
      </c>
      <c r="AU1061" s="58"/>
      <c r="AV1061" s="59"/>
      <c r="AW1061" s="59"/>
      <c r="AX1061" s="60"/>
      <c r="AY1061" s="61" t="str">
        <f t="shared" si="524"/>
        <v/>
      </c>
      <c r="AZ1061" s="62" t="str">
        <f t="shared" si="513"/>
        <v/>
      </c>
      <c r="BA1061" s="61" t="str">
        <f t="shared" si="514"/>
        <v/>
      </c>
      <c r="BB1061" s="62" t="str">
        <f t="shared" si="515"/>
        <v/>
      </c>
    </row>
    <row r="1062" spans="1:54" s="3" customFormat="1" hidden="1" x14ac:dyDescent="0.35">
      <c r="A1062" s="73">
        <f t="shared" si="499"/>
        <v>2019</v>
      </c>
      <c r="B1062" s="73" t="str">
        <f t="shared" si="500"/>
        <v>Nov</v>
      </c>
      <c r="C1062" s="74">
        <f t="shared" si="516"/>
        <v>17</v>
      </c>
      <c r="D1062" s="75">
        <f t="shared" si="501"/>
        <v>8</v>
      </c>
      <c r="E1062" s="76">
        <f t="shared" si="517"/>
        <v>56</v>
      </c>
      <c r="F1062" s="80"/>
      <c r="G1062" s="83"/>
      <c r="H1062" s="69" t="str">
        <f t="shared" si="518"/>
        <v>Senbur6_20191117_08_00</v>
      </c>
      <c r="I1062" s="70">
        <f t="shared" si="527"/>
        <v>1</v>
      </c>
      <c r="J1062" s="77" t="str">
        <f t="shared" si="527"/>
        <v>Senecio</v>
      </c>
      <c r="K1062" s="77" t="str">
        <f t="shared" si="527"/>
        <v>burtoni</v>
      </c>
      <c r="L1062" s="78">
        <f t="shared" si="527"/>
        <v>6</v>
      </c>
      <c r="M1062" s="78">
        <f t="shared" si="527"/>
        <v>12</v>
      </c>
      <c r="N1062" s="72">
        <f t="shared" si="527"/>
        <v>0</v>
      </c>
      <c r="O1062" s="45"/>
      <c r="P1062" s="46" t="str">
        <f t="shared" si="502"/>
        <v/>
      </c>
      <c r="Q1062" s="47" t="str">
        <f t="shared" si="503"/>
        <v/>
      </c>
      <c r="R1062" s="48" t="e">
        <f t="shared" si="504"/>
        <v>#VALUE!</v>
      </c>
      <c r="S1062" s="49" t="e">
        <f t="shared" si="498"/>
        <v>#VALUE!</v>
      </c>
      <c r="T1062" s="48" t="str">
        <f t="shared" si="505"/>
        <v/>
      </c>
      <c r="U1062" s="50"/>
      <c r="V1062" s="51"/>
      <c r="W1062" s="52" t="e">
        <f t="shared" si="506"/>
        <v>#VALUE!</v>
      </c>
      <c r="X1062" s="53"/>
      <c r="Y1062" s="53"/>
      <c r="Z1062" s="53"/>
      <c r="AA1062" s="48" t="e">
        <f>INDEX([1]!VISITORS[INSECT ORDER], MATCH(X1062,[1]!VISITORS[NAME USED],0))</f>
        <v>#REF!</v>
      </c>
      <c r="AB1062" s="48" t="e">
        <f t="shared" si="507"/>
        <v>#REF!</v>
      </c>
      <c r="AC1062" s="54" t="e">
        <f t="shared" si="508"/>
        <v>#VALUE!</v>
      </c>
      <c r="AD1062" s="55" t="str">
        <f t="shared" si="520"/>
        <v/>
      </c>
      <c r="AE1062" s="55"/>
      <c r="AF1062" s="55"/>
      <c r="AG1062" s="56" t="str">
        <f t="shared" si="525"/>
        <v/>
      </c>
      <c r="AH1062" s="57" t="str">
        <f t="shared" si="521"/>
        <v/>
      </c>
      <c r="AI1062" s="56"/>
      <c r="AJ1062" s="57" t="str">
        <f t="shared" si="522"/>
        <v/>
      </c>
      <c r="AK1062" s="56"/>
      <c r="AL1062" s="57" t="str">
        <f t="shared" si="523"/>
        <v/>
      </c>
      <c r="AM1062" s="56"/>
      <c r="AN1062" s="57" t="str">
        <f t="shared" si="509"/>
        <v/>
      </c>
      <c r="AO1062" s="56"/>
      <c r="AP1062" s="57" t="str">
        <f t="shared" si="510"/>
        <v/>
      </c>
      <c r="AQ1062" s="56"/>
      <c r="AR1062" s="57" t="str">
        <f t="shared" si="511"/>
        <v/>
      </c>
      <c r="AS1062" s="56"/>
      <c r="AT1062" s="57" t="str">
        <f t="shared" si="512"/>
        <v/>
      </c>
      <c r="AU1062" s="58"/>
      <c r="AV1062" s="59"/>
      <c r="AW1062" s="59"/>
      <c r="AX1062" s="60"/>
      <c r="AY1062" s="61" t="str">
        <f t="shared" si="524"/>
        <v/>
      </c>
      <c r="AZ1062" s="62" t="str">
        <f t="shared" si="513"/>
        <v/>
      </c>
      <c r="BA1062" s="61" t="str">
        <f t="shared" si="514"/>
        <v/>
      </c>
      <c r="BB1062" s="62" t="str">
        <f t="shared" si="515"/>
        <v/>
      </c>
    </row>
    <row r="1063" spans="1:54" s="3" customFormat="1" hidden="1" x14ac:dyDescent="0.35">
      <c r="A1063" s="73">
        <f t="shared" si="499"/>
        <v>2019</v>
      </c>
      <c r="B1063" s="73" t="str">
        <f t="shared" si="500"/>
        <v>Nov</v>
      </c>
      <c r="C1063" s="74">
        <f t="shared" si="516"/>
        <v>17</v>
      </c>
      <c r="D1063" s="75">
        <f t="shared" si="501"/>
        <v>8</v>
      </c>
      <c r="E1063" s="76">
        <f t="shared" si="517"/>
        <v>57</v>
      </c>
      <c r="F1063" s="80"/>
      <c r="G1063" s="83"/>
      <c r="H1063" s="69" t="str">
        <f t="shared" si="518"/>
        <v>Senbur6_20191117_08_00</v>
      </c>
      <c r="I1063" s="70">
        <f t="shared" si="527"/>
        <v>1</v>
      </c>
      <c r="J1063" s="77" t="str">
        <f t="shared" si="527"/>
        <v>Senecio</v>
      </c>
      <c r="K1063" s="77" t="str">
        <f t="shared" si="527"/>
        <v>burtoni</v>
      </c>
      <c r="L1063" s="78">
        <f t="shared" si="527"/>
        <v>6</v>
      </c>
      <c r="M1063" s="78">
        <f t="shared" si="527"/>
        <v>12</v>
      </c>
      <c r="N1063" s="72">
        <f t="shared" si="527"/>
        <v>0</v>
      </c>
      <c r="O1063" s="45"/>
      <c r="P1063" s="46" t="str">
        <f t="shared" si="502"/>
        <v/>
      </c>
      <c r="Q1063" s="47" t="str">
        <f t="shared" si="503"/>
        <v/>
      </c>
      <c r="R1063" s="48" t="e">
        <f t="shared" si="504"/>
        <v>#VALUE!</v>
      </c>
      <c r="S1063" s="49" t="e">
        <f t="shared" si="498"/>
        <v>#VALUE!</v>
      </c>
      <c r="T1063" s="48" t="str">
        <f t="shared" si="505"/>
        <v/>
      </c>
      <c r="U1063" s="50"/>
      <c r="V1063" s="51"/>
      <c r="W1063" s="52" t="e">
        <f t="shared" si="506"/>
        <v>#VALUE!</v>
      </c>
      <c r="X1063" s="53"/>
      <c r="Y1063" s="53"/>
      <c r="Z1063" s="53"/>
      <c r="AA1063" s="48" t="e">
        <f>INDEX([1]!VISITORS[INSECT ORDER], MATCH(X1063,[1]!VISITORS[NAME USED],0))</f>
        <v>#REF!</v>
      </c>
      <c r="AB1063" s="48" t="e">
        <f t="shared" si="507"/>
        <v>#REF!</v>
      </c>
      <c r="AC1063" s="54" t="e">
        <f t="shared" si="508"/>
        <v>#VALUE!</v>
      </c>
      <c r="AD1063" s="55" t="str">
        <f t="shared" si="520"/>
        <v/>
      </c>
      <c r="AE1063" s="55"/>
      <c r="AF1063" s="55"/>
      <c r="AG1063" s="56" t="str">
        <f t="shared" si="525"/>
        <v/>
      </c>
      <c r="AH1063" s="57" t="str">
        <f t="shared" si="521"/>
        <v/>
      </c>
      <c r="AI1063" s="56"/>
      <c r="AJ1063" s="57" t="str">
        <f t="shared" si="522"/>
        <v/>
      </c>
      <c r="AK1063" s="56"/>
      <c r="AL1063" s="57" t="str">
        <f t="shared" si="523"/>
        <v/>
      </c>
      <c r="AM1063" s="56"/>
      <c r="AN1063" s="57" t="str">
        <f t="shared" si="509"/>
        <v/>
      </c>
      <c r="AO1063" s="56"/>
      <c r="AP1063" s="57" t="str">
        <f t="shared" si="510"/>
        <v/>
      </c>
      <c r="AQ1063" s="56"/>
      <c r="AR1063" s="57" t="str">
        <f t="shared" si="511"/>
        <v/>
      </c>
      <c r="AS1063" s="56"/>
      <c r="AT1063" s="57" t="str">
        <f t="shared" si="512"/>
        <v/>
      </c>
      <c r="AU1063" s="58"/>
      <c r="AV1063" s="59"/>
      <c r="AW1063" s="59"/>
      <c r="AX1063" s="60"/>
      <c r="AY1063" s="61" t="str">
        <f t="shared" si="524"/>
        <v/>
      </c>
      <c r="AZ1063" s="62" t="str">
        <f t="shared" si="513"/>
        <v/>
      </c>
      <c r="BA1063" s="61" t="str">
        <f t="shared" si="514"/>
        <v/>
      </c>
      <c r="BB1063" s="62" t="str">
        <f t="shared" si="515"/>
        <v/>
      </c>
    </row>
    <row r="1064" spans="1:54" s="3" customFormat="1" hidden="1" x14ac:dyDescent="0.35">
      <c r="A1064" s="73">
        <f t="shared" si="499"/>
        <v>2019</v>
      </c>
      <c r="B1064" s="73" t="str">
        <f t="shared" si="500"/>
        <v>Nov</v>
      </c>
      <c r="C1064" s="74">
        <f t="shared" si="516"/>
        <v>17</v>
      </c>
      <c r="D1064" s="75">
        <f t="shared" si="501"/>
        <v>8</v>
      </c>
      <c r="E1064" s="76">
        <f t="shared" si="517"/>
        <v>58</v>
      </c>
      <c r="F1064" s="80"/>
      <c r="G1064" s="83"/>
      <c r="H1064" s="69" t="str">
        <f t="shared" si="518"/>
        <v>Senbur6_20191117_08_00</v>
      </c>
      <c r="I1064" s="70">
        <f t="shared" si="527"/>
        <v>1</v>
      </c>
      <c r="J1064" s="77" t="str">
        <f t="shared" si="527"/>
        <v>Senecio</v>
      </c>
      <c r="K1064" s="77" t="str">
        <f t="shared" si="527"/>
        <v>burtoni</v>
      </c>
      <c r="L1064" s="78">
        <f t="shared" si="527"/>
        <v>6</v>
      </c>
      <c r="M1064" s="78">
        <f t="shared" si="527"/>
        <v>12</v>
      </c>
      <c r="N1064" s="72">
        <f t="shared" si="527"/>
        <v>0</v>
      </c>
      <c r="O1064" s="45"/>
      <c r="P1064" s="46" t="str">
        <f t="shared" si="502"/>
        <v/>
      </c>
      <c r="Q1064" s="47" t="str">
        <f t="shared" si="503"/>
        <v/>
      </c>
      <c r="R1064" s="48" t="e">
        <f t="shared" si="504"/>
        <v>#VALUE!</v>
      </c>
      <c r="S1064" s="49" t="e">
        <f t="shared" si="498"/>
        <v>#VALUE!</v>
      </c>
      <c r="T1064" s="48" t="str">
        <f t="shared" si="505"/>
        <v/>
      </c>
      <c r="U1064" s="50"/>
      <c r="V1064" s="51"/>
      <c r="W1064" s="52" t="e">
        <f t="shared" si="506"/>
        <v>#VALUE!</v>
      </c>
      <c r="X1064" s="53"/>
      <c r="Y1064" s="53"/>
      <c r="Z1064" s="53"/>
      <c r="AA1064" s="48" t="e">
        <f>INDEX([1]!VISITORS[INSECT ORDER], MATCH(X1064,[1]!VISITORS[NAME USED],0))</f>
        <v>#REF!</v>
      </c>
      <c r="AB1064" s="48" t="e">
        <f t="shared" si="507"/>
        <v>#REF!</v>
      </c>
      <c r="AC1064" s="54" t="e">
        <f t="shared" si="508"/>
        <v>#VALUE!</v>
      </c>
      <c r="AD1064" s="55" t="str">
        <f t="shared" si="520"/>
        <v/>
      </c>
      <c r="AE1064" s="55"/>
      <c r="AF1064" s="55"/>
      <c r="AG1064" s="56" t="str">
        <f t="shared" si="525"/>
        <v/>
      </c>
      <c r="AH1064" s="57" t="str">
        <f t="shared" si="521"/>
        <v/>
      </c>
      <c r="AI1064" s="56"/>
      <c r="AJ1064" s="57" t="str">
        <f t="shared" si="522"/>
        <v/>
      </c>
      <c r="AK1064" s="56"/>
      <c r="AL1064" s="57" t="str">
        <f t="shared" si="523"/>
        <v/>
      </c>
      <c r="AM1064" s="56"/>
      <c r="AN1064" s="57" t="str">
        <f t="shared" si="509"/>
        <v/>
      </c>
      <c r="AO1064" s="56"/>
      <c r="AP1064" s="57" t="str">
        <f t="shared" si="510"/>
        <v/>
      </c>
      <c r="AQ1064" s="56"/>
      <c r="AR1064" s="57" t="str">
        <f t="shared" si="511"/>
        <v/>
      </c>
      <c r="AS1064" s="56"/>
      <c r="AT1064" s="57" t="str">
        <f t="shared" si="512"/>
        <v/>
      </c>
      <c r="AU1064" s="58"/>
      <c r="AV1064" s="59"/>
      <c r="AW1064" s="59"/>
      <c r="AX1064" s="60"/>
      <c r="AY1064" s="61" t="str">
        <f t="shared" si="524"/>
        <v/>
      </c>
      <c r="AZ1064" s="62" t="str">
        <f t="shared" si="513"/>
        <v/>
      </c>
      <c r="BA1064" s="61" t="str">
        <f t="shared" si="514"/>
        <v/>
      </c>
      <c r="BB1064" s="62" t="str">
        <f t="shared" si="515"/>
        <v/>
      </c>
    </row>
    <row r="1065" spans="1:54" s="3" customFormat="1" hidden="1" x14ac:dyDescent="0.35">
      <c r="A1065" s="73">
        <f t="shared" si="499"/>
        <v>2019</v>
      </c>
      <c r="B1065" s="73" t="str">
        <f t="shared" si="500"/>
        <v>Nov</v>
      </c>
      <c r="C1065" s="74">
        <f t="shared" si="516"/>
        <v>17</v>
      </c>
      <c r="D1065" s="75">
        <f t="shared" si="501"/>
        <v>8</v>
      </c>
      <c r="E1065" s="76">
        <f t="shared" si="517"/>
        <v>59</v>
      </c>
      <c r="F1065" s="80"/>
      <c r="G1065" s="83"/>
      <c r="H1065" s="69" t="str">
        <f t="shared" si="518"/>
        <v>Senbur6_20191117_08_00</v>
      </c>
      <c r="I1065" s="70">
        <f t="shared" si="527"/>
        <v>1</v>
      </c>
      <c r="J1065" s="77" t="str">
        <f t="shared" si="527"/>
        <v>Senecio</v>
      </c>
      <c r="K1065" s="77" t="str">
        <f t="shared" si="527"/>
        <v>burtoni</v>
      </c>
      <c r="L1065" s="78">
        <f t="shared" si="527"/>
        <v>6</v>
      </c>
      <c r="M1065" s="78">
        <f t="shared" si="527"/>
        <v>12</v>
      </c>
      <c r="N1065" s="72">
        <f t="shared" si="527"/>
        <v>0</v>
      </c>
      <c r="O1065" s="45"/>
      <c r="P1065" s="46" t="str">
        <f t="shared" si="502"/>
        <v/>
      </c>
      <c r="Q1065" s="47" t="str">
        <f t="shared" si="503"/>
        <v/>
      </c>
      <c r="R1065" s="48" t="e">
        <f t="shared" si="504"/>
        <v>#VALUE!</v>
      </c>
      <c r="S1065" s="49" t="e">
        <f t="shared" si="498"/>
        <v>#VALUE!</v>
      </c>
      <c r="T1065" s="48" t="str">
        <f t="shared" si="505"/>
        <v/>
      </c>
      <c r="U1065" s="50"/>
      <c r="V1065" s="51"/>
      <c r="W1065" s="52" t="e">
        <f t="shared" si="506"/>
        <v>#VALUE!</v>
      </c>
      <c r="X1065" s="53"/>
      <c r="Y1065" s="53"/>
      <c r="Z1065" s="53"/>
      <c r="AA1065" s="48" t="e">
        <f>INDEX([1]!VISITORS[INSECT ORDER], MATCH(X1065,[1]!VISITORS[NAME USED],0))</f>
        <v>#REF!</v>
      </c>
      <c r="AB1065" s="48" t="e">
        <f t="shared" si="507"/>
        <v>#REF!</v>
      </c>
      <c r="AC1065" s="54" t="e">
        <f t="shared" si="508"/>
        <v>#VALUE!</v>
      </c>
      <c r="AD1065" s="55" t="str">
        <f t="shared" si="520"/>
        <v/>
      </c>
      <c r="AE1065" s="55"/>
      <c r="AF1065" s="55"/>
      <c r="AG1065" s="56" t="str">
        <f t="shared" si="525"/>
        <v/>
      </c>
      <c r="AH1065" s="57" t="str">
        <f t="shared" si="521"/>
        <v/>
      </c>
      <c r="AI1065" s="56"/>
      <c r="AJ1065" s="57" t="str">
        <f t="shared" si="522"/>
        <v/>
      </c>
      <c r="AK1065" s="56"/>
      <c r="AL1065" s="57" t="str">
        <f t="shared" si="523"/>
        <v/>
      </c>
      <c r="AM1065" s="56"/>
      <c r="AN1065" s="57" t="str">
        <f t="shared" si="509"/>
        <v/>
      </c>
      <c r="AO1065" s="56"/>
      <c r="AP1065" s="57" t="str">
        <f t="shared" si="510"/>
        <v/>
      </c>
      <c r="AQ1065" s="56"/>
      <c r="AR1065" s="57" t="str">
        <f t="shared" si="511"/>
        <v/>
      </c>
      <c r="AS1065" s="56"/>
      <c r="AT1065" s="57" t="str">
        <f t="shared" si="512"/>
        <v/>
      </c>
      <c r="AU1065" s="58"/>
      <c r="AV1065" s="59"/>
      <c r="AW1065" s="59"/>
      <c r="AX1065" s="60"/>
      <c r="AY1065" s="61" t="str">
        <f t="shared" si="524"/>
        <v/>
      </c>
      <c r="AZ1065" s="62" t="str">
        <f t="shared" si="513"/>
        <v/>
      </c>
      <c r="BA1065" s="61" t="str">
        <f t="shared" si="514"/>
        <v/>
      </c>
      <c r="BB1065" s="62" t="str">
        <f t="shared" si="515"/>
        <v/>
      </c>
    </row>
    <row r="1066" spans="1:54" s="3" customFormat="1" hidden="1" x14ac:dyDescent="0.35">
      <c r="A1066" s="73">
        <f t="shared" si="499"/>
        <v>2019</v>
      </c>
      <c r="B1066" s="73" t="str">
        <f t="shared" si="500"/>
        <v>Nov</v>
      </c>
      <c r="C1066" s="74">
        <f t="shared" si="516"/>
        <v>17</v>
      </c>
      <c r="D1066" s="75">
        <f t="shared" si="501"/>
        <v>9</v>
      </c>
      <c r="E1066" s="76">
        <f t="shared" si="517"/>
        <v>0</v>
      </c>
      <c r="F1066" s="80"/>
      <c r="G1066" s="83"/>
      <c r="H1066" s="69" t="str">
        <f t="shared" si="518"/>
        <v>Senbur6_20191117_09_00</v>
      </c>
      <c r="I1066" s="70">
        <f t="shared" si="527"/>
        <v>1</v>
      </c>
      <c r="J1066" s="77" t="str">
        <f t="shared" si="527"/>
        <v>Senecio</v>
      </c>
      <c r="K1066" s="77" t="str">
        <f t="shared" si="527"/>
        <v>burtoni</v>
      </c>
      <c r="L1066" s="78">
        <f t="shared" si="527"/>
        <v>6</v>
      </c>
      <c r="M1066" s="78">
        <f t="shared" si="527"/>
        <v>12</v>
      </c>
      <c r="N1066" s="72">
        <f t="shared" si="527"/>
        <v>0</v>
      </c>
      <c r="O1066" s="45"/>
      <c r="P1066" s="46" t="str">
        <f t="shared" si="502"/>
        <v/>
      </c>
      <c r="Q1066" s="47" t="str">
        <f t="shared" si="503"/>
        <v/>
      </c>
      <c r="R1066" s="48" t="e">
        <f t="shared" si="504"/>
        <v>#VALUE!</v>
      </c>
      <c r="S1066" s="49" t="e">
        <f t="shared" si="498"/>
        <v>#VALUE!</v>
      </c>
      <c r="T1066" s="48" t="str">
        <f t="shared" si="505"/>
        <v/>
      </c>
      <c r="U1066" s="50"/>
      <c r="V1066" s="51"/>
      <c r="W1066" s="52" t="e">
        <f t="shared" si="506"/>
        <v>#VALUE!</v>
      </c>
      <c r="X1066" s="53"/>
      <c r="Y1066" s="53"/>
      <c r="Z1066" s="53"/>
      <c r="AA1066" s="48" t="e">
        <f>INDEX([1]!VISITORS[INSECT ORDER], MATCH(X1066,[1]!VISITORS[NAME USED],0))</f>
        <v>#REF!</v>
      </c>
      <c r="AB1066" s="48" t="e">
        <f t="shared" si="507"/>
        <v>#REF!</v>
      </c>
      <c r="AC1066" s="54" t="e">
        <f t="shared" si="508"/>
        <v>#VALUE!</v>
      </c>
      <c r="AD1066" s="55" t="str">
        <f t="shared" si="520"/>
        <v/>
      </c>
      <c r="AE1066" s="55"/>
      <c r="AF1066" s="55"/>
      <c r="AG1066" s="56" t="str">
        <f t="shared" si="525"/>
        <v/>
      </c>
      <c r="AH1066" s="57" t="str">
        <f t="shared" si="521"/>
        <v/>
      </c>
      <c r="AI1066" s="56"/>
      <c r="AJ1066" s="57" t="str">
        <f t="shared" si="522"/>
        <v/>
      </c>
      <c r="AK1066" s="56"/>
      <c r="AL1066" s="57" t="str">
        <f t="shared" si="523"/>
        <v/>
      </c>
      <c r="AM1066" s="56"/>
      <c r="AN1066" s="57" t="str">
        <f t="shared" si="509"/>
        <v/>
      </c>
      <c r="AO1066" s="56"/>
      <c r="AP1066" s="57" t="str">
        <f t="shared" si="510"/>
        <v/>
      </c>
      <c r="AQ1066" s="56"/>
      <c r="AR1066" s="57" t="str">
        <f t="shared" si="511"/>
        <v/>
      </c>
      <c r="AS1066" s="56"/>
      <c r="AT1066" s="57" t="str">
        <f t="shared" si="512"/>
        <v/>
      </c>
      <c r="AU1066" s="58"/>
      <c r="AV1066" s="59"/>
      <c r="AW1066" s="59"/>
      <c r="AX1066" s="60"/>
      <c r="AY1066" s="61" t="str">
        <f t="shared" si="524"/>
        <v/>
      </c>
      <c r="AZ1066" s="62" t="str">
        <f t="shared" si="513"/>
        <v/>
      </c>
      <c r="BA1066" s="61" t="str">
        <f t="shared" si="514"/>
        <v/>
      </c>
      <c r="BB1066" s="62" t="str">
        <f t="shared" si="515"/>
        <v/>
      </c>
    </row>
    <row r="1067" spans="1:54" s="3" customFormat="1" hidden="1" x14ac:dyDescent="0.35">
      <c r="A1067" s="73">
        <f t="shared" si="499"/>
        <v>2019</v>
      </c>
      <c r="B1067" s="73" t="str">
        <f t="shared" si="500"/>
        <v>Nov</v>
      </c>
      <c r="C1067" s="74">
        <f t="shared" si="516"/>
        <v>17</v>
      </c>
      <c r="D1067" s="75">
        <f t="shared" si="501"/>
        <v>9</v>
      </c>
      <c r="E1067" s="76">
        <f t="shared" si="517"/>
        <v>1</v>
      </c>
      <c r="F1067" s="80"/>
      <c r="G1067" s="83"/>
      <c r="H1067" s="69" t="str">
        <f t="shared" si="518"/>
        <v>Senbur6_20191117_09_00</v>
      </c>
      <c r="I1067" s="70">
        <f t="shared" si="527"/>
        <v>1</v>
      </c>
      <c r="J1067" s="77" t="str">
        <f t="shared" si="527"/>
        <v>Senecio</v>
      </c>
      <c r="K1067" s="77" t="str">
        <f t="shared" si="527"/>
        <v>burtoni</v>
      </c>
      <c r="L1067" s="78">
        <f t="shared" si="527"/>
        <v>6</v>
      </c>
      <c r="M1067" s="78">
        <f t="shared" si="527"/>
        <v>12</v>
      </c>
      <c r="N1067" s="72">
        <f t="shared" si="527"/>
        <v>0</v>
      </c>
      <c r="O1067" s="45"/>
      <c r="P1067" s="46" t="str">
        <f t="shared" si="502"/>
        <v/>
      </c>
      <c r="Q1067" s="47" t="str">
        <f t="shared" si="503"/>
        <v/>
      </c>
      <c r="R1067" s="48" t="e">
        <f t="shared" si="504"/>
        <v>#VALUE!</v>
      </c>
      <c r="S1067" s="49" t="e">
        <f t="shared" si="498"/>
        <v>#VALUE!</v>
      </c>
      <c r="T1067" s="48" t="str">
        <f t="shared" si="505"/>
        <v/>
      </c>
      <c r="U1067" s="50"/>
      <c r="V1067" s="51"/>
      <c r="W1067" s="52" t="e">
        <f t="shared" si="506"/>
        <v>#VALUE!</v>
      </c>
      <c r="X1067" s="53"/>
      <c r="Y1067" s="53"/>
      <c r="Z1067" s="53"/>
      <c r="AA1067" s="48" t="e">
        <f>INDEX([1]!VISITORS[INSECT ORDER], MATCH(X1067,[1]!VISITORS[NAME USED],0))</f>
        <v>#REF!</v>
      </c>
      <c r="AB1067" s="48" t="e">
        <f t="shared" si="507"/>
        <v>#REF!</v>
      </c>
      <c r="AC1067" s="54" t="e">
        <f t="shared" si="508"/>
        <v>#VALUE!</v>
      </c>
      <c r="AD1067" s="55" t="str">
        <f t="shared" si="520"/>
        <v/>
      </c>
      <c r="AE1067" s="55"/>
      <c r="AF1067" s="55"/>
      <c r="AG1067" s="56" t="str">
        <f t="shared" si="525"/>
        <v/>
      </c>
      <c r="AH1067" s="57" t="str">
        <f t="shared" si="521"/>
        <v/>
      </c>
      <c r="AI1067" s="56"/>
      <c r="AJ1067" s="57" t="str">
        <f t="shared" si="522"/>
        <v/>
      </c>
      <c r="AK1067" s="56"/>
      <c r="AL1067" s="57" t="str">
        <f t="shared" si="523"/>
        <v/>
      </c>
      <c r="AM1067" s="56"/>
      <c r="AN1067" s="57" t="str">
        <f t="shared" si="509"/>
        <v/>
      </c>
      <c r="AO1067" s="56"/>
      <c r="AP1067" s="57" t="str">
        <f t="shared" si="510"/>
        <v/>
      </c>
      <c r="AQ1067" s="56"/>
      <c r="AR1067" s="57" t="str">
        <f t="shared" si="511"/>
        <v/>
      </c>
      <c r="AS1067" s="56"/>
      <c r="AT1067" s="57" t="str">
        <f t="shared" si="512"/>
        <v/>
      </c>
      <c r="AU1067" s="58"/>
      <c r="AV1067" s="59"/>
      <c r="AW1067" s="59"/>
      <c r="AX1067" s="60"/>
      <c r="AY1067" s="61" t="str">
        <f t="shared" si="524"/>
        <v/>
      </c>
      <c r="AZ1067" s="62" t="str">
        <f t="shared" si="513"/>
        <v/>
      </c>
      <c r="BA1067" s="61" t="str">
        <f t="shared" si="514"/>
        <v/>
      </c>
      <c r="BB1067" s="62" t="str">
        <f t="shared" si="515"/>
        <v/>
      </c>
    </row>
    <row r="1068" spans="1:54" s="3" customFormat="1" hidden="1" x14ac:dyDescent="0.35">
      <c r="A1068" s="73">
        <f t="shared" si="499"/>
        <v>2019</v>
      </c>
      <c r="B1068" s="73" t="str">
        <f t="shared" si="500"/>
        <v>Nov</v>
      </c>
      <c r="C1068" s="74">
        <f t="shared" si="516"/>
        <v>17</v>
      </c>
      <c r="D1068" s="75">
        <f t="shared" si="501"/>
        <v>9</v>
      </c>
      <c r="E1068" s="76">
        <f t="shared" si="517"/>
        <v>2</v>
      </c>
      <c r="F1068" s="80"/>
      <c r="G1068" s="83"/>
      <c r="H1068" s="69" t="str">
        <f t="shared" si="518"/>
        <v>Senbur6_20191117_09_00</v>
      </c>
      <c r="I1068" s="70">
        <f t="shared" si="527"/>
        <v>1</v>
      </c>
      <c r="J1068" s="77" t="str">
        <f t="shared" si="527"/>
        <v>Senecio</v>
      </c>
      <c r="K1068" s="77" t="str">
        <f t="shared" si="527"/>
        <v>burtoni</v>
      </c>
      <c r="L1068" s="78">
        <f t="shared" si="527"/>
        <v>6</v>
      </c>
      <c r="M1068" s="78">
        <f t="shared" si="527"/>
        <v>12</v>
      </c>
      <c r="N1068" s="72">
        <f t="shared" si="527"/>
        <v>0</v>
      </c>
      <c r="O1068" s="45"/>
      <c r="P1068" s="46" t="str">
        <f t="shared" si="502"/>
        <v/>
      </c>
      <c r="Q1068" s="47" t="str">
        <f t="shared" si="503"/>
        <v/>
      </c>
      <c r="R1068" s="48" t="e">
        <f t="shared" si="504"/>
        <v>#VALUE!</v>
      </c>
      <c r="S1068" s="49" t="e">
        <f t="shared" si="498"/>
        <v>#VALUE!</v>
      </c>
      <c r="T1068" s="48" t="str">
        <f t="shared" si="505"/>
        <v/>
      </c>
      <c r="U1068" s="50"/>
      <c r="V1068" s="51"/>
      <c r="W1068" s="52" t="e">
        <f t="shared" si="506"/>
        <v>#VALUE!</v>
      </c>
      <c r="X1068" s="53"/>
      <c r="Y1068" s="53"/>
      <c r="Z1068" s="53"/>
      <c r="AA1068" s="48" t="e">
        <f>INDEX([1]!VISITORS[INSECT ORDER], MATCH(X1068,[1]!VISITORS[NAME USED],0))</f>
        <v>#REF!</v>
      </c>
      <c r="AB1068" s="48" t="e">
        <f t="shared" si="507"/>
        <v>#REF!</v>
      </c>
      <c r="AC1068" s="54" t="e">
        <f t="shared" si="508"/>
        <v>#VALUE!</v>
      </c>
      <c r="AD1068" s="55" t="str">
        <f t="shared" si="520"/>
        <v/>
      </c>
      <c r="AE1068" s="55"/>
      <c r="AF1068" s="55"/>
      <c r="AG1068" s="56" t="str">
        <f t="shared" si="525"/>
        <v/>
      </c>
      <c r="AH1068" s="57" t="str">
        <f t="shared" si="521"/>
        <v/>
      </c>
      <c r="AI1068" s="56"/>
      <c r="AJ1068" s="57" t="str">
        <f t="shared" si="522"/>
        <v/>
      </c>
      <c r="AK1068" s="56"/>
      <c r="AL1068" s="57" t="str">
        <f t="shared" si="523"/>
        <v/>
      </c>
      <c r="AM1068" s="56"/>
      <c r="AN1068" s="57" t="str">
        <f t="shared" si="509"/>
        <v/>
      </c>
      <c r="AO1068" s="56"/>
      <c r="AP1068" s="57" t="str">
        <f t="shared" si="510"/>
        <v/>
      </c>
      <c r="AQ1068" s="56"/>
      <c r="AR1068" s="57" t="str">
        <f t="shared" si="511"/>
        <v/>
      </c>
      <c r="AS1068" s="56"/>
      <c r="AT1068" s="57" t="str">
        <f t="shared" si="512"/>
        <v/>
      </c>
      <c r="AU1068" s="58"/>
      <c r="AV1068" s="59"/>
      <c r="AW1068" s="59"/>
      <c r="AX1068" s="60"/>
      <c r="AY1068" s="61" t="str">
        <f t="shared" si="524"/>
        <v/>
      </c>
      <c r="AZ1068" s="62" t="str">
        <f t="shared" si="513"/>
        <v/>
      </c>
      <c r="BA1068" s="61" t="str">
        <f t="shared" si="514"/>
        <v/>
      </c>
      <c r="BB1068" s="62" t="str">
        <f t="shared" si="515"/>
        <v/>
      </c>
    </row>
    <row r="1069" spans="1:54" s="3" customFormat="1" hidden="1" x14ac:dyDescent="0.35">
      <c r="A1069" s="73">
        <f t="shared" si="499"/>
        <v>2019</v>
      </c>
      <c r="B1069" s="73" t="str">
        <f t="shared" si="500"/>
        <v>Nov</v>
      </c>
      <c r="C1069" s="74">
        <f t="shared" si="516"/>
        <v>17</v>
      </c>
      <c r="D1069" s="75">
        <f t="shared" si="501"/>
        <v>9</v>
      </c>
      <c r="E1069" s="76">
        <f t="shared" si="517"/>
        <v>3</v>
      </c>
      <c r="F1069" s="80"/>
      <c r="G1069" s="83"/>
      <c r="H1069" s="69" t="str">
        <f t="shared" si="518"/>
        <v>Senbur6_20191117_09_00</v>
      </c>
      <c r="I1069" s="70">
        <f t="shared" si="527"/>
        <v>1</v>
      </c>
      <c r="J1069" s="77" t="str">
        <f t="shared" si="527"/>
        <v>Senecio</v>
      </c>
      <c r="K1069" s="77" t="str">
        <f t="shared" si="527"/>
        <v>burtoni</v>
      </c>
      <c r="L1069" s="78">
        <f t="shared" si="527"/>
        <v>6</v>
      </c>
      <c r="M1069" s="78">
        <f t="shared" si="527"/>
        <v>12</v>
      </c>
      <c r="N1069" s="72">
        <f t="shared" si="527"/>
        <v>0</v>
      </c>
      <c r="O1069" s="45"/>
      <c r="P1069" s="46" t="str">
        <f t="shared" si="502"/>
        <v/>
      </c>
      <c r="Q1069" s="47" t="str">
        <f t="shared" si="503"/>
        <v/>
      </c>
      <c r="R1069" s="48" t="e">
        <f t="shared" si="504"/>
        <v>#VALUE!</v>
      </c>
      <c r="S1069" s="49" t="e">
        <f t="shared" si="498"/>
        <v>#VALUE!</v>
      </c>
      <c r="T1069" s="48" t="str">
        <f t="shared" si="505"/>
        <v/>
      </c>
      <c r="U1069" s="50"/>
      <c r="V1069" s="51"/>
      <c r="W1069" s="52" t="e">
        <f t="shared" si="506"/>
        <v>#VALUE!</v>
      </c>
      <c r="X1069" s="53"/>
      <c r="Y1069" s="53"/>
      <c r="Z1069" s="53"/>
      <c r="AA1069" s="48" t="e">
        <f>INDEX([1]!VISITORS[INSECT ORDER], MATCH(X1069,[1]!VISITORS[NAME USED],0))</f>
        <v>#REF!</v>
      </c>
      <c r="AB1069" s="48" t="e">
        <f t="shared" si="507"/>
        <v>#REF!</v>
      </c>
      <c r="AC1069" s="54" t="e">
        <f t="shared" si="508"/>
        <v>#VALUE!</v>
      </c>
      <c r="AD1069" s="55" t="str">
        <f t="shared" si="520"/>
        <v/>
      </c>
      <c r="AE1069" s="55"/>
      <c r="AF1069" s="55"/>
      <c r="AG1069" s="56" t="str">
        <f t="shared" si="525"/>
        <v/>
      </c>
      <c r="AH1069" s="57" t="str">
        <f t="shared" si="521"/>
        <v/>
      </c>
      <c r="AI1069" s="56"/>
      <c r="AJ1069" s="57" t="str">
        <f t="shared" si="522"/>
        <v/>
      </c>
      <c r="AK1069" s="56"/>
      <c r="AL1069" s="57" t="str">
        <f t="shared" si="523"/>
        <v/>
      </c>
      <c r="AM1069" s="56"/>
      <c r="AN1069" s="57" t="str">
        <f t="shared" si="509"/>
        <v/>
      </c>
      <c r="AO1069" s="56"/>
      <c r="AP1069" s="57" t="str">
        <f t="shared" si="510"/>
        <v/>
      </c>
      <c r="AQ1069" s="56"/>
      <c r="AR1069" s="57" t="str">
        <f t="shared" si="511"/>
        <v/>
      </c>
      <c r="AS1069" s="56"/>
      <c r="AT1069" s="57" t="str">
        <f t="shared" si="512"/>
        <v/>
      </c>
      <c r="AU1069" s="58"/>
      <c r="AV1069" s="59"/>
      <c r="AW1069" s="59"/>
      <c r="AX1069" s="60"/>
      <c r="AY1069" s="61" t="str">
        <f t="shared" si="524"/>
        <v/>
      </c>
      <c r="AZ1069" s="62" t="str">
        <f t="shared" si="513"/>
        <v/>
      </c>
      <c r="BA1069" s="61" t="str">
        <f t="shared" si="514"/>
        <v/>
      </c>
      <c r="BB1069" s="62" t="str">
        <f t="shared" si="515"/>
        <v/>
      </c>
    </row>
    <row r="1070" spans="1:54" s="3" customFormat="1" hidden="1" x14ac:dyDescent="0.35">
      <c r="A1070" s="73">
        <f t="shared" si="499"/>
        <v>2019</v>
      </c>
      <c r="B1070" s="73" t="str">
        <f t="shared" si="500"/>
        <v>Nov</v>
      </c>
      <c r="C1070" s="74">
        <f t="shared" si="516"/>
        <v>17</v>
      </c>
      <c r="D1070" s="75">
        <f t="shared" si="501"/>
        <v>9</v>
      </c>
      <c r="E1070" s="76">
        <f t="shared" si="517"/>
        <v>4</v>
      </c>
      <c r="F1070" s="80"/>
      <c r="G1070" s="83"/>
      <c r="H1070" s="69" t="str">
        <f t="shared" si="518"/>
        <v>Senbur6_20191117_09_00</v>
      </c>
      <c r="I1070" s="70">
        <f t="shared" si="527"/>
        <v>1</v>
      </c>
      <c r="J1070" s="77" t="str">
        <f t="shared" si="527"/>
        <v>Senecio</v>
      </c>
      <c r="K1070" s="77" t="str">
        <f t="shared" si="527"/>
        <v>burtoni</v>
      </c>
      <c r="L1070" s="78">
        <f t="shared" si="527"/>
        <v>6</v>
      </c>
      <c r="M1070" s="78">
        <f t="shared" si="527"/>
        <v>12</v>
      </c>
      <c r="N1070" s="72">
        <f t="shared" si="527"/>
        <v>0</v>
      </c>
      <c r="O1070" s="45"/>
      <c r="P1070" s="46" t="str">
        <f t="shared" si="502"/>
        <v/>
      </c>
      <c r="Q1070" s="47" t="str">
        <f t="shared" si="503"/>
        <v/>
      </c>
      <c r="R1070" s="48" t="e">
        <f t="shared" si="504"/>
        <v>#VALUE!</v>
      </c>
      <c r="S1070" s="49" t="e">
        <f t="shared" si="498"/>
        <v>#VALUE!</v>
      </c>
      <c r="T1070" s="48" t="str">
        <f t="shared" si="505"/>
        <v/>
      </c>
      <c r="U1070" s="50"/>
      <c r="V1070" s="51"/>
      <c r="W1070" s="52" t="e">
        <f t="shared" si="506"/>
        <v>#VALUE!</v>
      </c>
      <c r="X1070" s="53"/>
      <c r="Y1070" s="53"/>
      <c r="Z1070" s="53"/>
      <c r="AA1070" s="48" t="e">
        <f>INDEX([1]!VISITORS[INSECT ORDER], MATCH(X1070,[1]!VISITORS[NAME USED],0))</f>
        <v>#REF!</v>
      </c>
      <c r="AB1070" s="48" t="e">
        <f t="shared" si="507"/>
        <v>#REF!</v>
      </c>
      <c r="AC1070" s="54" t="e">
        <f t="shared" si="508"/>
        <v>#VALUE!</v>
      </c>
      <c r="AD1070" s="55" t="str">
        <f t="shared" si="520"/>
        <v/>
      </c>
      <c r="AE1070" s="55"/>
      <c r="AF1070" s="55"/>
      <c r="AG1070" s="56" t="str">
        <f t="shared" si="525"/>
        <v/>
      </c>
      <c r="AH1070" s="57" t="str">
        <f t="shared" si="521"/>
        <v/>
      </c>
      <c r="AI1070" s="56"/>
      <c r="AJ1070" s="57" t="str">
        <f t="shared" si="522"/>
        <v/>
      </c>
      <c r="AK1070" s="56"/>
      <c r="AL1070" s="57" t="str">
        <f t="shared" si="523"/>
        <v/>
      </c>
      <c r="AM1070" s="56"/>
      <c r="AN1070" s="57" t="str">
        <f t="shared" si="509"/>
        <v/>
      </c>
      <c r="AO1070" s="56"/>
      <c r="AP1070" s="57" t="str">
        <f t="shared" si="510"/>
        <v/>
      </c>
      <c r="AQ1070" s="56"/>
      <c r="AR1070" s="57" t="str">
        <f t="shared" si="511"/>
        <v/>
      </c>
      <c r="AS1070" s="56"/>
      <c r="AT1070" s="57" t="str">
        <f t="shared" si="512"/>
        <v/>
      </c>
      <c r="AU1070" s="58"/>
      <c r="AV1070" s="59"/>
      <c r="AW1070" s="59"/>
      <c r="AX1070" s="60"/>
      <c r="AY1070" s="61" t="str">
        <f t="shared" si="524"/>
        <v/>
      </c>
      <c r="AZ1070" s="62" t="str">
        <f t="shared" si="513"/>
        <v/>
      </c>
      <c r="BA1070" s="61" t="str">
        <f t="shared" si="514"/>
        <v/>
      </c>
      <c r="BB1070" s="62" t="str">
        <f t="shared" si="515"/>
        <v/>
      </c>
    </row>
    <row r="1071" spans="1:54" s="3" customFormat="1" hidden="1" x14ac:dyDescent="0.35">
      <c r="A1071" s="73">
        <f t="shared" si="499"/>
        <v>2019</v>
      </c>
      <c r="B1071" s="73" t="str">
        <f t="shared" si="500"/>
        <v>Nov</v>
      </c>
      <c r="C1071" s="74">
        <f t="shared" si="516"/>
        <v>17</v>
      </c>
      <c r="D1071" s="75">
        <f t="shared" si="501"/>
        <v>9</v>
      </c>
      <c r="E1071" s="76">
        <f t="shared" si="517"/>
        <v>5</v>
      </c>
      <c r="F1071" s="80">
        <v>23</v>
      </c>
      <c r="G1071" s="83"/>
      <c r="H1071" s="69" t="str">
        <f t="shared" si="518"/>
        <v>Senbur6_20191117_09_00</v>
      </c>
      <c r="I1071" s="70">
        <f t="shared" si="527"/>
        <v>1</v>
      </c>
      <c r="J1071" s="77" t="str">
        <f t="shared" si="527"/>
        <v>Senecio</v>
      </c>
      <c r="K1071" s="77" t="str">
        <f t="shared" si="527"/>
        <v>burtoni</v>
      </c>
      <c r="L1071" s="78">
        <f t="shared" si="527"/>
        <v>6</v>
      </c>
      <c r="M1071" s="78">
        <f t="shared" si="527"/>
        <v>12</v>
      </c>
      <c r="N1071" s="72">
        <f t="shared" si="527"/>
        <v>0</v>
      </c>
      <c r="O1071" s="45"/>
      <c r="P1071" s="46">
        <f t="shared" si="502"/>
        <v>1</v>
      </c>
      <c r="Q1071" s="47" t="str">
        <f t="shared" si="503"/>
        <v>09:05:23</v>
      </c>
      <c r="R1071" s="48" t="str">
        <f t="shared" si="504"/>
        <v>05:23</v>
      </c>
      <c r="S1071" s="49">
        <f t="shared" si="498"/>
        <v>400</v>
      </c>
      <c r="T1071" s="48" t="str">
        <f t="shared" si="505"/>
        <v>09</v>
      </c>
      <c r="U1071" s="50">
        <v>12</v>
      </c>
      <c r="V1071" s="51">
        <v>3</v>
      </c>
      <c r="W1071" s="52" t="str">
        <f t="shared" si="506"/>
        <v>12:03</v>
      </c>
      <c r="X1071" s="53" t="s">
        <v>59</v>
      </c>
      <c r="Y1071" s="97" t="s">
        <v>84</v>
      </c>
      <c r="Z1071" s="97" t="s">
        <v>80</v>
      </c>
      <c r="AA1071" s="48" t="s">
        <v>60</v>
      </c>
      <c r="AB1071" s="48" t="str">
        <f t="shared" si="507"/>
        <v>NA</v>
      </c>
      <c r="AC1071" s="54">
        <f t="shared" si="508"/>
        <v>0</v>
      </c>
      <c r="AD1071" s="55">
        <v>5</v>
      </c>
      <c r="AE1071" s="55"/>
      <c r="AF1071" s="55"/>
      <c r="AG1071" s="56">
        <v>1</v>
      </c>
      <c r="AH1071" s="57">
        <v>18</v>
      </c>
      <c r="AI1071" s="56">
        <v>1</v>
      </c>
      <c r="AJ1071" s="57">
        <v>5</v>
      </c>
      <c r="AK1071" s="56">
        <v>1</v>
      </c>
      <c r="AL1071" s="57">
        <v>377</v>
      </c>
      <c r="AM1071" s="56"/>
      <c r="AN1071" s="57" t="str">
        <f t="shared" si="509"/>
        <v/>
      </c>
      <c r="AO1071" s="56"/>
      <c r="AP1071" s="57" t="str">
        <f t="shared" si="510"/>
        <v/>
      </c>
      <c r="AQ1071" s="56"/>
      <c r="AR1071" s="57" t="str">
        <f t="shared" si="511"/>
        <v/>
      </c>
      <c r="AS1071" s="56"/>
      <c r="AT1071" s="57" t="str">
        <f t="shared" si="512"/>
        <v/>
      </c>
      <c r="AU1071" s="58"/>
      <c r="AV1071" s="59"/>
      <c r="AW1071" s="59"/>
      <c r="AX1071" s="60"/>
      <c r="AY1071" s="61">
        <v>1</v>
      </c>
      <c r="AZ1071" s="62">
        <f t="shared" si="513"/>
        <v>5</v>
      </c>
      <c r="BA1071" s="61">
        <f t="shared" si="514"/>
        <v>0</v>
      </c>
      <c r="BB1071" s="62" t="str">
        <f t="shared" si="515"/>
        <v/>
      </c>
    </row>
    <row r="1072" spans="1:54" s="3" customFormat="1" hidden="1" x14ac:dyDescent="0.35">
      <c r="A1072" s="73">
        <f t="shared" si="499"/>
        <v>2019</v>
      </c>
      <c r="B1072" s="73" t="str">
        <f t="shared" si="500"/>
        <v>Nov</v>
      </c>
      <c r="C1072" s="74">
        <f t="shared" si="516"/>
        <v>17</v>
      </c>
      <c r="D1072" s="75">
        <f t="shared" si="501"/>
        <v>9</v>
      </c>
      <c r="E1072" s="76">
        <f t="shared" si="517"/>
        <v>6</v>
      </c>
      <c r="F1072" s="80"/>
      <c r="G1072" s="83"/>
      <c r="H1072" s="69" t="str">
        <f t="shared" si="518"/>
        <v>Senbur6_20191117_09_00</v>
      </c>
      <c r="I1072" s="70">
        <f t="shared" si="527"/>
        <v>1</v>
      </c>
      <c r="J1072" s="77" t="str">
        <f t="shared" si="527"/>
        <v>Senecio</v>
      </c>
      <c r="K1072" s="77" t="str">
        <f t="shared" si="527"/>
        <v>burtoni</v>
      </c>
      <c r="L1072" s="78">
        <f t="shared" si="527"/>
        <v>6</v>
      </c>
      <c r="M1072" s="78">
        <f t="shared" si="527"/>
        <v>12</v>
      </c>
      <c r="N1072" s="72">
        <f t="shared" si="527"/>
        <v>0</v>
      </c>
      <c r="O1072" s="45"/>
      <c r="P1072" s="46" t="str">
        <f t="shared" si="502"/>
        <v/>
      </c>
      <c r="Q1072" s="47" t="str">
        <f t="shared" si="503"/>
        <v/>
      </c>
      <c r="R1072" s="48" t="e">
        <f t="shared" si="504"/>
        <v>#VALUE!</v>
      </c>
      <c r="S1072" s="49" t="e">
        <f t="shared" si="498"/>
        <v>#VALUE!</v>
      </c>
      <c r="T1072" s="48" t="str">
        <f t="shared" si="505"/>
        <v/>
      </c>
      <c r="U1072" s="50"/>
      <c r="V1072" s="51"/>
      <c r="W1072" s="52" t="e">
        <f t="shared" si="506"/>
        <v>#VALUE!</v>
      </c>
      <c r="X1072" s="53"/>
      <c r="Y1072" s="53"/>
      <c r="Z1072" s="53"/>
      <c r="AA1072" s="48" t="e">
        <f>INDEX([1]!VISITORS[INSECT ORDER], MATCH(X1072,[1]!VISITORS[NAME USED],0))</f>
        <v>#REF!</v>
      </c>
      <c r="AB1072" s="48" t="e">
        <f t="shared" si="507"/>
        <v>#REF!</v>
      </c>
      <c r="AC1072" s="54" t="e">
        <f t="shared" si="508"/>
        <v>#VALUE!</v>
      </c>
      <c r="AD1072" s="55" t="str">
        <f t="shared" si="520"/>
        <v/>
      </c>
      <c r="AE1072" s="55"/>
      <c r="AF1072" s="55"/>
      <c r="AG1072" s="56" t="str">
        <f t="shared" si="525"/>
        <v/>
      </c>
      <c r="AH1072" s="57" t="str">
        <f t="shared" si="521"/>
        <v/>
      </c>
      <c r="AI1072" s="56"/>
      <c r="AJ1072" s="57" t="str">
        <f t="shared" si="522"/>
        <v/>
      </c>
      <c r="AK1072" s="56"/>
      <c r="AL1072" s="57" t="str">
        <f t="shared" si="523"/>
        <v/>
      </c>
      <c r="AM1072" s="56"/>
      <c r="AN1072" s="57" t="str">
        <f t="shared" si="509"/>
        <v/>
      </c>
      <c r="AO1072" s="56"/>
      <c r="AP1072" s="57" t="str">
        <f t="shared" si="510"/>
        <v/>
      </c>
      <c r="AQ1072" s="56"/>
      <c r="AR1072" s="57" t="str">
        <f t="shared" si="511"/>
        <v/>
      </c>
      <c r="AS1072" s="56"/>
      <c r="AT1072" s="57" t="str">
        <f t="shared" si="512"/>
        <v/>
      </c>
      <c r="AU1072" s="58"/>
      <c r="AV1072" s="59"/>
      <c r="AW1072" s="59"/>
      <c r="AX1072" s="60"/>
      <c r="AY1072" s="61" t="str">
        <f t="shared" si="524"/>
        <v/>
      </c>
      <c r="AZ1072" s="62" t="str">
        <f t="shared" si="513"/>
        <v/>
      </c>
      <c r="BA1072" s="61" t="str">
        <f t="shared" si="514"/>
        <v/>
      </c>
      <c r="BB1072" s="62" t="str">
        <f t="shared" si="515"/>
        <v/>
      </c>
    </row>
    <row r="1073" spans="1:54" s="3" customFormat="1" hidden="1" x14ac:dyDescent="0.35">
      <c r="A1073" s="73">
        <f t="shared" si="499"/>
        <v>2019</v>
      </c>
      <c r="B1073" s="73" t="str">
        <f t="shared" si="500"/>
        <v>Nov</v>
      </c>
      <c r="C1073" s="74">
        <f t="shared" si="516"/>
        <v>17</v>
      </c>
      <c r="D1073" s="75">
        <f t="shared" si="501"/>
        <v>9</v>
      </c>
      <c r="E1073" s="76">
        <f t="shared" si="517"/>
        <v>7</v>
      </c>
      <c r="F1073" s="80"/>
      <c r="G1073" s="83"/>
      <c r="H1073" s="69" t="str">
        <f t="shared" si="518"/>
        <v>Senbur6_20191117_09_00</v>
      </c>
      <c r="I1073" s="70">
        <f t="shared" si="527"/>
        <v>1</v>
      </c>
      <c r="J1073" s="77" t="str">
        <f t="shared" si="527"/>
        <v>Senecio</v>
      </c>
      <c r="K1073" s="77" t="str">
        <f t="shared" si="527"/>
        <v>burtoni</v>
      </c>
      <c r="L1073" s="78">
        <f t="shared" si="527"/>
        <v>6</v>
      </c>
      <c r="M1073" s="78">
        <f t="shared" si="527"/>
        <v>12</v>
      </c>
      <c r="N1073" s="72">
        <f t="shared" si="527"/>
        <v>0</v>
      </c>
      <c r="O1073" s="45"/>
      <c r="P1073" s="46" t="str">
        <f t="shared" si="502"/>
        <v/>
      </c>
      <c r="Q1073" s="47" t="str">
        <f t="shared" si="503"/>
        <v/>
      </c>
      <c r="R1073" s="48" t="e">
        <f t="shared" si="504"/>
        <v>#VALUE!</v>
      </c>
      <c r="S1073" s="49" t="e">
        <f t="shared" si="498"/>
        <v>#VALUE!</v>
      </c>
      <c r="T1073" s="48" t="str">
        <f t="shared" si="505"/>
        <v/>
      </c>
      <c r="U1073" s="50"/>
      <c r="V1073" s="51"/>
      <c r="W1073" s="52" t="e">
        <f t="shared" si="506"/>
        <v>#VALUE!</v>
      </c>
      <c r="X1073" s="53"/>
      <c r="Y1073" s="53"/>
      <c r="Z1073" s="53"/>
      <c r="AA1073" s="48" t="e">
        <f>INDEX([1]!VISITORS[INSECT ORDER], MATCH(X1073,[1]!VISITORS[NAME USED],0))</f>
        <v>#REF!</v>
      </c>
      <c r="AB1073" s="48" t="e">
        <f t="shared" si="507"/>
        <v>#REF!</v>
      </c>
      <c r="AC1073" s="54" t="e">
        <f t="shared" si="508"/>
        <v>#VALUE!</v>
      </c>
      <c r="AD1073" s="55" t="str">
        <f t="shared" si="520"/>
        <v/>
      </c>
      <c r="AE1073" s="55"/>
      <c r="AF1073" s="55"/>
      <c r="AG1073" s="56" t="str">
        <f t="shared" si="525"/>
        <v/>
      </c>
      <c r="AH1073" s="57" t="str">
        <f t="shared" si="521"/>
        <v/>
      </c>
      <c r="AI1073" s="56"/>
      <c r="AJ1073" s="57" t="str">
        <f t="shared" si="522"/>
        <v/>
      </c>
      <c r="AK1073" s="56"/>
      <c r="AL1073" s="57" t="str">
        <f t="shared" si="523"/>
        <v/>
      </c>
      <c r="AM1073" s="56"/>
      <c r="AN1073" s="57" t="str">
        <f t="shared" si="509"/>
        <v/>
      </c>
      <c r="AO1073" s="56"/>
      <c r="AP1073" s="57" t="str">
        <f t="shared" si="510"/>
        <v/>
      </c>
      <c r="AQ1073" s="56"/>
      <c r="AR1073" s="57" t="str">
        <f t="shared" si="511"/>
        <v/>
      </c>
      <c r="AS1073" s="56"/>
      <c r="AT1073" s="57" t="str">
        <f t="shared" si="512"/>
        <v/>
      </c>
      <c r="AU1073" s="58"/>
      <c r="AV1073" s="59"/>
      <c r="AW1073" s="59"/>
      <c r="AX1073" s="60"/>
      <c r="AY1073" s="61" t="str">
        <f t="shared" si="524"/>
        <v/>
      </c>
      <c r="AZ1073" s="62" t="str">
        <f t="shared" si="513"/>
        <v/>
      </c>
      <c r="BA1073" s="61" t="str">
        <f t="shared" si="514"/>
        <v/>
      </c>
      <c r="BB1073" s="62" t="str">
        <f t="shared" si="515"/>
        <v/>
      </c>
    </row>
    <row r="1074" spans="1:54" s="3" customFormat="1" hidden="1" x14ac:dyDescent="0.35">
      <c r="A1074" s="73">
        <f t="shared" si="499"/>
        <v>2019</v>
      </c>
      <c r="B1074" s="73" t="str">
        <f t="shared" si="500"/>
        <v>Nov</v>
      </c>
      <c r="C1074" s="74">
        <f t="shared" si="516"/>
        <v>17</v>
      </c>
      <c r="D1074" s="75">
        <f t="shared" si="501"/>
        <v>9</v>
      </c>
      <c r="E1074" s="76">
        <f t="shared" si="517"/>
        <v>8</v>
      </c>
      <c r="F1074" s="80"/>
      <c r="G1074" s="83"/>
      <c r="H1074" s="69" t="str">
        <f t="shared" si="518"/>
        <v>Senbur6_20191117_09_00</v>
      </c>
      <c r="I1074" s="70">
        <f t="shared" si="527"/>
        <v>1</v>
      </c>
      <c r="J1074" s="77" t="str">
        <f t="shared" si="527"/>
        <v>Senecio</v>
      </c>
      <c r="K1074" s="77" t="str">
        <f t="shared" si="527"/>
        <v>burtoni</v>
      </c>
      <c r="L1074" s="78">
        <f t="shared" si="527"/>
        <v>6</v>
      </c>
      <c r="M1074" s="78">
        <f t="shared" si="527"/>
        <v>12</v>
      </c>
      <c r="N1074" s="72">
        <f t="shared" si="527"/>
        <v>0</v>
      </c>
      <c r="O1074" s="45"/>
      <c r="P1074" s="46" t="str">
        <f t="shared" si="502"/>
        <v/>
      </c>
      <c r="Q1074" s="47" t="str">
        <f t="shared" si="503"/>
        <v/>
      </c>
      <c r="R1074" s="48" t="e">
        <f t="shared" si="504"/>
        <v>#VALUE!</v>
      </c>
      <c r="S1074" s="49" t="e">
        <f t="shared" si="498"/>
        <v>#VALUE!</v>
      </c>
      <c r="T1074" s="48" t="str">
        <f t="shared" si="505"/>
        <v/>
      </c>
      <c r="U1074" s="50"/>
      <c r="V1074" s="51"/>
      <c r="W1074" s="52" t="e">
        <f t="shared" si="506"/>
        <v>#VALUE!</v>
      </c>
      <c r="X1074" s="53"/>
      <c r="Y1074" s="53"/>
      <c r="Z1074" s="53"/>
      <c r="AA1074" s="48" t="e">
        <f>INDEX([1]!VISITORS[INSECT ORDER], MATCH(X1074,[1]!VISITORS[NAME USED],0))</f>
        <v>#REF!</v>
      </c>
      <c r="AB1074" s="48" t="e">
        <f t="shared" si="507"/>
        <v>#REF!</v>
      </c>
      <c r="AC1074" s="54" t="e">
        <f t="shared" si="508"/>
        <v>#VALUE!</v>
      </c>
      <c r="AD1074" s="55" t="str">
        <f t="shared" si="520"/>
        <v/>
      </c>
      <c r="AE1074" s="55"/>
      <c r="AF1074" s="55"/>
      <c r="AG1074" s="56" t="str">
        <f t="shared" si="525"/>
        <v/>
      </c>
      <c r="AH1074" s="57" t="str">
        <f t="shared" si="521"/>
        <v/>
      </c>
      <c r="AI1074" s="56"/>
      <c r="AJ1074" s="57" t="str">
        <f t="shared" si="522"/>
        <v/>
      </c>
      <c r="AK1074" s="56"/>
      <c r="AL1074" s="57" t="str">
        <f t="shared" si="523"/>
        <v/>
      </c>
      <c r="AM1074" s="56"/>
      <c r="AN1074" s="57" t="str">
        <f t="shared" si="509"/>
        <v/>
      </c>
      <c r="AO1074" s="56"/>
      <c r="AP1074" s="57" t="str">
        <f t="shared" si="510"/>
        <v/>
      </c>
      <c r="AQ1074" s="56"/>
      <c r="AR1074" s="57" t="str">
        <f t="shared" si="511"/>
        <v/>
      </c>
      <c r="AS1074" s="56"/>
      <c r="AT1074" s="57" t="str">
        <f t="shared" si="512"/>
        <v/>
      </c>
      <c r="AU1074" s="58"/>
      <c r="AV1074" s="59"/>
      <c r="AW1074" s="59"/>
      <c r="AX1074" s="60"/>
      <c r="AY1074" s="61" t="str">
        <f t="shared" si="524"/>
        <v/>
      </c>
      <c r="AZ1074" s="62" t="str">
        <f t="shared" si="513"/>
        <v/>
      </c>
      <c r="BA1074" s="61" t="str">
        <f t="shared" si="514"/>
        <v/>
      </c>
      <c r="BB1074" s="62" t="str">
        <f t="shared" si="515"/>
        <v/>
      </c>
    </row>
    <row r="1075" spans="1:54" s="3" customFormat="1" hidden="1" x14ac:dyDescent="0.35">
      <c r="A1075" s="73">
        <f t="shared" si="499"/>
        <v>2019</v>
      </c>
      <c r="B1075" s="73" t="str">
        <f t="shared" si="500"/>
        <v>Nov</v>
      </c>
      <c r="C1075" s="74">
        <f t="shared" si="516"/>
        <v>17</v>
      </c>
      <c r="D1075" s="75">
        <f t="shared" si="501"/>
        <v>9</v>
      </c>
      <c r="E1075" s="76">
        <f t="shared" si="517"/>
        <v>9</v>
      </c>
      <c r="F1075" s="80">
        <v>27</v>
      </c>
      <c r="G1075" s="83"/>
      <c r="H1075" s="69" t="str">
        <f t="shared" si="518"/>
        <v>Senbur6_20191117_09_00</v>
      </c>
      <c r="I1075" s="70">
        <f t="shared" si="527"/>
        <v>1</v>
      </c>
      <c r="J1075" s="77" t="str">
        <f t="shared" si="527"/>
        <v>Senecio</v>
      </c>
      <c r="K1075" s="77" t="str">
        <f t="shared" si="527"/>
        <v>burtoni</v>
      </c>
      <c r="L1075" s="78">
        <f t="shared" si="527"/>
        <v>6</v>
      </c>
      <c r="M1075" s="78">
        <f t="shared" si="527"/>
        <v>12</v>
      </c>
      <c r="N1075" s="72">
        <f t="shared" si="527"/>
        <v>0</v>
      </c>
      <c r="O1075" s="45"/>
      <c r="P1075" s="46">
        <f t="shared" si="502"/>
        <v>1</v>
      </c>
      <c r="Q1075" s="47" t="str">
        <f t="shared" si="503"/>
        <v>09:09:27</v>
      </c>
      <c r="R1075" s="48" t="str">
        <f t="shared" si="504"/>
        <v>09:27</v>
      </c>
      <c r="S1075" s="49">
        <f t="shared" si="498"/>
        <v>30</v>
      </c>
      <c r="T1075" s="48" t="str">
        <f t="shared" si="505"/>
        <v>09</v>
      </c>
      <c r="U1075" s="50">
        <v>9</v>
      </c>
      <c r="V1075" s="51">
        <v>57</v>
      </c>
      <c r="W1075" s="52" t="str">
        <f t="shared" si="506"/>
        <v>09:57</v>
      </c>
      <c r="X1075" s="53" t="s">
        <v>59</v>
      </c>
      <c r="Y1075" s="97" t="s">
        <v>84</v>
      </c>
      <c r="Z1075" s="97" t="s">
        <v>80</v>
      </c>
      <c r="AA1075" s="48" t="s">
        <v>60</v>
      </c>
      <c r="AB1075" s="48" t="str">
        <f t="shared" si="507"/>
        <v>NA</v>
      </c>
      <c r="AC1075" s="54">
        <f t="shared" si="508"/>
        <v>0</v>
      </c>
      <c r="AD1075" s="55">
        <f t="shared" si="520"/>
        <v>1</v>
      </c>
      <c r="AE1075" s="55"/>
      <c r="AF1075" s="55"/>
      <c r="AG1075" s="56">
        <v>1</v>
      </c>
      <c r="AH1075" s="57">
        <v>1</v>
      </c>
      <c r="AI1075" s="56"/>
      <c r="AJ1075" s="57" t="str">
        <f t="shared" si="522"/>
        <v/>
      </c>
      <c r="AK1075" s="56">
        <v>1</v>
      </c>
      <c r="AL1075" s="57">
        <v>29</v>
      </c>
      <c r="AM1075" s="56"/>
      <c r="AN1075" s="57" t="str">
        <f t="shared" si="509"/>
        <v/>
      </c>
      <c r="AO1075" s="56"/>
      <c r="AP1075" s="57" t="str">
        <f t="shared" si="510"/>
        <v/>
      </c>
      <c r="AQ1075" s="56"/>
      <c r="AR1075" s="57" t="str">
        <f t="shared" si="511"/>
        <v/>
      </c>
      <c r="AS1075" s="56"/>
      <c r="AT1075" s="57" t="str">
        <f t="shared" si="512"/>
        <v/>
      </c>
      <c r="AU1075" s="58"/>
      <c r="AV1075" s="59"/>
      <c r="AW1075" s="59"/>
      <c r="AX1075" s="60"/>
      <c r="AY1075" s="61">
        <v>1</v>
      </c>
      <c r="AZ1075" s="62">
        <f t="shared" si="513"/>
        <v>1</v>
      </c>
      <c r="BA1075" s="61">
        <f t="shared" si="514"/>
        <v>0</v>
      </c>
      <c r="BB1075" s="62" t="str">
        <f t="shared" si="515"/>
        <v/>
      </c>
    </row>
    <row r="1076" spans="1:54" s="3" customFormat="1" hidden="1" x14ac:dyDescent="0.35">
      <c r="A1076" s="73">
        <f t="shared" si="499"/>
        <v>2019</v>
      </c>
      <c r="B1076" s="73" t="str">
        <f t="shared" si="500"/>
        <v>Nov</v>
      </c>
      <c r="C1076" s="74">
        <f t="shared" si="516"/>
        <v>17</v>
      </c>
      <c r="D1076" s="75">
        <f t="shared" si="501"/>
        <v>9</v>
      </c>
      <c r="E1076" s="76">
        <f t="shared" si="517"/>
        <v>10</v>
      </c>
      <c r="F1076" s="80"/>
      <c r="G1076" s="83"/>
      <c r="H1076" s="69" t="str">
        <f t="shared" si="518"/>
        <v>Senbur6_20191117_09_00</v>
      </c>
      <c r="I1076" s="70">
        <f t="shared" si="527"/>
        <v>1</v>
      </c>
      <c r="J1076" s="77" t="str">
        <f t="shared" si="527"/>
        <v>Senecio</v>
      </c>
      <c r="K1076" s="77" t="str">
        <f t="shared" si="527"/>
        <v>burtoni</v>
      </c>
      <c r="L1076" s="78">
        <f t="shared" si="527"/>
        <v>6</v>
      </c>
      <c r="M1076" s="78">
        <f t="shared" si="527"/>
        <v>12</v>
      </c>
      <c r="N1076" s="72">
        <f t="shared" si="527"/>
        <v>0</v>
      </c>
      <c r="O1076" s="45"/>
      <c r="P1076" s="46" t="str">
        <f t="shared" si="502"/>
        <v/>
      </c>
      <c r="Q1076" s="47" t="str">
        <f t="shared" si="503"/>
        <v/>
      </c>
      <c r="R1076" s="48" t="e">
        <f t="shared" si="504"/>
        <v>#VALUE!</v>
      </c>
      <c r="S1076" s="49" t="e">
        <f t="shared" si="498"/>
        <v>#VALUE!</v>
      </c>
      <c r="T1076" s="48" t="str">
        <f t="shared" si="505"/>
        <v/>
      </c>
      <c r="U1076" s="50"/>
      <c r="V1076" s="51"/>
      <c r="W1076" s="52" t="e">
        <f t="shared" si="506"/>
        <v>#VALUE!</v>
      </c>
      <c r="X1076" s="53"/>
      <c r="Y1076" s="53"/>
      <c r="Z1076" s="53"/>
      <c r="AA1076" s="48" t="e">
        <f>INDEX([1]!VISITORS[INSECT ORDER], MATCH(X1076,[1]!VISITORS[NAME USED],0))</f>
        <v>#REF!</v>
      </c>
      <c r="AB1076" s="48" t="e">
        <f t="shared" si="507"/>
        <v>#REF!</v>
      </c>
      <c r="AC1076" s="54" t="e">
        <f t="shared" si="508"/>
        <v>#VALUE!</v>
      </c>
      <c r="AD1076" s="55" t="str">
        <f t="shared" si="520"/>
        <v/>
      </c>
      <c r="AE1076" s="55"/>
      <c r="AF1076" s="55"/>
      <c r="AG1076" s="56" t="str">
        <f t="shared" si="525"/>
        <v/>
      </c>
      <c r="AH1076" s="57" t="str">
        <f t="shared" si="521"/>
        <v/>
      </c>
      <c r="AI1076" s="56"/>
      <c r="AJ1076" s="57" t="str">
        <f t="shared" si="522"/>
        <v/>
      </c>
      <c r="AK1076" s="56"/>
      <c r="AL1076" s="57" t="str">
        <f t="shared" si="523"/>
        <v/>
      </c>
      <c r="AM1076" s="56"/>
      <c r="AN1076" s="57" t="str">
        <f t="shared" si="509"/>
        <v/>
      </c>
      <c r="AO1076" s="56"/>
      <c r="AP1076" s="57" t="str">
        <f t="shared" si="510"/>
        <v/>
      </c>
      <c r="AQ1076" s="56"/>
      <c r="AR1076" s="57" t="str">
        <f t="shared" si="511"/>
        <v/>
      </c>
      <c r="AS1076" s="56"/>
      <c r="AT1076" s="57" t="str">
        <f t="shared" si="512"/>
        <v/>
      </c>
      <c r="AU1076" s="58"/>
      <c r="AV1076" s="59"/>
      <c r="AW1076" s="59"/>
      <c r="AX1076" s="60"/>
      <c r="AY1076" s="61" t="str">
        <f t="shared" si="524"/>
        <v/>
      </c>
      <c r="AZ1076" s="62" t="str">
        <f t="shared" si="513"/>
        <v/>
      </c>
      <c r="BA1076" s="61" t="str">
        <f t="shared" si="514"/>
        <v/>
      </c>
      <c r="BB1076" s="62" t="str">
        <f t="shared" si="515"/>
        <v/>
      </c>
    </row>
    <row r="1077" spans="1:54" s="3" customFormat="1" hidden="1" x14ac:dyDescent="0.35">
      <c r="A1077" s="73">
        <f t="shared" si="499"/>
        <v>2019</v>
      </c>
      <c r="B1077" s="73" t="str">
        <f t="shared" si="500"/>
        <v>Nov</v>
      </c>
      <c r="C1077" s="74">
        <f t="shared" si="516"/>
        <v>17</v>
      </c>
      <c r="D1077" s="75">
        <f t="shared" si="501"/>
        <v>9</v>
      </c>
      <c r="E1077" s="76">
        <f t="shared" si="517"/>
        <v>11</v>
      </c>
      <c r="F1077" s="80"/>
      <c r="G1077" s="83"/>
      <c r="H1077" s="69" t="str">
        <f t="shared" si="518"/>
        <v>Senbur6_20191117_09_00</v>
      </c>
      <c r="I1077" s="70">
        <f t="shared" ref="I1077:N1092" si="528">I1076</f>
        <v>1</v>
      </c>
      <c r="J1077" s="77" t="str">
        <f t="shared" si="528"/>
        <v>Senecio</v>
      </c>
      <c r="K1077" s="77" t="str">
        <f t="shared" si="528"/>
        <v>burtoni</v>
      </c>
      <c r="L1077" s="78">
        <f t="shared" si="528"/>
        <v>6</v>
      </c>
      <c r="M1077" s="78">
        <f t="shared" si="528"/>
        <v>12</v>
      </c>
      <c r="N1077" s="72">
        <f t="shared" si="528"/>
        <v>0</v>
      </c>
      <c r="O1077" s="45"/>
      <c r="P1077" s="46" t="str">
        <f t="shared" si="502"/>
        <v/>
      </c>
      <c r="Q1077" s="47" t="str">
        <f t="shared" si="503"/>
        <v/>
      </c>
      <c r="R1077" s="48" t="e">
        <f t="shared" si="504"/>
        <v>#VALUE!</v>
      </c>
      <c r="S1077" s="49" t="e">
        <f t="shared" si="498"/>
        <v>#VALUE!</v>
      </c>
      <c r="T1077" s="48" t="str">
        <f t="shared" si="505"/>
        <v/>
      </c>
      <c r="U1077" s="50"/>
      <c r="V1077" s="51"/>
      <c r="W1077" s="52" t="e">
        <f t="shared" si="506"/>
        <v>#VALUE!</v>
      </c>
      <c r="X1077" s="53"/>
      <c r="Y1077" s="53"/>
      <c r="Z1077" s="53"/>
      <c r="AA1077" s="48" t="e">
        <f>INDEX([1]!VISITORS[INSECT ORDER], MATCH(X1077,[1]!VISITORS[NAME USED],0))</f>
        <v>#REF!</v>
      </c>
      <c r="AB1077" s="48" t="e">
        <f t="shared" si="507"/>
        <v>#REF!</v>
      </c>
      <c r="AC1077" s="54" t="e">
        <f t="shared" si="508"/>
        <v>#VALUE!</v>
      </c>
      <c r="AD1077" s="55" t="str">
        <f t="shared" si="520"/>
        <v/>
      </c>
      <c r="AE1077" s="55"/>
      <c r="AF1077" s="55"/>
      <c r="AG1077" s="56" t="str">
        <f t="shared" si="525"/>
        <v/>
      </c>
      <c r="AH1077" s="57" t="str">
        <f t="shared" si="521"/>
        <v/>
      </c>
      <c r="AI1077" s="56"/>
      <c r="AJ1077" s="57" t="str">
        <f t="shared" si="522"/>
        <v/>
      </c>
      <c r="AK1077" s="56"/>
      <c r="AL1077" s="57" t="str">
        <f t="shared" si="523"/>
        <v/>
      </c>
      <c r="AM1077" s="56"/>
      <c r="AN1077" s="57" t="str">
        <f t="shared" si="509"/>
        <v/>
      </c>
      <c r="AO1077" s="56"/>
      <c r="AP1077" s="57" t="str">
        <f t="shared" si="510"/>
        <v/>
      </c>
      <c r="AQ1077" s="56"/>
      <c r="AR1077" s="57" t="str">
        <f t="shared" si="511"/>
        <v/>
      </c>
      <c r="AS1077" s="56"/>
      <c r="AT1077" s="57" t="str">
        <f t="shared" si="512"/>
        <v/>
      </c>
      <c r="AU1077" s="58"/>
      <c r="AV1077" s="59"/>
      <c r="AW1077" s="59"/>
      <c r="AX1077" s="60"/>
      <c r="AY1077" s="61" t="str">
        <f t="shared" si="524"/>
        <v/>
      </c>
      <c r="AZ1077" s="62" t="str">
        <f t="shared" si="513"/>
        <v/>
      </c>
      <c r="BA1077" s="61" t="str">
        <f t="shared" si="514"/>
        <v/>
      </c>
      <c r="BB1077" s="62" t="str">
        <f t="shared" si="515"/>
        <v/>
      </c>
    </row>
    <row r="1078" spans="1:54" s="3" customFormat="1" hidden="1" x14ac:dyDescent="0.35">
      <c r="A1078" s="73">
        <f t="shared" si="499"/>
        <v>2019</v>
      </c>
      <c r="B1078" s="73" t="str">
        <f t="shared" si="500"/>
        <v>Nov</v>
      </c>
      <c r="C1078" s="74">
        <f t="shared" si="516"/>
        <v>17</v>
      </c>
      <c r="D1078" s="75">
        <f t="shared" si="501"/>
        <v>9</v>
      </c>
      <c r="E1078" s="76">
        <f t="shared" si="517"/>
        <v>12</v>
      </c>
      <c r="F1078" s="80"/>
      <c r="G1078" s="83"/>
      <c r="H1078" s="69" t="str">
        <f t="shared" si="518"/>
        <v>Senbur6_20191117_09_00</v>
      </c>
      <c r="I1078" s="70">
        <f t="shared" si="528"/>
        <v>1</v>
      </c>
      <c r="J1078" s="77" t="str">
        <f t="shared" si="528"/>
        <v>Senecio</v>
      </c>
      <c r="K1078" s="77" t="str">
        <f t="shared" si="528"/>
        <v>burtoni</v>
      </c>
      <c r="L1078" s="78">
        <f t="shared" si="528"/>
        <v>6</v>
      </c>
      <c r="M1078" s="78">
        <f t="shared" si="528"/>
        <v>12</v>
      </c>
      <c r="N1078" s="72">
        <f t="shared" si="528"/>
        <v>0</v>
      </c>
      <c r="O1078" s="45"/>
      <c r="P1078" s="46" t="str">
        <f t="shared" si="502"/>
        <v/>
      </c>
      <c r="Q1078" s="47" t="str">
        <f t="shared" si="503"/>
        <v/>
      </c>
      <c r="R1078" s="48" t="e">
        <f t="shared" si="504"/>
        <v>#VALUE!</v>
      </c>
      <c r="S1078" s="49" t="e">
        <f t="shared" si="498"/>
        <v>#VALUE!</v>
      </c>
      <c r="T1078" s="48" t="str">
        <f t="shared" si="505"/>
        <v/>
      </c>
      <c r="U1078" s="50"/>
      <c r="V1078" s="51"/>
      <c r="W1078" s="52" t="e">
        <f t="shared" si="506"/>
        <v>#VALUE!</v>
      </c>
      <c r="X1078" s="53"/>
      <c r="Y1078" s="53"/>
      <c r="Z1078" s="53"/>
      <c r="AA1078" s="48" t="e">
        <f>INDEX([1]!VISITORS[INSECT ORDER], MATCH(X1078,[1]!VISITORS[NAME USED],0))</f>
        <v>#REF!</v>
      </c>
      <c r="AB1078" s="48" t="e">
        <f t="shared" si="507"/>
        <v>#REF!</v>
      </c>
      <c r="AC1078" s="54" t="e">
        <f t="shared" si="508"/>
        <v>#VALUE!</v>
      </c>
      <c r="AD1078" s="55" t="str">
        <f t="shared" si="520"/>
        <v/>
      </c>
      <c r="AE1078" s="55"/>
      <c r="AF1078" s="55"/>
      <c r="AG1078" s="56" t="str">
        <f t="shared" si="525"/>
        <v/>
      </c>
      <c r="AH1078" s="57" t="str">
        <f t="shared" si="521"/>
        <v/>
      </c>
      <c r="AI1078" s="56"/>
      <c r="AJ1078" s="57" t="str">
        <f t="shared" si="522"/>
        <v/>
      </c>
      <c r="AK1078" s="56"/>
      <c r="AL1078" s="57" t="str">
        <f t="shared" si="523"/>
        <v/>
      </c>
      <c r="AM1078" s="56"/>
      <c r="AN1078" s="57" t="str">
        <f t="shared" si="509"/>
        <v/>
      </c>
      <c r="AO1078" s="56"/>
      <c r="AP1078" s="57" t="str">
        <f t="shared" si="510"/>
        <v/>
      </c>
      <c r="AQ1078" s="56"/>
      <c r="AR1078" s="57" t="str">
        <f t="shared" si="511"/>
        <v/>
      </c>
      <c r="AS1078" s="56"/>
      <c r="AT1078" s="57" t="str">
        <f t="shared" si="512"/>
        <v/>
      </c>
      <c r="AU1078" s="58"/>
      <c r="AV1078" s="59"/>
      <c r="AW1078" s="59"/>
      <c r="AX1078" s="60"/>
      <c r="AY1078" s="61" t="str">
        <f t="shared" si="524"/>
        <v/>
      </c>
      <c r="AZ1078" s="62" t="str">
        <f t="shared" si="513"/>
        <v/>
      </c>
      <c r="BA1078" s="61" t="str">
        <f t="shared" si="514"/>
        <v/>
      </c>
      <c r="BB1078" s="62" t="str">
        <f t="shared" si="515"/>
        <v/>
      </c>
    </row>
    <row r="1079" spans="1:54" s="3" customFormat="1" hidden="1" x14ac:dyDescent="0.35">
      <c r="A1079" s="73">
        <f t="shared" si="499"/>
        <v>2019</v>
      </c>
      <c r="B1079" s="73" t="str">
        <f t="shared" si="500"/>
        <v>Nov</v>
      </c>
      <c r="C1079" s="74">
        <f t="shared" si="516"/>
        <v>17</v>
      </c>
      <c r="D1079" s="75">
        <f t="shared" si="501"/>
        <v>9</v>
      </c>
      <c r="E1079" s="76">
        <f t="shared" si="517"/>
        <v>13</v>
      </c>
      <c r="F1079" s="80"/>
      <c r="G1079" s="83"/>
      <c r="H1079" s="69" t="str">
        <f t="shared" si="518"/>
        <v>Senbur6_20191117_09_00</v>
      </c>
      <c r="I1079" s="70">
        <f t="shared" si="528"/>
        <v>1</v>
      </c>
      <c r="J1079" s="77" t="str">
        <f t="shared" si="528"/>
        <v>Senecio</v>
      </c>
      <c r="K1079" s="77" t="str">
        <f t="shared" si="528"/>
        <v>burtoni</v>
      </c>
      <c r="L1079" s="78">
        <f t="shared" si="528"/>
        <v>6</v>
      </c>
      <c r="M1079" s="78">
        <f t="shared" si="528"/>
        <v>12</v>
      </c>
      <c r="N1079" s="72">
        <f t="shared" si="528"/>
        <v>0</v>
      </c>
      <c r="O1079" s="45"/>
      <c r="P1079" s="46" t="str">
        <f t="shared" si="502"/>
        <v/>
      </c>
      <c r="Q1079" s="47" t="str">
        <f t="shared" si="503"/>
        <v/>
      </c>
      <c r="R1079" s="48" t="e">
        <f t="shared" si="504"/>
        <v>#VALUE!</v>
      </c>
      <c r="S1079" s="49" t="e">
        <f t="shared" si="498"/>
        <v>#VALUE!</v>
      </c>
      <c r="T1079" s="48" t="str">
        <f t="shared" si="505"/>
        <v/>
      </c>
      <c r="U1079" s="50"/>
      <c r="V1079" s="51"/>
      <c r="W1079" s="52" t="e">
        <f t="shared" si="506"/>
        <v>#VALUE!</v>
      </c>
      <c r="X1079" s="53"/>
      <c r="Y1079" s="53"/>
      <c r="Z1079" s="53"/>
      <c r="AA1079" s="48" t="e">
        <f>INDEX([1]!VISITORS[INSECT ORDER], MATCH(X1079,[1]!VISITORS[NAME USED],0))</f>
        <v>#REF!</v>
      </c>
      <c r="AB1079" s="48" t="e">
        <f t="shared" si="507"/>
        <v>#REF!</v>
      </c>
      <c r="AC1079" s="54" t="e">
        <f t="shared" si="508"/>
        <v>#VALUE!</v>
      </c>
      <c r="AD1079" s="55" t="str">
        <f t="shared" si="520"/>
        <v/>
      </c>
      <c r="AE1079" s="55"/>
      <c r="AF1079" s="55"/>
      <c r="AG1079" s="56" t="str">
        <f t="shared" si="525"/>
        <v/>
      </c>
      <c r="AH1079" s="57" t="str">
        <f t="shared" si="521"/>
        <v/>
      </c>
      <c r="AI1079" s="56"/>
      <c r="AJ1079" s="57" t="str">
        <f t="shared" si="522"/>
        <v/>
      </c>
      <c r="AK1079" s="56"/>
      <c r="AL1079" s="57" t="str">
        <f t="shared" si="523"/>
        <v/>
      </c>
      <c r="AM1079" s="56"/>
      <c r="AN1079" s="57" t="str">
        <f t="shared" si="509"/>
        <v/>
      </c>
      <c r="AO1079" s="56"/>
      <c r="AP1079" s="57" t="str">
        <f t="shared" si="510"/>
        <v/>
      </c>
      <c r="AQ1079" s="56"/>
      <c r="AR1079" s="57" t="str">
        <f t="shared" si="511"/>
        <v/>
      </c>
      <c r="AS1079" s="56"/>
      <c r="AT1079" s="57" t="str">
        <f t="shared" si="512"/>
        <v/>
      </c>
      <c r="AU1079" s="58"/>
      <c r="AV1079" s="59"/>
      <c r="AW1079" s="59"/>
      <c r="AX1079" s="60"/>
      <c r="AY1079" s="61" t="str">
        <f t="shared" si="524"/>
        <v/>
      </c>
      <c r="AZ1079" s="62" t="str">
        <f t="shared" si="513"/>
        <v/>
      </c>
      <c r="BA1079" s="61" t="str">
        <f t="shared" si="514"/>
        <v/>
      </c>
      <c r="BB1079" s="62" t="str">
        <f t="shared" si="515"/>
        <v/>
      </c>
    </row>
    <row r="1080" spans="1:54" s="3" customFormat="1" hidden="1" x14ac:dyDescent="0.35">
      <c r="A1080" s="73">
        <f t="shared" si="499"/>
        <v>2019</v>
      </c>
      <c r="B1080" s="73" t="str">
        <f t="shared" si="500"/>
        <v>Nov</v>
      </c>
      <c r="C1080" s="74">
        <f t="shared" si="516"/>
        <v>17</v>
      </c>
      <c r="D1080" s="75">
        <f t="shared" si="501"/>
        <v>9</v>
      </c>
      <c r="E1080" s="76">
        <f t="shared" si="517"/>
        <v>14</v>
      </c>
      <c r="F1080" s="80"/>
      <c r="G1080" s="83"/>
      <c r="H1080" s="69" t="str">
        <f t="shared" si="518"/>
        <v>Senbur6_20191117_09_00</v>
      </c>
      <c r="I1080" s="70">
        <f t="shared" si="528"/>
        <v>1</v>
      </c>
      <c r="J1080" s="77" t="str">
        <f t="shared" si="528"/>
        <v>Senecio</v>
      </c>
      <c r="K1080" s="77" t="str">
        <f t="shared" si="528"/>
        <v>burtoni</v>
      </c>
      <c r="L1080" s="78">
        <f t="shared" si="528"/>
        <v>6</v>
      </c>
      <c r="M1080" s="78">
        <f t="shared" si="528"/>
        <v>12</v>
      </c>
      <c r="N1080" s="72">
        <f t="shared" si="528"/>
        <v>0</v>
      </c>
      <c r="O1080" s="45"/>
      <c r="P1080" s="46" t="str">
        <f t="shared" si="502"/>
        <v/>
      </c>
      <c r="Q1080" s="47" t="str">
        <f t="shared" si="503"/>
        <v/>
      </c>
      <c r="R1080" s="48" t="e">
        <f t="shared" si="504"/>
        <v>#VALUE!</v>
      </c>
      <c r="S1080" s="49" t="e">
        <f t="shared" si="498"/>
        <v>#VALUE!</v>
      </c>
      <c r="T1080" s="48" t="str">
        <f t="shared" si="505"/>
        <v/>
      </c>
      <c r="U1080" s="50"/>
      <c r="V1080" s="51"/>
      <c r="W1080" s="52" t="e">
        <f t="shared" si="506"/>
        <v>#VALUE!</v>
      </c>
      <c r="X1080" s="53"/>
      <c r="Y1080" s="53"/>
      <c r="Z1080" s="53"/>
      <c r="AA1080" s="48" t="e">
        <f>INDEX([1]!VISITORS[INSECT ORDER], MATCH(X1080,[1]!VISITORS[NAME USED],0))</f>
        <v>#REF!</v>
      </c>
      <c r="AB1080" s="48" t="e">
        <f t="shared" si="507"/>
        <v>#REF!</v>
      </c>
      <c r="AC1080" s="54" t="e">
        <f t="shared" si="508"/>
        <v>#VALUE!</v>
      </c>
      <c r="AD1080" s="55" t="str">
        <f t="shared" si="520"/>
        <v/>
      </c>
      <c r="AE1080" s="55"/>
      <c r="AF1080" s="55"/>
      <c r="AG1080" s="56" t="str">
        <f t="shared" si="525"/>
        <v/>
      </c>
      <c r="AH1080" s="57" t="str">
        <f t="shared" si="521"/>
        <v/>
      </c>
      <c r="AI1080" s="56"/>
      <c r="AJ1080" s="57" t="str">
        <f t="shared" si="522"/>
        <v/>
      </c>
      <c r="AK1080" s="56"/>
      <c r="AL1080" s="57" t="str">
        <f t="shared" si="523"/>
        <v/>
      </c>
      <c r="AM1080" s="56"/>
      <c r="AN1080" s="57" t="str">
        <f t="shared" si="509"/>
        <v/>
      </c>
      <c r="AO1080" s="56"/>
      <c r="AP1080" s="57" t="str">
        <f t="shared" si="510"/>
        <v/>
      </c>
      <c r="AQ1080" s="56"/>
      <c r="AR1080" s="57" t="str">
        <f t="shared" si="511"/>
        <v/>
      </c>
      <c r="AS1080" s="56"/>
      <c r="AT1080" s="57" t="str">
        <f t="shared" si="512"/>
        <v/>
      </c>
      <c r="AU1080" s="58"/>
      <c r="AV1080" s="59"/>
      <c r="AW1080" s="59"/>
      <c r="AX1080" s="60"/>
      <c r="AY1080" s="61" t="str">
        <f t="shared" si="524"/>
        <v/>
      </c>
      <c r="AZ1080" s="62" t="str">
        <f t="shared" si="513"/>
        <v/>
      </c>
      <c r="BA1080" s="61" t="str">
        <f t="shared" si="514"/>
        <v/>
      </c>
      <c r="BB1080" s="62" t="str">
        <f t="shared" si="515"/>
        <v/>
      </c>
    </row>
    <row r="1081" spans="1:54" s="3" customFormat="1" hidden="1" x14ac:dyDescent="0.35">
      <c r="A1081" s="73">
        <f t="shared" si="499"/>
        <v>2019</v>
      </c>
      <c r="B1081" s="73" t="str">
        <f t="shared" si="500"/>
        <v>Nov</v>
      </c>
      <c r="C1081" s="74">
        <f t="shared" si="516"/>
        <v>17</v>
      </c>
      <c r="D1081" s="75">
        <f t="shared" si="501"/>
        <v>9</v>
      </c>
      <c r="E1081" s="76">
        <f t="shared" si="517"/>
        <v>15</v>
      </c>
      <c r="F1081" s="80"/>
      <c r="G1081" s="83"/>
      <c r="H1081" s="69" t="str">
        <f t="shared" si="518"/>
        <v>Senbur6_20191117_09_00</v>
      </c>
      <c r="I1081" s="70">
        <f t="shared" si="528"/>
        <v>1</v>
      </c>
      <c r="J1081" s="77" t="str">
        <f t="shared" si="528"/>
        <v>Senecio</v>
      </c>
      <c r="K1081" s="77" t="str">
        <f t="shared" si="528"/>
        <v>burtoni</v>
      </c>
      <c r="L1081" s="78">
        <f t="shared" si="528"/>
        <v>6</v>
      </c>
      <c r="M1081" s="78">
        <f t="shared" si="528"/>
        <v>12</v>
      </c>
      <c r="N1081" s="72">
        <f t="shared" si="528"/>
        <v>0</v>
      </c>
      <c r="O1081" s="45"/>
      <c r="P1081" s="46" t="str">
        <f t="shared" si="502"/>
        <v/>
      </c>
      <c r="Q1081" s="47" t="str">
        <f t="shared" si="503"/>
        <v/>
      </c>
      <c r="R1081" s="48" t="e">
        <f t="shared" si="504"/>
        <v>#VALUE!</v>
      </c>
      <c r="S1081" s="49" t="e">
        <f t="shared" si="498"/>
        <v>#VALUE!</v>
      </c>
      <c r="T1081" s="48" t="str">
        <f t="shared" si="505"/>
        <v/>
      </c>
      <c r="U1081" s="50"/>
      <c r="V1081" s="51"/>
      <c r="W1081" s="52" t="e">
        <f t="shared" si="506"/>
        <v>#VALUE!</v>
      </c>
      <c r="X1081" s="53"/>
      <c r="Y1081" s="53"/>
      <c r="Z1081" s="53"/>
      <c r="AA1081" s="48" t="e">
        <f>INDEX([1]!VISITORS[INSECT ORDER], MATCH(X1081,[1]!VISITORS[NAME USED],0))</f>
        <v>#REF!</v>
      </c>
      <c r="AB1081" s="48" t="e">
        <f t="shared" si="507"/>
        <v>#REF!</v>
      </c>
      <c r="AC1081" s="54" t="e">
        <f t="shared" si="508"/>
        <v>#VALUE!</v>
      </c>
      <c r="AD1081" s="55" t="str">
        <f t="shared" si="520"/>
        <v/>
      </c>
      <c r="AE1081" s="55"/>
      <c r="AF1081" s="55"/>
      <c r="AG1081" s="56" t="str">
        <f t="shared" si="525"/>
        <v/>
      </c>
      <c r="AH1081" s="57" t="str">
        <f t="shared" si="521"/>
        <v/>
      </c>
      <c r="AI1081" s="56"/>
      <c r="AJ1081" s="57" t="str">
        <f t="shared" si="522"/>
        <v/>
      </c>
      <c r="AK1081" s="56"/>
      <c r="AL1081" s="57" t="str">
        <f t="shared" si="523"/>
        <v/>
      </c>
      <c r="AM1081" s="56"/>
      <c r="AN1081" s="57" t="str">
        <f t="shared" si="509"/>
        <v/>
      </c>
      <c r="AO1081" s="56"/>
      <c r="AP1081" s="57" t="str">
        <f t="shared" si="510"/>
        <v/>
      </c>
      <c r="AQ1081" s="56"/>
      <c r="AR1081" s="57" t="str">
        <f t="shared" si="511"/>
        <v/>
      </c>
      <c r="AS1081" s="56"/>
      <c r="AT1081" s="57" t="str">
        <f t="shared" si="512"/>
        <v/>
      </c>
      <c r="AU1081" s="58"/>
      <c r="AV1081" s="59"/>
      <c r="AW1081" s="59"/>
      <c r="AX1081" s="60"/>
      <c r="AY1081" s="61" t="str">
        <f t="shared" si="524"/>
        <v/>
      </c>
      <c r="AZ1081" s="62" t="str">
        <f t="shared" si="513"/>
        <v/>
      </c>
      <c r="BA1081" s="61" t="str">
        <f t="shared" si="514"/>
        <v/>
      </c>
      <c r="BB1081" s="62" t="str">
        <f t="shared" si="515"/>
        <v/>
      </c>
    </row>
    <row r="1082" spans="1:54" s="3" customFormat="1" hidden="1" x14ac:dyDescent="0.35">
      <c r="A1082" s="73">
        <f t="shared" si="499"/>
        <v>2019</v>
      </c>
      <c r="B1082" s="73" t="str">
        <f t="shared" si="500"/>
        <v>Nov</v>
      </c>
      <c r="C1082" s="74">
        <f t="shared" si="516"/>
        <v>17</v>
      </c>
      <c r="D1082" s="75">
        <f t="shared" si="501"/>
        <v>9</v>
      </c>
      <c r="E1082" s="76">
        <f t="shared" si="517"/>
        <v>16</v>
      </c>
      <c r="F1082" s="80">
        <v>49</v>
      </c>
      <c r="G1082" s="83"/>
      <c r="H1082" s="69" t="str">
        <f t="shared" si="518"/>
        <v>Senbur6_20191117_09_00</v>
      </c>
      <c r="I1082" s="70">
        <f t="shared" si="528"/>
        <v>1</v>
      </c>
      <c r="J1082" s="77" t="str">
        <f t="shared" si="528"/>
        <v>Senecio</v>
      </c>
      <c r="K1082" s="77" t="str">
        <f t="shared" si="528"/>
        <v>burtoni</v>
      </c>
      <c r="L1082" s="78">
        <f t="shared" si="528"/>
        <v>6</v>
      </c>
      <c r="M1082" s="78">
        <f t="shared" si="528"/>
        <v>12</v>
      </c>
      <c r="N1082" s="72">
        <f t="shared" si="528"/>
        <v>0</v>
      </c>
      <c r="O1082" s="45"/>
      <c r="P1082" s="46">
        <f t="shared" si="502"/>
        <v>1</v>
      </c>
      <c r="Q1082" s="47" t="str">
        <f t="shared" si="503"/>
        <v>09:16:49</v>
      </c>
      <c r="R1082" s="48" t="str">
        <f t="shared" si="504"/>
        <v>16:49</v>
      </c>
      <c r="S1082" s="49">
        <f t="shared" si="498"/>
        <v>10</v>
      </c>
      <c r="T1082" s="48" t="str">
        <f t="shared" si="505"/>
        <v>09</v>
      </c>
      <c r="U1082" s="50">
        <v>16</v>
      </c>
      <c r="V1082" s="51">
        <v>59</v>
      </c>
      <c r="W1082" s="52" t="str">
        <f t="shared" si="506"/>
        <v>16:59</v>
      </c>
      <c r="X1082" s="53" t="s">
        <v>61</v>
      </c>
      <c r="Y1082" s="97" t="s">
        <v>97</v>
      </c>
      <c r="Z1082" s="97" t="s">
        <v>80</v>
      </c>
      <c r="AA1082" s="48" t="s">
        <v>60</v>
      </c>
      <c r="AB1082" s="48" t="str">
        <f t="shared" si="507"/>
        <v>NA</v>
      </c>
      <c r="AC1082" s="54">
        <f t="shared" si="508"/>
        <v>0</v>
      </c>
      <c r="AD1082" s="55">
        <f t="shared" si="520"/>
        <v>1</v>
      </c>
      <c r="AE1082" s="55"/>
      <c r="AF1082" s="55"/>
      <c r="AG1082" s="56">
        <v>1</v>
      </c>
      <c r="AH1082" s="57">
        <v>7</v>
      </c>
      <c r="AI1082" s="56"/>
      <c r="AJ1082" s="57" t="str">
        <f t="shared" si="522"/>
        <v/>
      </c>
      <c r="AK1082" s="56">
        <v>1</v>
      </c>
      <c r="AL1082" s="57">
        <v>3</v>
      </c>
      <c r="AM1082" s="56"/>
      <c r="AN1082" s="57" t="str">
        <f t="shared" si="509"/>
        <v/>
      </c>
      <c r="AO1082" s="56"/>
      <c r="AP1082" s="57" t="str">
        <f t="shared" si="510"/>
        <v/>
      </c>
      <c r="AQ1082" s="56"/>
      <c r="AR1082" s="57" t="str">
        <f t="shared" si="511"/>
        <v/>
      </c>
      <c r="AS1082" s="56"/>
      <c r="AT1082" s="57" t="str">
        <f t="shared" si="512"/>
        <v/>
      </c>
      <c r="AU1082" s="58"/>
      <c r="AV1082" s="59"/>
      <c r="AW1082" s="59"/>
      <c r="AX1082" s="60"/>
      <c r="AY1082" s="61">
        <v>1</v>
      </c>
      <c r="AZ1082" s="62">
        <f t="shared" si="513"/>
        <v>1</v>
      </c>
      <c r="BA1082" s="61">
        <f t="shared" si="514"/>
        <v>0</v>
      </c>
      <c r="BB1082" s="62" t="str">
        <f t="shared" si="515"/>
        <v/>
      </c>
    </row>
    <row r="1083" spans="1:54" s="3" customFormat="1" hidden="1" x14ac:dyDescent="0.35">
      <c r="A1083" s="73">
        <f t="shared" si="499"/>
        <v>2019</v>
      </c>
      <c r="B1083" s="73" t="str">
        <f t="shared" si="500"/>
        <v>Nov</v>
      </c>
      <c r="C1083" s="74">
        <f t="shared" si="516"/>
        <v>17</v>
      </c>
      <c r="D1083" s="75">
        <f t="shared" si="501"/>
        <v>9</v>
      </c>
      <c r="E1083" s="76">
        <f t="shared" si="517"/>
        <v>17</v>
      </c>
      <c r="F1083" s="80"/>
      <c r="G1083" s="83"/>
      <c r="H1083" s="69" t="str">
        <f t="shared" si="518"/>
        <v>Senbur6_20191117_09_00</v>
      </c>
      <c r="I1083" s="70">
        <f t="shared" si="528"/>
        <v>1</v>
      </c>
      <c r="J1083" s="77" t="str">
        <f t="shared" si="528"/>
        <v>Senecio</v>
      </c>
      <c r="K1083" s="77" t="str">
        <f t="shared" si="528"/>
        <v>burtoni</v>
      </c>
      <c r="L1083" s="78">
        <f t="shared" si="528"/>
        <v>6</v>
      </c>
      <c r="M1083" s="78">
        <f t="shared" si="528"/>
        <v>12</v>
      </c>
      <c r="N1083" s="72">
        <f t="shared" si="528"/>
        <v>0</v>
      </c>
      <c r="O1083" s="45"/>
      <c r="P1083" s="46" t="str">
        <f t="shared" si="502"/>
        <v/>
      </c>
      <c r="Q1083" s="47" t="str">
        <f t="shared" si="503"/>
        <v/>
      </c>
      <c r="R1083" s="48" t="e">
        <f t="shared" si="504"/>
        <v>#VALUE!</v>
      </c>
      <c r="S1083" s="49" t="e">
        <f t="shared" si="498"/>
        <v>#VALUE!</v>
      </c>
      <c r="T1083" s="48" t="str">
        <f t="shared" si="505"/>
        <v/>
      </c>
      <c r="U1083" s="50"/>
      <c r="V1083" s="51"/>
      <c r="W1083" s="52" t="e">
        <f t="shared" si="506"/>
        <v>#VALUE!</v>
      </c>
      <c r="X1083" s="53"/>
      <c r="Y1083" s="53"/>
      <c r="Z1083" s="53"/>
      <c r="AA1083" s="48" t="e">
        <f>INDEX([1]!VISITORS[INSECT ORDER], MATCH(X1083,[1]!VISITORS[NAME USED],0))</f>
        <v>#REF!</v>
      </c>
      <c r="AB1083" s="48" t="e">
        <f t="shared" si="507"/>
        <v>#REF!</v>
      </c>
      <c r="AC1083" s="54" t="e">
        <f t="shared" si="508"/>
        <v>#VALUE!</v>
      </c>
      <c r="AD1083" s="55" t="str">
        <f t="shared" si="520"/>
        <v/>
      </c>
      <c r="AE1083" s="55"/>
      <c r="AF1083" s="55"/>
      <c r="AG1083" s="56" t="str">
        <f t="shared" si="525"/>
        <v/>
      </c>
      <c r="AH1083" s="57" t="str">
        <f t="shared" si="521"/>
        <v/>
      </c>
      <c r="AI1083" s="56"/>
      <c r="AJ1083" s="57" t="str">
        <f t="shared" si="522"/>
        <v/>
      </c>
      <c r="AK1083" s="56"/>
      <c r="AL1083" s="57" t="str">
        <f t="shared" si="523"/>
        <v/>
      </c>
      <c r="AM1083" s="56"/>
      <c r="AN1083" s="57" t="str">
        <f t="shared" si="509"/>
        <v/>
      </c>
      <c r="AO1083" s="56"/>
      <c r="AP1083" s="57" t="str">
        <f t="shared" si="510"/>
        <v/>
      </c>
      <c r="AQ1083" s="56"/>
      <c r="AR1083" s="57" t="str">
        <f t="shared" si="511"/>
        <v/>
      </c>
      <c r="AS1083" s="56"/>
      <c r="AT1083" s="57" t="str">
        <f t="shared" si="512"/>
        <v/>
      </c>
      <c r="AU1083" s="58"/>
      <c r="AV1083" s="59"/>
      <c r="AW1083" s="59"/>
      <c r="AX1083" s="60"/>
      <c r="AY1083" s="61" t="str">
        <f t="shared" si="524"/>
        <v/>
      </c>
      <c r="AZ1083" s="62" t="str">
        <f t="shared" si="513"/>
        <v/>
      </c>
      <c r="BA1083" s="61" t="str">
        <f t="shared" si="514"/>
        <v/>
      </c>
      <c r="BB1083" s="62" t="str">
        <f t="shared" si="515"/>
        <v/>
      </c>
    </row>
    <row r="1084" spans="1:54" s="3" customFormat="1" hidden="1" x14ac:dyDescent="0.35">
      <c r="A1084" s="73">
        <f t="shared" si="499"/>
        <v>2019</v>
      </c>
      <c r="B1084" s="73" t="str">
        <f t="shared" si="500"/>
        <v>Nov</v>
      </c>
      <c r="C1084" s="74">
        <f t="shared" si="516"/>
        <v>17</v>
      </c>
      <c r="D1084" s="75">
        <f t="shared" si="501"/>
        <v>9</v>
      </c>
      <c r="E1084" s="76">
        <f t="shared" si="517"/>
        <v>18</v>
      </c>
      <c r="F1084" s="80"/>
      <c r="G1084" s="83"/>
      <c r="H1084" s="69" t="str">
        <f t="shared" si="518"/>
        <v>Senbur6_20191117_09_00</v>
      </c>
      <c r="I1084" s="70">
        <f t="shared" si="528"/>
        <v>1</v>
      </c>
      <c r="J1084" s="77" t="str">
        <f t="shared" si="528"/>
        <v>Senecio</v>
      </c>
      <c r="K1084" s="77" t="str">
        <f t="shared" si="528"/>
        <v>burtoni</v>
      </c>
      <c r="L1084" s="78">
        <f t="shared" si="528"/>
        <v>6</v>
      </c>
      <c r="M1084" s="78">
        <f t="shared" si="528"/>
        <v>12</v>
      </c>
      <c r="N1084" s="72">
        <f t="shared" si="528"/>
        <v>0</v>
      </c>
      <c r="O1084" s="45"/>
      <c r="P1084" s="46" t="str">
        <f t="shared" si="502"/>
        <v/>
      </c>
      <c r="Q1084" s="47" t="str">
        <f t="shared" si="503"/>
        <v/>
      </c>
      <c r="R1084" s="48" t="e">
        <f t="shared" si="504"/>
        <v>#VALUE!</v>
      </c>
      <c r="S1084" s="49" t="e">
        <f t="shared" si="498"/>
        <v>#VALUE!</v>
      </c>
      <c r="T1084" s="48" t="str">
        <f t="shared" si="505"/>
        <v/>
      </c>
      <c r="U1084" s="50"/>
      <c r="V1084" s="51"/>
      <c r="W1084" s="52" t="e">
        <f t="shared" si="506"/>
        <v>#VALUE!</v>
      </c>
      <c r="X1084" s="53"/>
      <c r="Y1084" s="53"/>
      <c r="Z1084" s="53"/>
      <c r="AA1084" s="48" t="e">
        <f>INDEX([1]!VISITORS[INSECT ORDER], MATCH(X1084,[1]!VISITORS[NAME USED],0))</f>
        <v>#REF!</v>
      </c>
      <c r="AB1084" s="48" t="e">
        <f t="shared" si="507"/>
        <v>#REF!</v>
      </c>
      <c r="AC1084" s="54" t="e">
        <f t="shared" si="508"/>
        <v>#VALUE!</v>
      </c>
      <c r="AD1084" s="55" t="str">
        <f t="shared" si="520"/>
        <v/>
      </c>
      <c r="AE1084" s="55"/>
      <c r="AF1084" s="55"/>
      <c r="AG1084" s="56" t="str">
        <f t="shared" si="525"/>
        <v/>
      </c>
      <c r="AH1084" s="57" t="str">
        <f t="shared" si="521"/>
        <v/>
      </c>
      <c r="AI1084" s="56"/>
      <c r="AJ1084" s="57" t="str">
        <f t="shared" si="522"/>
        <v/>
      </c>
      <c r="AK1084" s="56"/>
      <c r="AL1084" s="57" t="str">
        <f t="shared" si="523"/>
        <v/>
      </c>
      <c r="AM1084" s="56"/>
      <c r="AN1084" s="57" t="str">
        <f t="shared" si="509"/>
        <v/>
      </c>
      <c r="AO1084" s="56"/>
      <c r="AP1084" s="57" t="str">
        <f t="shared" si="510"/>
        <v/>
      </c>
      <c r="AQ1084" s="56"/>
      <c r="AR1084" s="57" t="str">
        <f t="shared" si="511"/>
        <v/>
      </c>
      <c r="AS1084" s="56"/>
      <c r="AT1084" s="57" t="str">
        <f t="shared" si="512"/>
        <v/>
      </c>
      <c r="AU1084" s="58"/>
      <c r="AV1084" s="59"/>
      <c r="AW1084" s="59"/>
      <c r="AX1084" s="60"/>
      <c r="AY1084" s="61" t="str">
        <f t="shared" si="524"/>
        <v/>
      </c>
      <c r="AZ1084" s="62" t="str">
        <f t="shared" si="513"/>
        <v/>
      </c>
      <c r="BA1084" s="61" t="str">
        <f t="shared" si="514"/>
        <v/>
      </c>
      <c r="BB1084" s="62" t="str">
        <f t="shared" si="515"/>
        <v/>
      </c>
    </row>
    <row r="1085" spans="1:54" s="3" customFormat="1" hidden="1" x14ac:dyDescent="0.35">
      <c r="A1085" s="73">
        <f t="shared" si="499"/>
        <v>2019</v>
      </c>
      <c r="B1085" s="73" t="str">
        <f t="shared" si="500"/>
        <v>Nov</v>
      </c>
      <c r="C1085" s="74">
        <f t="shared" si="516"/>
        <v>17</v>
      </c>
      <c r="D1085" s="75">
        <f t="shared" si="501"/>
        <v>9</v>
      </c>
      <c r="E1085" s="76">
        <f t="shared" si="517"/>
        <v>19</v>
      </c>
      <c r="F1085" s="80"/>
      <c r="G1085" s="83"/>
      <c r="H1085" s="69" t="str">
        <f t="shared" si="518"/>
        <v>Senbur6_20191117_09_00</v>
      </c>
      <c r="I1085" s="70">
        <f t="shared" si="528"/>
        <v>1</v>
      </c>
      <c r="J1085" s="77" t="str">
        <f t="shared" si="528"/>
        <v>Senecio</v>
      </c>
      <c r="K1085" s="77" t="str">
        <f t="shared" si="528"/>
        <v>burtoni</v>
      </c>
      <c r="L1085" s="78">
        <f t="shared" si="528"/>
        <v>6</v>
      </c>
      <c r="M1085" s="78">
        <f t="shared" si="528"/>
        <v>12</v>
      </c>
      <c r="N1085" s="72">
        <f t="shared" si="528"/>
        <v>0</v>
      </c>
      <c r="O1085" s="45"/>
      <c r="P1085" s="46" t="str">
        <f t="shared" si="502"/>
        <v/>
      </c>
      <c r="Q1085" s="47" t="str">
        <f t="shared" si="503"/>
        <v/>
      </c>
      <c r="R1085" s="48" t="e">
        <f t="shared" si="504"/>
        <v>#VALUE!</v>
      </c>
      <c r="S1085" s="49" t="e">
        <f t="shared" si="498"/>
        <v>#VALUE!</v>
      </c>
      <c r="T1085" s="48" t="str">
        <f t="shared" si="505"/>
        <v/>
      </c>
      <c r="U1085" s="50"/>
      <c r="V1085" s="51"/>
      <c r="W1085" s="52" t="e">
        <f t="shared" si="506"/>
        <v>#VALUE!</v>
      </c>
      <c r="X1085" s="53"/>
      <c r="Y1085" s="53"/>
      <c r="Z1085" s="53"/>
      <c r="AA1085" s="48" t="e">
        <f>INDEX([1]!VISITORS[INSECT ORDER], MATCH(X1085,[1]!VISITORS[NAME USED],0))</f>
        <v>#REF!</v>
      </c>
      <c r="AB1085" s="48" t="e">
        <f t="shared" si="507"/>
        <v>#REF!</v>
      </c>
      <c r="AC1085" s="54" t="e">
        <f t="shared" si="508"/>
        <v>#VALUE!</v>
      </c>
      <c r="AD1085" s="55" t="str">
        <f t="shared" si="520"/>
        <v/>
      </c>
      <c r="AE1085" s="55"/>
      <c r="AF1085" s="55"/>
      <c r="AG1085" s="56" t="str">
        <f t="shared" si="525"/>
        <v/>
      </c>
      <c r="AH1085" s="57" t="str">
        <f t="shared" si="521"/>
        <v/>
      </c>
      <c r="AI1085" s="56"/>
      <c r="AJ1085" s="57" t="str">
        <f t="shared" si="522"/>
        <v/>
      </c>
      <c r="AK1085" s="56"/>
      <c r="AL1085" s="57" t="str">
        <f t="shared" si="523"/>
        <v/>
      </c>
      <c r="AM1085" s="56"/>
      <c r="AN1085" s="57" t="str">
        <f t="shared" si="509"/>
        <v/>
      </c>
      <c r="AO1085" s="56"/>
      <c r="AP1085" s="57" t="str">
        <f t="shared" si="510"/>
        <v/>
      </c>
      <c r="AQ1085" s="56"/>
      <c r="AR1085" s="57" t="str">
        <f t="shared" si="511"/>
        <v/>
      </c>
      <c r="AS1085" s="56"/>
      <c r="AT1085" s="57" t="str">
        <f t="shared" si="512"/>
        <v/>
      </c>
      <c r="AU1085" s="58"/>
      <c r="AV1085" s="59"/>
      <c r="AW1085" s="59"/>
      <c r="AX1085" s="60"/>
      <c r="AY1085" s="61" t="str">
        <f t="shared" si="524"/>
        <v/>
      </c>
      <c r="AZ1085" s="62" t="str">
        <f t="shared" si="513"/>
        <v/>
      </c>
      <c r="BA1085" s="61" t="str">
        <f t="shared" si="514"/>
        <v/>
      </c>
      <c r="BB1085" s="62" t="str">
        <f t="shared" si="515"/>
        <v/>
      </c>
    </row>
    <row r="1086" spans="1:54" s="3" customFormat="1" hidden="1" x14ac:dyDescent="0.35">
      <c r="A1086" s="73">
        <f t="shared" si="499"/>
        <v>2019</v>
      </c>
      <c r="B1086" s="73" t="str">
        <f t="shared" si="500"/>
        <v>Nov</v>
      </c>
      <c r="C1086" s="74">
        <f t="shared" si="516"/>
        <v>17</v>
      </c>
      <c r="D1086" s="75">
        <f t="shared" si="501"/>
        <v>9</v>
      </c>
      <c r="E1086" s="76">
        <f t="shared" si="517"/>
        <v>20</v>
      </c>
      <c r="F1086" s="80"/>
      <c r="G1086" s="83"/>
      <c r="H1086" s="69" t="str">
        <f t="shared" si="518"/>
        <v>Senbur6_20191117_09_00</v>
      </c>
      <c r="I1086" s="70">
        <f t="shared" si="528"/>
        <v>1</v>
      </c>
      <c r="J1086" s="77" t="str">
        <f t="shared" si="528"/>
        <v>Senecio</v>
      </c>
      <c r="K1086" s="77" t="str">
        <f t="shared" si="528"/>
        <v>burtoni</v>
      </c>
      <c r="L1086" s="78">
        <f t="shared" si="528"/>
        <v>6</v>
      </c>
      <c r="M1086" s="78">
        <f t="shared" si="528"/>
        <v>12</v>
      </c>
      <c r="N1086" s="72">
        <f t="shared" si="528"/>
        <v>0</v>
      </c>
      <c r="O1086" s="45"/>
      <c r="P1086" s="46" t="str">
        <f t="shared" si="502"/>
        <v/>
      </c>
      <c r="Q1086" s="47" t="str">
        <f t="shared" si="503"/>
        <v/>
      </c>
      <c r="R1086" s="48" t="e">
        <f t="shared" si="504"/>
        <v>#VALUE!</v>
      </c>
      <c r="S1086" s="49" t="e">
        <f t="shared" si="498"/>
        <v>#VALUE!</v>
      </c>
      <c r="T1086" s="48" t="str">
        <f t="shared" si="505"/>
        <v/>
      </c>
      <c r="U1086" s="50"/>
      <c r="V1086" s="51"/>
      <c r="W1086" s="52" t="e">
        <f t="shared" si="506"/>
        <v>#VALUE!</v>
      </c>
      <c r="X1086" s="53"/>
      <c r="Y1086" s="53"/>
      <c r="Z1086" s="53"/>
      <c r="AA1086" s="48" t="e">
        <f>INDEX([1]!VISITORS[INSECT ORDER], MATCH(X1086,[1]!VISITORS[NAME USED],0))</f>
        <v>#REF!</v>
      </c>
      <c r="AB1086" s="48" t="e">
        <f t="shared" si="507"/>
        <v>#REF!</v>
      </c>
      <c r="AC1086" s="54" t="e">
        <f t="shared" si="508"/>
        <v>#VALUE!</v>
      </c>
      <c r="AD1086" s="55" t="str">
        <f t="shared" si="520"/>
        <v/>
      </c>
      <c r="AE1086" s="55"/>
      <c r="AF1086" s="55"/>
      <c r="AG1086" s="56" t="str">
        <f t="shared" si="525"/>
        <v/>
      </c>
      <c r="AH1086" s="57" t="str">
        <f t="shared" si="521"/>
        <v/>
      </c>
      <c r="AI1086" s="56"/>
      <c r="AJ1086" s="57" t="str">
        <f t="shared" si="522"/>
        <v/>
      </c>
      <c r="AK1086" s="56"/>
      <c r="AL1086" s="57" t="str">
        <f t="shared" si="523"/>
        <v/>
      </c>
      <c r="AM1086" s="56"/>
      <c r="AN1086" s="57" t="str">
        <f t="shared" si="509"/>
        <v/>
      </c>
      <c r="AO1086" s="56"/>
      <c r="AP1086" s="57" t="str">
        <f t="shared" si="510"/>
        <v/>
      </c>
      <c r="AQ1086" s="56"/>
      <c r="AR1086" s="57" t="str">
        <f t="shared" si="511"/>
        <v/>
      </c>
      <c r="AS1086" s="56"/>
      <c r="AT1086" s="57" t="str">
        <f t="shared" si="512"/>
        <v/>
      </c>
      <c r="AU1086" s="58"/>
      <c r="AV1086" s="59"/>
      <c r="AW1086" s="59"/>
      <c r="AX1086" s="60"/>
      <c r="AY1086" s="61" t="str">
        <f t="shared" si="524"/>
        <v/>
      </c>
      <c r="AZ1086" s="62" t="str">
        <f t="shared" si="513"/>
        <v/>
      </c>
      <c r="BA1086" s="61" t="str">
        <f t="shared" si="514"/>
        <v/>
      </c>
      <c r="BB1086" s="62" t="str">
        <f t="shared" si="515"/>
        <v/>
      </c>
    </row>
    <row r="1087" spans="1:54" s="3" customFormat="1" hidden="1" x14ac:dyDescent="0.35">
      <c r="A1087" s="73">
        <f t="shared" si="499"/>
        <v>2019</v>
      </c>
      <c r="B1087" s="73" t="str">
        <f t="shared" si="500"/>
        <v>Nov</v>
      </c>
      <c r="C1087" s="74">
        <f t="shared" si="516"/>
        <v>17</v>
      </c>
      <c r="D1087" s="75">
        <f t="shared" si="501"/>
        <v>9</v>
      </c>
      <c r="E1087" s="76">
        <f t="shared" si="517"/>
        <v>21</v>
      </c>
      <c r="F1087" s="80"/>
      <c r="G1087" s="83"/>
      <c r="H1087" s="69" t="str">
        <f t="shared" si="518"/>
        <v>Senbur6_20191117_09_00</v>
      </c>
      <c r="I1087" s="70">
        <f t="shared" si="528"/>
        <v>1</v>
      </c>
      <c r="J1087" s="77" t="str">
        <f t="shared" si="528"/>
        <v>Senecio</v>
      </c>
      <c r="K1087" s="77" t="str">
        <f t="shared" si="528"/>
        <v>burtoni</v>
      </c>
      <c r="L1087" s="78">
        <f t="shared" si="528"/>
        <v>6</v>
      </c>
      <c r="M1087" s="78">
        <f t="shared" si="528"/>
        <v>12</v>
      </c>
      <c r="N1087" s="72">
        <f t="shared" si="528"/>
        <v>0</v>
      </c>
      <c r="O1087" s="45"/>
      <c r="P1087" s="46" t="str">
        <f t="shared" si="502"/>
        <v/>
      </c>
      <c r="Q1087" s="47" t="str">
        <f t="shared" si="503"/>
        <v/>
      </c>
      <c r="R1087" s="48" t="e">
        <f t="shared" si="504"/>
        <v>#VALUE!</v>
      </c>
      <c r="S1087" s="49" t="e">
        <f t="shared" si="498"/>
        <v>#VALUE!</v>
      </c>
      <c r="T1087" s="48" t="str">
        <f t="shared" si="505"/>
        <v/>
      </c>
      <c r="U1087" s="50"/>
      <c r="V1087" s="51"/>
      <c r="W1087" s="52" t="e">
        <f t="shared" si="506"/>
        <v>#VALUE!</v>
      </c>
      <c r="X1087" s="53"/>
      <c r="Y1087" s="53"/>
      <c r="Z1087" s="53"/>
      <c r="AA1087" s="48" t="e">
        <f>INDEX([1]!VISITORS[INSECT ORDER], MATCH(X1087,[1]!VISITORS[NAME USED],0))</f>
        <v>#REF!</v>
      </c>
      <c r="AB1087" s="48" t="e">
        <f t="shared" si="507"/>
        <v>#REF!</v>
      </c>
      <c r="AC1087" s="54" t="e">
        <f t="shared" si="508"/>
        <v>#VALUE!</v>
      </c>
      <c r="AD1087" s="55" t="str">
        <f t="shared" si="520"/>
        <v/>
      </c>
      <c r="AE1087" s="55"/>
      <c r="AF1087" s="55"/>
      <c r="AG1087" s="56" t="str">
        <f t="shared" si="525"/>
        <v/>
      </c>
      <c r="AH1087" s="57" t="str">
        <f t="shared" si="521"/>
        <v/>
      </c>
      <c r="AI1087" s="56"/>
      <c r="AJ1087" s="57" t="str">
        <f t="shared" si="522"/>
        <v/>
      </c>
      <c r="AK1087" s="56"/>
      <c r="AL1087" s="57" t="str">
        <f t="shared" si="523"/>
        <v/>
      </c>
      <c r="AM1087" s="56"/>
      <c r="AN1087" s="57" t="str">
        <f t="shared" si="509"/>
        <v/>
      </c>
      <c r="AO1087" s="56"/>
      <c r="AP1087" s="57" t="str">
        <f t="shared" si="510"/>
        <v/>
      </c>
      <c r="AQ1087" s="56"/>
      <c r="AR1087" s="57" t="str">
        <f t="shared" si="511"/>
        <v/>
      </c>
      <c r="AS1087" s="56"/>
      <c r="AT1087" s="57" t="str">
        <f t="shared" si="512"/>
        <v/>
      </c>
      <c r="AU1087" s="58"/>
      <c r="AV1087" s="59"/>
      <c r="AW1087" s="59"/>
      <c r="AX1087" s="60"/>
      <c r="AY1087" s="61" t="str">
        <f t="shared" si="524"/>
        <v/>
      </c>
      <c r="AZ1087" s="62" t="str">
        <f t="shared" si="513"/>
        <v/>
      </c>
      <c r="BA1087" s="61" t="str">
        <f t="shared" si="514"/>
        <v/>
      </c>
      <c r="BB1087" s="62" t="str">
        <f t="shared" si="515"/>
        <v/>
      </c>
    </row>
    <row r="1088" spans="1:54" s="3" customFormat="1" hidden="1" x14ac:dyDescent="0.35">
      <c r="A1088" s="73">
        <f t="shared" si="499"/>
        <v>2019</v>
      </c>
      <c r="B1088" s="73" t="str">
        <f t="shared" si="500"/>
        <v>Nov</v>
      </c>
      <c r="C1088" s="74">
        <f t="shared" si="516"/>
        <v>17</v>
      </c>
      <c r="D1088" s="75">
        <f t="shared" si="501"/>
        <v>9</v>
      </c>
      <c r="E1088" s="76">
        <f t="shared" si="517"/>
        <v>22</v>
      </c>
      <c r="F1088" s="80"/>
      <c r="G1088" s="83"/>
      <c r="H1088" s="69" t="str">
        <f t="shared" si="518"/>
        <v>Senbur6_20191117_09_00</v>
      </c>
      <c r="I1088" s="70">
        <f t="shared" si="528"/>
        <v>1</v>
      </c>
      <c r="J1088" s="77" t="str">
        <f t="shared" si="528"/>
        <v>Senecio</v>
      </c>
      <c r="K1088" s="77" t="str">
        <f t="shared" si="528"/>
        <v>burtoni</v>
      </c>
      <c r="L1088" s="78">
        <f t="shared" si="528"/>
        <v>6</v>
      </c>
      <c r="M1088" s="78">
        <f t="shared" si="528"/>
        <v>12</v>
      </c>
      <c r="N1088" s="72">
        <f t="shared" si="528"/>
        <v>0</v>
      </c>
      <c r="O1088" s="45"/>
      <c r="P1088" s="46" t="str">
        <f t="shared" si="502"/>
        <v/>
      </c>
      <c r="Q1088" s="47" t="str">
        <f t="shared" si="503"/>
        <v/>
      </c>
      <c r="R1088" s="48" t="e">
        <f t="shared" si="504"/>
        <v>#VALUE!</v>
      </c>
      <c r="S1088" s="49" t="e">
        <f t="shared" si="498"/>
        <v>#VALUE!</v>
      </c>
      <c r="T1088" s="48" t="str">
        <f t="shared" si="505"/>
        <v/>
      </c>
      <c r="U1088" s="50"/>
      <c r="V1088" s="51"/>
      <c r="W1088" s="52" t="e">
        <f t="shared" si="506"/>
        <v>#VALUE!</v>
      </c>
      <c r="X1088" s="53"/>
      <c r="Y1088" s="53"/>
      <c r="Z1088" s="53"/>
      <c r="AA1088" s="48" t="e">
        <f>INDEX([1]!VISITORS[INSECT ORDER], MATCH(X1088,[1]!VISITORS[NAME USED],0))</f>
        <v>#REF!</v>
      </c>
      <c r="AB1088" s="48" t="e">
        <f t="shared" si="507"/>
        <v>#REF!</v>
      </c>
      <c r="AC1088" s="54" t="e">
        <f t="shared" si="508"/>
        <v>#VALUE!</v>
      </c>
      <c r="AD1088" s="55" t="str">
        <f t="shared" si="520"/>
        <v/>
      </c>
      <c r="AE1088" s="55"/>
      <c r="AF1088" s="55"/>
      <c r="AG1088" s="56" t="str">
        <f t="shared" si="525"/>
        <v/>
      </c>
      <c r="AH1088" s="57" t="str">
        <f t="shared" si="521"/>
        <v/>
      </c>
      <c r="AI1088" s="56"/>
      <c r="AJ1088" s="57" t="str">
        <f t="shared" si="522"/>
        <v/>
      </c>
      <c r="AK1088" s="56"/>
      <c r="AL1088" s="57" t="str">
        <f t="shared" si="523"/>
        <v/>
      </c>
      <c r="AM1088" s="56"/>
      <c r="AN1088" s="57" t="str">
        <f t="shared" si="509"/>
        <v/>
      </c>
      <c r="AO1088" s="56"/>
      <c r="AP1088" s="57" t="str">
        <f t="shared" si="510"/>
        <v/>
      </c>
      <c r="AQ1088" s="56"/>
      <c r="AR1088" s="57" t="str">
        <f t="shared" si="511"/>
        <v/>
      </c>
      <c r="AS1088" s="56"/>
      <c r="AT1088" s="57" t="str">
        <f t="shared" si="512"/>
        <v/>
      </c>
      <c r="AU1088" s="58"/>
      <c r="AV1088" s="59"/>
      <c r="AW1088" s="59"/>
      <c r="AX1088" s="60"/>
      <c r="AY1088" s="61" t="str">
        <f t="shared" si="524"/>
        <v/>
      </c>
      <c r="AZ1088" s="62" t="str">
        <f t="shared" si="513"/>
        <v/>
      </c>
      <c r="BA1088" s="61" t="str">
        <f t="shared" si="514"/>
        <v/>
      </c>
      <c r="BB1088" s="62" t="str">
        <f t="shared" si="515"/>
        <v/>
      </c>
    </row>
    <row r="1089" spans="1:54" s="3" customFormat="1" hidden="1" x14ac:dyDescent="0.35">
      <c r="A1089" s="73">
        <f t="shared" si="499"/>
        <v>2019</v>
      </c>
      <c r="B1089" s="73" t="str">
        <f t="shared" si="500"/>
        <v>Nov</v>
      </c>
      <c r="C1089" s="74">
        <f t="shared" si="516"/>
        <v>17</v>
      </c>
      <c r="D1089" s="75">
        <f t="shared" si="501"/>
        <v>9</v>
      </c>
      <c r="E1089" s="76">
        <f t="shared" si="517"/>
        <v>23</v>
      </c>
      <c r="F1089" s="80"/>
      <c r="G1089" s="83"/>
      <c r="H1089" s="69" t="str">
        <f t="shared" si="518"/>
        <v>Senbur6_20191117_09_00</v>
      </c>
      <c r="I1089" s="70">
        <f t="shared" si="528"/>
        <v>1</v>
      </c>
      <c r="J1089" s="77" t="str">
        <f t="shared" si="528"/>
        <v>Senecio</v>
      </c>
      <c r="K1089" s="77" t="str">
        <f t="shared" si="528"/>
        <v>burtoni</v>
      </c>
      <c r="L1089" s="78">
        <f t="shared" si="528"/>
        <v>6</v>
      </c>
      <c r="M1089" s="78">
        <f t="shared" si="528"/>
        <v>12</v>
      </c>
      <c r="N1089" s="72">
        <f t="shared" si="528"/>
        <v>0</v>
      </c>
      <c r="O1089" s="45"/>
      <c r="P1089" s="46" t="str">
        <f t="shared" si="502"/>
        <v/>
      </c>
      <c r="Q1089" s="47" t="str">
        <f t="shared" si="503"/>
        <v/>
      </c>
      <c r="R1089" s="48" t="e">
        <f t="shared" si="504"/>
        <v>#VALUE!</v>
      </c>
      <c r="S1089" s="49" t="e">
        <f t="shared" si="498"/>
        <v>#VALUE!</v>
      </c>
      <c r="T1089" s="48" t="str">
        <f t="shared" si="505"/>
        <v/>
      </c>
      <c r="U1089" s="50"/>
      <c r="V1089" s="51"/>
      <c r="W1089" s="52" t="e">
        <f t="shared" si="506"/>
        <v>#VALUE!</v>
      </c>
      <c r="X1089" s="53"/>
      <c r="Y1089" s="53"/>
      <c r="Z1089" s="53"/>
      <c r="AA1089" s="48" t="e">
        <f>INDEX([1]!VISITORS[INSECT ORDER], MATCH(X1089,[1]!VISITORS[NAME USED],0))</f>
        <v>#REF!</v>
      </c>
      <c r="AB1089" s="48" t="e">
        <f t="shared" si="507"/>
        <v>#REF!</v>
      </c>
      <c r="AC1089" s="54" t="e">
        <f t="shared" si="508"/>
        <v>#VALUE!</v>
      </c>
      <c r="AD1089" s="55" t="str">
        <f t="shared" si="520"/>
        <v/>
      </c>
      <c r="AE1089" s="55"/>
      <c r="AF1089" s="55"/>
      <c r="AG1089" s="56" t="str">
        <f t="shared" si="525"/>
        <v/>
      </c>
      <c r="AH1089" s="57" t="str">
        <f t="shared" si="521"/>
        <v/>
      </c>
      <c r="AI1089" s="56"/>
      <c r="AJ1089" s="57" t="str">
        <f t="shared" si="522"/>
        <v/>
      </c>
      <c r="AK1089" s="56"/>
      <c r="AL1089" s="57" t="str">
        <f t="shared" si="523"/>
        <v/>
      </c>
      <c r="AM1089" s="56"/>
      <c r="AN1089" s="57" t="str">
        <f t="shared" si="509"/>
        <v/>
      </c>
      <c r="AO1089" s="56"/>
      <c r="AP1089" s="57" t="str">
        <f t="shared" si="510"/>
        <v/>
      </c>
      <c r="AQ1089" s="56"/>
      <c r="AR1089" s="57" t="str">
        <f t="shared" si="511"/>
        <v/>
      </c>
      <c r="AS1089" s="56"/>
      <c r="AT1089" s="57" t="str">
        <f t="shared" si="512"/>
        <v/>
      </c>
      <c r="AU1089" s="58"/>
      <c r="AV1089" s="59"/>
      <c r="AW1089" s="59"/>
      <c r="AX1089" s="60"/>
      <c r="AY1089" s="61" t="str">
        <f t="shared" si="524"/>
        <v/>
      </c>
      <c r="AZ1089" s="62" t="str">
        <f t="shared" si="513"/>
        <v/>
      </c>
      <c r="BA1089" s="61" t="str">
        <f t="shared" si="514"/>
        <v/>
      </c>
      <c r="BB1089" s="62" t="str">
        <f t="shared" si="515"/>
        <v/>
      </c>
    </row>
    <row r="1090" spans="1:54" s="3" customFormat="1" hidden="1" x14ac:dyDescent="0.35">
      <c r="A1090" s="73">
        <f t="shared" si="499"/>
        <v>2019</v>
      </c>
      <c r="B1090" s="73" t="str">
        <f t="shared" si="500"/>
        <v>Nov</v>
      </c>
      <c r="C1090" s="74">
        <f t="shared" si="516"/>
        <v>17</v>
      </c>
      <c r="D1090" s="75">
        <f t="shared" si="501"/>
        <v>9</v>
      </c>
      <c r="E1090" s="76">
        <f t="shared" si="517"/>
        <v>24</v>
      </c>
      <c r="F1090" s="80"/>
      <c r="G1090" s="83"/>
      <c r="H1090" s="69" t="str">
        <f t="shared" si="518"/>
        <v>Senbur6_20191117_09_00</v>
      </c>
      <c r="I1090" s="70">
        <f t="shared" si="528"/>
        <v>1</v>
      </c>
      <c r="J1090" s="77" t="str">
        <f t="shared" si="528"/>
        <v>Senecio</v>
      </c>
      <c r="K1090" s="77" t="str">
        <f t="shared" si="528"/>
        <v>burtoni</v>
      </c>
      <c r="L1090" s="78">
        <f t="shared" si="528"/>
        <v>6</v>
      </c>
      <c r="M1090" s="78">
        <f t="shared" si="528"/>
        <v>12</v>
      </c>
      <c r="N1090" s="72">
        <f t="shared" si="528"/>
        <v>0</v>
      </c>
      <c r="O1090" s="45"/>
      <c r="P1090" s="46" t="str">
        <f t="shared" si="502"/>
        <v/>
      </c>
      <c r="Q1090" s="47" t="str">
        <f t="shared" si="503"/>
        <v/>
      </c>
      <c r="R1090" s="48" t="e">
        <f t="shared" si="504"/>
        <v>#VALUE!</v>
      </c>
      <c r="S1090" s="49" t="e">
        <f t="shared" si="498"/>
        <v>#VALUE!</v>
      </c>
      <c r="T1090" s="48" t="str">
        <f t="shared" si="505"/>
        <v/>
      </c>
      <c r="U1090" s="50"/>
      <c r="V1090" s="51"/>
      <c r="W1090" s="52" t="e">
        <f t="shared" si="506"/>
        <v>#VALUE!</v>
      </c>
      <c r="X1090" s="53"/>
      <c r="Y1090" s="53"/>
      <c r="Z1090" s="53"/>
      <c r="AA1090" s="48" t="e">
        <f>INDEX([1]!VISITORS[INSECT ORDER], MATCH(X1090,[1]!VISITORS[NAME USED],0))</f>
        <v>#REF!</v>
      </c>
      <c r="AB1090" s="48" t="e">
        <f t="shared" si="507"/>
        <v>#REF!</v>
      </c>
      <c r="AC1090" s="54" t="e">
        <f t="shared" si="508"/>
        <v>#VALUE!</v>
      </c>
      <c r="AD1090" s="55" t="str">
        <f t="shared" si="520"/>
        <v/>
      </c>
      <c r="AE1090" s="55"/>
      <c r="AF1090" s="55"/>
      <c r="AG1090" s="56" t="str">
        <f t="shared" si="525"/>
        <v/>
      </c>
      <c r="AH1090" s="57" t="str">
        <f t="shared" si="521"/>
        <v/>
      </c>
      <c r="AI1090" s="56"/>
      <c r="AJ1090" s="57" t="str">
        <f t="shared" si="522"/>
        <v/>
      </c>
      <c r="AK1090" s="56"/>
      <c r="AL1090" s="57" t="str">
        <f t="shared" si="523"/>
        <v/>
      </c>
      <c r="AM1090" s="56"/>
      <c r="AN1090" s="57" t="str">
        <f t="shared" si="509"/>
        <v/>
      </c>
      <c r="AO1090" s="56"/>
      <c r="AP1090" s="57" t="str">
        <f t="shared" si="510"/>
        <v/>
      </c>
      <c r="AQ1090" s="56"/>
      <c r="AR1090" s="57" t="str">
        <f t="shared" si="511"/>
        <v/>
      </c>
      <c r="AS1090" s="56"/>
      <c r="AT1090" s="57" t="str">
        <f t="shared" si="512"/>
        <v/>
      </c>
      <c r="AU1090" s="58"/>
      <c r="AV1090" s="59"/>
      <c r="AW1090" s="59"/>
      <c r="AX1090" s="60"/>
      <c r="AY1090" s="61" t="str">
        <f t="shared" si="524"/>
        <v/>
      </c>
      <c r="AZ1090" s="62" t="str">
        <f t="shared" si="513"/>
        <v/>
      </c>
      <c r="BA1090" s="61" t="str">
        <f t="shared" si="514"/>
        <v/>
      </c>
      <c r="BB1090" s="62" t="str">
        <f t="shared" si="515"/>
        <v/>
      </c>
    </row>
    <row r="1091" spans="1:54" s="3" customFormat="1" hidden="1" x14ac:dyDescent="0.35">
      <c r="A1091" s="73">
        <f t="shared" si="499"/>
        <v>2019</v>
      </c>
      <c r="B1091" s="73" t="str">
        <f t="shared" si="500"/>
        <v>Nov</v>
      </c>
      <c r="C1091" s="74">
        <f t="shared" si="516"/>
        <v>17</v>
      </c>
      <c r="D1091" s="75">
        <f t="shared" si="501"/>
        <v>9</v>
      </c>
      <c r="E1091" s="76">
        <f t="shared" si="517"/>
        <v>25</v>
      </c>
      <c r="F1091" s="80"/>
      <c r="G1091" s="83"/>
      <c r="H1091" s="69" t="str">
        <f t="shared" si="518"/>
        <v>Senbur6_20191117_09_00</v>
      </c>
      <c r="I1091" s="70">
        <f t="shared" si="528"/>
        <v>1</v>
      </c>
      <c r="J1091" s="77" t="str">
        <f t="shared" si="528"/>
        <v>Senecio</v>
      </c>
      <c r="K1091" s="77" t="str">
        <f t="shared" si="528"/>
        <v>burtoni</v>
      </c>
      <c r="L1091" s="78">
        <f t="shared" si="528"/>
        <v>6</v>
      </c>
      <c r="M1091" s="78">
        <f t="shared" si="528"/>
        <v>12</v>
      </c>
      <c r="N1091" s="72">
        <f t="shared" si="528"/>
        <v>0</v>
      </c>
      <c r="O1091" s="45"/>
      <c r="P1091" s="46" t="str">
        <f t="shared" si="502"/>
        <v/>
      </c>
      <c r="Q1091" s="47" t="str">
        <f t="shared" si="503"/>
        <v/>
      </c>
      <c r="R1091" s="48" t="e">
        <f t="shared" si="504"/>
        <v>#VALUE!</v>
      </c>
      <c r="S1091" s="49" t="e">
        <f t="shared" ref="S1091:S1154" si="529">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INDEX([1]!VISITORS[INSECT ORDER], MATCH(X1091,[1]!VISITORS[NAME USED],0))</f>
        <v>#REF!</v>
      </c>
      <c r="AB1091" s="48" t="e">
        <f t="shared" si="507"/>
        <v>#REF!</v>
      </c>
      <c r="AC1091" s="54" t="e">
        <f t="shared" si="508"/>
        <v>#VALUE!</v>
      </c>
      <c r="AD1091" s="55" t="str">
        <f t="shared" si="520"/>
        <v/>
      </c>
      <c r="AE1091" s="55"/>
      <c r="AF1091" s="55"/>
      <c r="AG1091" s="56" t="str">
        <f t="shared" si="525"/>
        <v/>
      </c>
      <c r="AH1091" s="57" t="str">
        <f t="shared" si="521"/>
        <v/>
      </c>
      <c r="AI1091" s="56"/>
      <c r="AJ1091" s="57" t="str">
        <f t="shared" si="522"/>
        <v/>
      </c>
      <c r="AK1091" s="56"/>
      <c r="AL1091" s="57" t="str">
        <f t="shared" si="523"/>
        <v/>
      </c>
      <c r="AM1091" s="56"/>
      <c r="AN1091" s="57" t="str">
        <f t="shared" si="509"/>
        <v/>
      </c>
      <c r="AO1091" s="56"/>
      <c r="AP1091" s="57" t="str">
        <f t="shared" si="510"/>
        <v/>
      </c>
      <c r="AQ1091" s="56"/>
      <c r="AR1091" s="57" t="str">
        <f t="shared" si="511"/>
        <v/>
      </c>
      <c r="AS1091" s="56"/>
      <c r="AT1091" s="57" t="str">
        <f t="shared" si="512"/>
        <v/>
      </c>
      <c r="AU1091" s="58"/>
      <c r="AV1091" s="59"/>
      <c r="AW1091" s="59"/>
      <c r="AX1091" s="60"/>
      <c r="AY1091" s="61" t="str">
        <f t="shared" si="524"/>
        <v/>
      </c>
      <c r="AZ1091" s="62" t="str">
        <f t="shared" si="513"/>
        <v/>
      </c>
      <c r="BA1091" s="61" t="str">
        <f t="shared" si="514"/>
        <v/>
      </c>
      <c r="BB1091" s="62" t="str">
        <f t="shared" si="515"/>
        <v/>
      </c>
    </row>
    <row r="1092" spans="1:54" s="3" customFormat="1" hidden="1" x14ac:dyDescent="0.35">
      <c r="A1092" s="73">
        <f t="shared" ref="A1092:A1155" si="530">A1091</f>
        <v>2019</v>
      </c>
      <c r="B1092" s="73" t="str">
        <f t="shared" ref="B1092:B1155" si="531">IF(C1091-C1092&gt;0, TEXT(DATE(2016,(MONTH(DATEVALUE(B1091&amp;"1"))+1),1),"mmm"), B1091)</f>
        <v>Nov</v>
      </c>
      <c r="C1092" s="74">
        <f t="shared" si="516"/>
        <v>17</v>
      </c>
      <c r="D1092" s="75">
        <f t="shared" ref="D1092:D1155" si="532">IF(IF(E1091=59,D1091+1,D1091)=24,0,IF(E1091=59,D1091+1,D1091))</f>
        <v>9</v>
      </c>
      <c r="E1092" s="76">
        <f t="shared" ref="E1092:E1154" si="533">IF(E1091&lt;59,E1091+1,0)</f>
        <v>26</v>
      </c>
      <c r="F1092" s="80"/>
      <c r="G1092" s="83"/>
      <c r="H1092" s="69" t="str">
        <f t="shared" si="518"/>
        <v>Senbur6_20191117_09_00</v>
      </c>
      <c r="I1092" s="70">
        <f t="shared" si="528"/>
        <v>1</v>
      </c>
      <c r="J1092" s="77" t="str">
        <f t="shared" si="528"/>
        <v>Senecio</v>
      </c>
      <c r="K1092" s="77" t="str">
        <f t="shared" si="528"/>
        <v>burtoni</v>
      </c>
      <c r="L1092" s="78">
        <f t="shared" si="528"/>
        <v>6</v>
      </c>
      <c r="M1092" s="78">
        <f t="shared" si="528"/>
        <v>12</v>
      </c>
      <c r="N1092" s="72">
        <f t="shared" si="528"/>
        <v>0</v>
      </c>
      <c r="O1092" s="45"/>
      <c r="P1092" s="46" t="str">
        <f t="shared" ref="P1092:P1155" si="534">IF(F1092="","",1)</f>
        <v/>
      </c>
      <c r="Q1092" s="47" t="str">
        <f t="shared" ref="Q1092:Q1155" si="535">TEXT(IF(P1092=1,CONCATENATE($D1092,":",$E1092,":",(LEFT($F1092,2))),""),"hh:mm:ss")</f>
        <v/>
      </c>
      <c r="R1092" s="48" t="e">
        <f t="shared" ref="R1092:R1155" si="536">TEXT(Q1092-TIME(0,RIGHT($H1092,2),$G$9)+(Q1092&gt;TIME(0,RIGHT($H1092,2),$G$9)),"mm:ss")</f>
        <v>#VALUE!</v>
      </c>
      <c r="S1092" s="49" t="e">
        <f t="shared" si="529"/>
        <v>#VALUE!</v>
      </c>
      <c r="T1092" s="48" t="str">
        <f t="shared" ref="T1092:T1155" si="537">TEXT(IF(P1092=1,D1092,""),"00")</f>
        <v/>
      </c>
      <c r="U1092" s="50"/>
      <c r="V1092" s="51"/>
      <c r="W1092" s="52" t="e">
        <f t="shared" ref="W1092:W1155" si="538">IF(O1092=0,TEXT(TIME(T1092,U1092,V1092)-TIME(D1092,E1092,RIGHT(F1092,2))+TIME(0,LEFT(R1092,2),RIGHT(R1092,2)),"mm:ss"),TEXT(TIME(T1092,U1092,V1092)-TIME(D1092,E1092,RIGHT(F1092,2))+TIME(0,LEFT(R1092,2),RIGHT(R1092,2))-TIME(0,($G$10*O1092),0),"mm:ss"))</f>
        <v>#VALUE!</v>
      </c>
      <c r="X1092" s="53"/>
      <c r="Y1092" s="53"/>
      <c r="Z1092" s="53"/>
      <c r="AA1092" s="48" t="e">
        <f>INDEX([1]!VISITORS[INSECT ORDER], MATCH(X1092,[1]!VISITORS[NAME USED],0))</f>
        <v>#REF!</v>
      </c>
      <c r="AB1092" s="48" t="e">
        <f t="shared" ref="AB1092:AB1155" si="539">IF(AA1092&lt;&gt;0,"NA","")</f>
        <v>#REF!</v>
      </c>
      <c r="AC1092" s="54" t="e">
        <f t="shared" ref="AC1092:AC1155" si="540">IF(SUM(AH1092,AJ1092,AL1092,AN1092,AP1092,AR1092,AT1092)=S1092,,"")</f>
        <v>#VALUE!</v>
      </c>
      <c r="AD1092" s="55" t="str">
        <f t="shared" ref="AD1092:AD1155" si="541">IF(P1092=1,1,"")</f>
        <v/>
      </c>
      <c r="AE1092" s="55"/>
      <c r="AF1092" s="55"/>
      <c r="AG1092" s="56" t="str">
        <f t="shared" ref="AG1092:AG1152" si="542">IF(OR(X1092="Something small"),1,"")</f>
        <v/>
      </c>
      <c r="AH1092" s="57" t="str">
        <f t="shared" ref="AH1092:AH1152" si="543">IF(AG1092=1,$S1092,"")</f>
        <v/>
      </c>
      <c r="AI1092" s="56"/>
      <c r="AJ1092" s="57" t="str">
        <f t="shared" ref="AJ1092:AJ1155" si="544">IF(AI1092=1,$S1092,"")</f>
        <v/>
      </c>
      <c r="AK1092" s="56"/>
      <c r="AL1092" s="57" t="str">
        <f t="shared" ref="AL1092:AL1155" si="545">IF(AK1092=1,$S1092,"")</f>
        <v/>
      </c>
      <c r="AM1092" s="56"/>
      <c r="AN1092" s="57" t="str">
        <f t="shared" ref="AN1092:AN1155" si="546">IF(AM1092=1,$S1092,"")</f>
        <v/>
      </c>
      <c r="AO1092" s="56"/>
      <c r="AP1092" s="57" t="str">
        <f t="shared" ref="AP1092:AP1155" si="547">IF(AO1092=1,$S1092,"")</f>
        <v/>
      </c>
      <c r="AQ1092" s="56"/>
      <c r="AR1092" s="57" t="str">
        <f t="shared" ref="AR1092:AR1155" si="548">IF(AQ1092=1,$S1092,"")</f>
        <v/>
      </c>
      <c r="AS1092" s="56"/>
      <c r="AT1092" s="57" t="str">
        <f t="shared" ref="AT1092:AT1155" si="549">IF(AS1092=1,$S1092,"")</f>
        <v/>
      </c>
      <c r="AU1092" s="58"/>
      <c r="AV1092" s="59"/>
      <c r="AW1092" s="59"/>
      <c r="AX1092" s="60"/>
      <c r="AY1092" s="61" t="str">
        <f t="shared" ref="AY1092:AY1155" si="550">IF(P1092=1,0,"")</f>
        <v/>
      </c>
      <c r="AZ1092" s="62" t="str">
        <f t="shared" ref="AZ1092:AZ1155" si="551">IF(AY1092=1,AD1092,"")</f>
        <v/>
      </c>
      <c r="BA1092" s="61" t="str">
        <f t="shared" ref="BA1092:BA1155" si="552">IF(P1092=1,0,"")</f>
        <v/>
      </c>
      <c r="BB1092" s="62" t="str">
        <f t="shared" ref="BB1092:BB1155" si="553">IF(BA1092=1,AD1092,"")</f>
        <v/>
      </c>
    </row>
    <row r="1093" spans="1:54" s="3" customFormat="1" hidden="1" x14ac:dyDescent="0.35">
      <c r="A1093" s="73">
        <f t="shared" si="530"/>
        <v>2019</v>
      </c>
      <c r="B1093" s="73" t="str">
        <f t="shared" si="531"/>
        <v>Nov</v>
      </c>
      <c r="C1093" s="74">
        <f t="shared" ref="C1093:C1156" si="554">IF(AND(D1093=0, E1093=0), IF(TEXT(C1092,"dd")=TEXT(EOMONTH(DATE(A1092,MONTH(DATEVALUE(B1092&amp;"1")),C1092),0), "dd"), 1, C1092+1), C1092)</f>
        <v>17</v>
      </c>
      <c r="D1093" s="75">
        <f t="shared" si="532"/>
        <v>9</v>
      </c>
      <c r="E1093" s="76">
        <f t="shared" si="533"/>
        <v>27</v>
      </c>
      <c r="F1093" s="80"/>
      <c r="G1093" s="83"/>
      <c r="H1093" s="69" t="str">
        <f t="shared" ref="H1093:H1156" si="555">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Senbur6_20191117_09_00</v>
      </c>
      <c r="I1093" s="70">
        <f t="shared" ref="I1093:N1108" si="556">I1092</f>
        <v>1</v>
      </c>
      <c r="J1093" s="77" t="str">
        <f t="shared" si="556"/>
        <v>Senecio</v>
      </c>
      <c r="K1093" s="77" t="str">
        <f t="shared" si="556"/>
        <v>burtoni</v>
      </c>
      <c r="L1093" s="78">
        <f t="shared" si="556"/>
        <v>6</v>
      </c>
      <c r="M1093" s="78">
        <f t="shared" si="556"/>
        <v>12</v>
      </c>
      <c r="N1093" s="72">
        <f t="shared" si="556"/>
        <v>0</v>
      </c>
      <c r="O1093" s="45"/>
      <c r="P1093" s="46" t="str">
        <f t="shared" si="534"/>
        <v/>
      </c>
      <c r="Q1093" s="47" t="str">
        <f t="shared" si="535"/>
        <v/>
      </c>
      <c r="R1093" s="48" t="e">
        <f t="shared" si="536"/>
        <v>#VALUE!</v>
      </c>
      <c r="S1093" s="49" t="e">
        <f t="shared" si="529"/>
        <v>#VALUE!</v>
      </c>
      <c r="T1093" s="48" t="str">
        <f t="shared" si="537"/>
        <v/>
      </c>
      <c r="U1093" s="50"/>
      <c r="V1093" s="51"/>
      <c r="W1093" s="52" t="e">
        <f t="shared" si="538"/>
        <v>#VALUE!</v>
      </c>
      <c r="X1093" s="53"/>
      <c r="Y1093" s="53"/>
      <c r="Z1093" s="53"/>
      <c r="AA1093" s="48" t="e">
        <f>INDEX([1]!VISITORS[INSECT ORDER], MATCH(X1093,[1]!VISITORS[NAME USED],0))</f>
        <v>#REF!</v>
      </c>
      <c r="AB1093" s="48" t="e">
        <f t="shared" si="539"/>
        <v>#REF!</v>
      </c>
      <c r="AC1093" s="54" t="e">
        <f t="shared" si="540"/>
        <v>#VALUE!</v>
      </c>
      <c r="AD1093" s="55" t="str">
        <f t="shared" si="541"/>
        <v/>
      </c>
      <c r="AE1093" s="55"/>
      <c r="AF1093" s="55"/>
      <c r="AG1093" s="56" t="str">
        <f t="shared" si="542"/>
        <v/>
      </c>
      <c r="AH1093" s="57" t="str">
        <f t="shared" si="543"/>
        <v/>
      </c>
      <c r="AI1093" s="56"/>
      <c r="AJ1093" s="57" t="str">
        <f t="shared" si="544"/>
        <v/>
      </c>
      <c r="AK1093" s="56"/>
      <c r="AL1093" s="57" t="str">
        <f t="shared" si="545"/>
        <v/>
      </c>
      <c r="AM1093" s="56"/>
      <c r="AN1093" s="57" t="str">
        <f t="shared" si="546"/>
        <v/>
      </c>
      <c r="AO1093" s="56"/>
      <c r="AP1093" s="57" t="str">
        <f t="shared" si="547"/>
        <v/>
      </c>
      <c r="AQ1093" s="56"/>
      <c r="AR1093" s="57" t="str">
        <f t="shared" si="548"/>
        <v/>
      </c>
      <c r="AS1093" s="56"/>
      <c r="AT1093" s="57" t="str">
        <f t="shared" si="549"/>
        <v/>
      </c>
      <c r="AU1093" s="58"/>
      <c r="AV1093" s="59"/>
      <c r="AW1093" s="59"/>
      <c r="AX1093" s="60"/>
      <c r="AY1093" s="61" t="str">
        <f t="shared" si="550"/>
        <v/>
      </c>
      <c r="AZ1093" s="62" t="str">
        <f t="shared" si="551"/>
        <v/>
      </c>
      <c r="BA1093" s="61" t="str">
        <f t="shared" si="552"/>
        <v/>
      </c>
      <c r="BB1093" s="62" t="str">
        <f t="shared" si="553"/>
        <v/>
      </c>
    </row>
    <row r="1094" spans="1:54" s="3" customFormat="1" hidden="1" x14ac:dyDescent="0.35">
      <c r="A1094" s="73">
        <f t="shared" si="530"/>
        <v>2019</v>
      </c>
      <c r="B1094" s="73" t="str">
        <f t="shared" si="531"/>
        <v>Nov</v>
      </c>
      <c r="C1094" s="74">
        <f t="shared" si="554"/>
        <v>17</v>
      </c>
      <c r="D1094" s="75">
        <f t="shared" si="532"/>
        <v>9</v>
      </c>
      <c r="E1094" s="76">
        <f t="shared" si="533"/>
        <v>28</v>
      </c>
      <c r="F1094" s="80"/>
      <c r="G1094" s="83"/>
      <c r="H1094" s="69" t="str">
        <f t="shared" si="555"/>
        <v>Senbur6_20191117_09_00</v>
      </c>
      <c r="I1094" s="70">
        <f t="shared" si="556"/>
        <v>1</v>
      </c>
      <c r="J1094" s="77" t="str">
        <f t="shared" si="556"/>
        <v>Senecio</v>
      </c>
      <c r="K1094" s="77" t="str">
        <f t="shared" si="556"/>
        <v>burtoni</v>
      </c>
      <c r="L1094" s="78">
        <f t="shared" si="556"/>
        <v>6</v>
      </c>
      <c r="M1094" s="78">
        <f t="shared" si="556"/>
        <v>12</v>
      </c>
      <c r="N1094" s="72">
        <f t="shared" si="556"/>
        <v>0</v>
      </c>
      <c r="O1094" s="45"/>
      <c r="P1094" s="46" t="str">
        <f t="shared" si="534"/>
        <v/>
      </c>
      <c r="Q1094" s="47" t="str">
        <f t="shared" si="535"/>
        <v/>
      </c>
      <c r="R1094" s="48" t="e">
        <f t="shared" si="536"/>
        <v>#VALUE!</v>
      </c>
      <c r="S1094" s="49" t="e">
        <f t="shared" si="529"/>
        <v>#VALUE!</v>
      </c>
      <c r="T1094" s="48" t="str">
        <f t="shared" si="537"/>
        <v/>
      </c>
      <c r="U1094" s="50"/>
      <c r="V1094" s="51"/>
      <c r="W1094" s="52" t="e">
        <f t="shared" si="538"/>
        <v>#VALUE!</v>
      </c>
      <c r="X1094" s="53"/>
      <c r="Y1094" s="53"/>
      <c r="Z1094" s="53"/>
      <c r="AA1094" s="48" t="e">
        <f>INDEX([1]!VISITORS[INSECT ORDER], MATCH(X1094,[1]!VISITORS[NAME USED],0))</f>
        <v>#REF!</v>
      </c>
      <c r="AB1094" s="48" t="e">
        <f t="shared" si="539"/>
        <v>#REF!</v>
      </c>
      <c r="AC1094" s="54" t="e">
        <f t="shared" si="540"/>
        <v>#VALUE!</v>
      </c>
      <c r="AD1094" s="55" t="str">
        <f t="shared" si="541"/>
        <v/>
      </c>
      <c r="AE1094" s="55"/>
      <c r="AF1094" s="55"/>
      <c r="AG1094" s="56" t="str">
        <f t="shared" si="542"/>
        <v/>
      </c>
      <c r="AH1094" s="57" t="str">
        <f t="shared" si="543"/>
        <v/>
      </c>
      <c r="AI1094" s="56"/>
      <c r="AJ1094" s="57" t="str">
        <f t="shared" si="544"/>
        <v/>
      </c>
      <c r="AK1094" s="56"/>
      <c r="AL1094" s="57" t="str">
        <f t="shared" si="545"/>
        <v/>
      </c>
      <c r="AM1094" s="56"/>
      <c r="AN1094" s="57" t="str">
        <f t="shared" si="546"/>
        <v/>
      </c>
      <c r="AO1094" s="56"/>
      <c r="AP1094" s="57" t="str">
        <f t="shared" si="547"/>
        <v/>
      </c>
      <c r="AQ1094" s="56"/>
      <c r="AR1094" s="57" t="str">
        <f t="shared" si="548"/>
        <v/>
      </c>
      <c r="AS1094" s="56"/>
      <c r="AT1094" s="57" t="str">
        <f t="shared" si="549"/>
        <v/>
      </c>
      <c r="AU1094" s="58"/>
      <c r="AV1094" s="59"/>
      <c r="AW1094" s="59"/>
      <c r="AX1094" s="60"/>
      <c r="AY1094" s="61" t="str">
        <f t="shared" si="550"/>
        <v/>
      </c>
      <c r="AZ1094" s="62" t="str">
        <f t="shared" si="551"/>
        <v/>
      </c>
      <c r="BA1094" s="61" t="str">
        <f t="shared" si="552"/>
        <v/>
      </c>
      <c r="BB1094" s="62" t="str">
        <f t="shared" si="553"/>
        <v/>
      </c>
    </row>
    <row r="1095" spans="1:54" s="3" customFormat="1" hidden="1" x14ac:dyDescent="0.35">
      <c r="A1095" s="73">
        <f t="shared" si="530"/>
        <v>2019</v>
      </c>
      <c r="B1095" s="73" t="str">
        <f t="shared" si="531"/>
        <v>Nov</v>
      </c>
      <c r="C1095" s="74">
        <f t="shared" si="554"/>
        <v>17</v>
      </c>
      <c r="D1095" s="75">
        <f t="shared" si="532"/>
        <v>9</v>
      </c>
      <c r="E1095" s="76">
        <f t="shared" si="533"/>
        <v>29</v>
      </c>
      <c r="F1095" s="80">
        <v>9</v>
      </c>
      <c r="G1095" s="83"/>
      <c r="H1095" s="69" t="str">
        <f t="shared" si="555"/>
        <v>Senbur6_20191117_09_00</v>
      </c>
      <c r="I1095" s="70">
        <f t="shared" si="556"/>
        <v>1</v>
      </c>
      <c r="J1095" s="77" t="str">
        <f t="shared" si="556"/>
        <v>Senecio</v>
      </c>
      <c r="K1095" s="77" t="str">
        <f t="shared" si="556"/>
        <v>burtoni</v>
      </c>
      <c r="L1095" s="78">
        <f t="shared" si="556"/>
        <v>6</v>
      </c>
      <c r="M1095" s="78">
        <f t="shared" si="556"/>
        <v>12</v>
      </c>
      <c r="N1095" s="72">
        <f t="shared" si="556"/>
        <v>0</v>
      </c>
      <c r="O1095" s="45"/>
      <c r="P1095" s="46">
        <f t="shared" si="534"/>
        <v>1</v>
      </c>
      <c r="Q1095" s="47" t="str">
        <f t="shared" si="535"/>
        <v>09:29:09</v>
      </c>
      <c r="R1095" s="48" t="str">
        <f t="shared" si="536"/>
        <v>29:09</v>
      </c>
      <c r="S1095" s="49">
        <f t="shared" si="529"/>
        <v>19</v>
      </c>
      <c r="T1095" s="48" t="str">
        <f t="shared" si="537"/>
        <v>09</v>
      </c>
      <c r="U1095" s="50">
        <v>29</v>
      </c>
      <c r="V1095" s="51">
        <v>28</v>
      </c>
      <c r="W1095" s="52" t="str">
        <f t="shared" si="538"/>
        <v>29:28</v>
      </c>
      <c r="X1095" s="53" t="s">
        <v>59</v>
      </c>
      <c r="Y1095" s="97" t="s">
        <v>84</v>
      </c>
      <c r="Z1095" s="97" t="s">
        <v>80</v>
      </c>
      <c r="AA1095" s="48" t="s">
        <v>60</v>
      </c>
      <c r="AB1095" s="48" t="str">
        <f t="shared" si="539"/>
        <v>NA</v>
      </c>
      <c r="AC1095" s="54">
        <f t="shared" si="540"/>
        <v>0</v>
      </c>
      <c r="AD1095" s="55">
        <f t="shared" si="541"/>
        <v>1</v>
      </c>
      <c r="AE1095" s="55"/>
      <c r="AF1095" s="55"/>
      <c r="AG1095" s="56">
        <v>1</v>
      </c>
      <c r="AH1095" s="57">
        <f t="shared" si="543"/>
        <v>19</v>
      </c>
      <c r="AI1095" s="56"/>
      <c r="AJ1095" s="57" t="str">
        <f t="shared" si="544"/>
        <v/>
      </c>
      <c r="AK1095" s="56"/>
      <c r="AL1095" s="57" t="str">
        <f t="shared" si="545"/>
        <v/>
      </c>
      <c r="AM1095" s="56"/>
      <c r="AN1095" s="57" t="str">
        <f t="shared" si="546"/>
        <v/>
      </c>
      <c r="AO1095" s="56"/>
      <c r="AP1095" s="57" t="str">
        <f t="shared" si="547"/>
        <v/>
      </c>
      <c r="AQ1095" s="56"/>
      <c r="AR1095" s="57" t="str">
        <f t="shared" si="548"/>
        <v/>
      </c>
      <c r="AS1095" s="56"/>
      <c r="AT1095" s="57" t="str">
        <f t="shared" si="549"/>
        <v/>
      </c>
      <c r="AU1095" s="58"/>
      <c r="AV1095" s="59"/>
      <c r="AW1095" s="59"/>
      <c r="AX1095" s="60"/>
      <c r="AY1095" s="61">
        <v>1</v>
      </c>
      <c r="AZ1095" s="62">
        <f t="shared" si="551"/>
        <v>1</v>
      </c>
      <c r="BA1095" s="61">
        <f t="shared" si="552"/>
        <v>0</v>
      </c>
      <c r="BB1095" s="62" t="str">
        <f t="shared" si="553"/>
        <v/>
      </c>
    </row>
    <row r="1096" spans="1:54" s="3" customFormat="1" hidden="1" x14ac:dyDescent="0.35">
      <c r="A1096" s="73">
        <f t="shared" si="530"/>
        <v>2019</v>
      </c>
      <c r="B1096" s="73" t="str">
        <f t="shared" si="531"/>
        <v>Nov</v>
      </c>
      <c r="C1096" s="74">
        <f t="shared" si="554"/>
        <v>17</v>
      </c>
      <c r="D1096" s="75">
        <f t="shared" si="532"/>
        <v>9</v>
      </c>
      <c r="E1096" s="76">
        <f t="shared" si="533"/>
        <v>30</v>
      </c>
      <c r="F1096" s="80"/>
      <c r="G1096" s="83"/>
      <c r="H1096" s="69" t="str">
        <f t="shared" si="555"/>
        <v>Senbur6_20191117_09_00</v>
      </c>
      <c r="I1096" s="70">
        <f t="shared" si="556"/>
        <v>1</v>
      </c>
      <c r="J1096" s="77" t="str">
        <f t="shared" si="556"/>
        <v>Senecio</v>
      </c>
      <c r="K1096" s="77" t="str">
        <f t="shared" si="556"/>
        <v>burtoni</v>
      </c>
      <c r="L1096" s="78">
        <f t="shared" si="556"/>
        <v>6</v>
      </c>
      <c r="M1096" s="78">
        <f t="shared" si="556"/>
        <v>12</v>
      </c>
      <c r="N1096" s="72">
        <f t="shared" si="556"/>
        <v>0</v>
      </c>
      <c r="O1096" s="45"/>
      <c r="P1096" s="46" t="str">
        <f t="shared" si="534"/>
        <v/>
      </c>
      <c r="Q1096" s="47" t="str">
        <f t="shared" si="535"/>
        <v/>
      </c>
      <c r="R1096" s="48" t="e">
        <f t="shared" si="536"/>
        <v>#VALUE!</v>
      </c>
      <c r="S1096" s="49" t="e">
        <f t="shared" si="529"/>
        <v>#VALUE!</v>
      </c>
      <c r="T1096" s="48" t="str">
        <f t="shared" si="537"/>
        <v/>
      </c>
      <c r="U1096" s="50"/>
      <c r="V1096" s="51"/>
      <c r="W1096" s="52" t="e">
        <f t="shared" si="538"/>
        <v>#VALUE!</v>
      </c>
      <c r="X1096" s="53"/>
      <c r="Y1096" s="53"/>
      <c r="Z1096" s="53"/>
      <c r="AA1096" s="48" t="e">
        <f>INDEX([1]!VISITORS[INSECT ORDER], MATCH(X1096,[1]!VISITORS[NAME USED],0))</f>
        <v>#REF!</v>
      </c>
      <c r="AB1096" s="48" t="e">
        <f t="shared" si="539"/>
        <v>#REF!</v>
      </c>
      <c r="AC1096" s="54" t="e">
        <f t="shared" si="540"/>
        <v>#VALUE!</v>
      </c>
      <c r="AD1096" s="55" t="str">
        <f t="shared" si="541"/>
        <v/>
      </c>
      <c r="AE1096" s="55"/>
      <c r="AF1096" s="55"/>
      <c r="AG1096" s="56" t="str">
        <f t="shared" si="542"/>
        <v/>
      </c>
      <c r="AH1096" s="57" t="str">
        <f t="shared" si="543"/>
        <v/>
      </c>
      <c r="AI1096" s="56"/>
      <c r="AJ1096" s="57" t="str">
        <f t="shared" si="544"/>
        <v/>
      </c>
      <c r="AK1096" s="56"/>
      <c r="AL1096" s="57" t="str">
        <f t="shared" si="545"/>
        <v/>
      </c>
      <c r="AM1096" s="56"/>
      <c r="AN1096" s="57" t="str">
        <f t="shared" si="546"/>
        <v/>
      </c>
      <c r="AO1096" s="56"/>
      <c r="AP1096" s="57" t="str">
        <f t="shared" si="547"/>
        <v/>
      </c>
      <c r="AQ1096" s="56"/>
      <c r="AR1096" s="57" t="str">
        <f t="shared" si="548"/>
        <v/>
      </c>
      <c r="AS1096" s="56"/>
      <c r="AT1096" s="57" t="str">
        <f t="shared" si="549"/>
        <v/>
      </c>
      <c r="AU1096" s="58"/>
      <c r="AV1096" s="59"/>
      <c r="AW1096" s="59"/>
      <c r="AX1096" s="60"/>
      <c r="AY1096" s="61" t="str">
        <f t="shared" si="550"/>
        <v/>
      </c>
      <c r="AZ1096" s="62" t="str">
        <f t="shared" si="551"/>
        <v/>
      </c>
      <c r="BA1096" s="61" t="str">
        <f t="shared" si="552"/>
        <v/>
      </c>
      <c r="BB1096" s="62" t="str">
        <f t="shared" si="553"/>
        <v/>
      </c>
    </row>
    <row r="1097" spans="1:54" s="3" customFormat="1" hidden="1" x14ac:dyDescent="0.35">
      <c r="A1097" s="73">
        <f t="shared" si="530"/>
        <v>2019</v>
      </c>
      <c r="B1097" s="73" t="str">
        <f t="shared" si="531"/>
        <v>Nov</v>
      </c>
      <c r="C1097" s="74">
        <f t="shared" si="554"/>
        <v>17</v>
      </c>
      <c r="D1097" s="75">
        <f t="shared" si="532"/>
        <v>9</v>
      </c>
      <c r="E1097" s="76">
        <f t="shared" si="533"/>
        <v>31</v>
      </c>
      <c r="F1097" s="80"/>
      <c r="G1097" s="83"/>
      <c r="H1097" s="69" t="str">
        <f t="shared" si="555"/>
        <v>Senbur6_20191117_09_00</v>
      </c>
      <c r="I1097" s="70">
        <f t="shared" si="556"/>
        <v>1</v>
      </c>
      <c r="J1097" s="77" t="str">
        <f t="shared" si="556"/>
        <v>Senecio</v>
      </c>
      <c r="K1097" s="77" t="str">
        <f t="shared" si="556"/>
        <v>burtoni</v>
      </c>
      <c r="L1097" s="78">
        <f t="shared" si="556"/>
        <v>6</v>
      </c>
      <c r="M1097" s="78">
        <f t="shared" si="556"/>
        <v>12</v>
      </c>
      <c r="N1097" s="72">
        <f t="shared" si="556"/>
        <v>0</v>
      </c>
      <c r="O1097" s="45"/>
      <c r="P1097" s="46" t="str">
        <f t="shared" si="534"/>
        <v/>
      </c>
      <c r="Q1097" s="47" t="str">
        <f t="shared" si="535"/>
        <v/>
      </c>
      <c r="R1097" s="48" t="e">
        <f t="shared" si="536"/>
        <v>#VALUE!</v>
      </c>
      <c r="S1097" s="49" t="e">
        <f t="shared" si="529"/>
        <v>#VALUE!</v>
      </c>
      <c r="T1097" s="48" t="str">
        <f t="shared" si="537"/>
        <v/>
      </c>
      <c r="U1097" s="50"/>
      <c r="V1097" s="51"/>
      <c r="W1097" s="52" t="e">
        <f t="shared" si="538"/>
        <v>#VALUE!</v>
      </c>
      <c r="X1097" s="53"/>
      <c r="Y1097" s="53"/>
      <c r="Z1097" s="53"/>
      <c r="AA1097" s="48" t="e">
        <f>INDEX([1]!VISITORS[INSECT ORDER], MATCH(X1097,[1]!VISITORS[NAME USED],0))</f>
        <v>#REF!</v>
      </c>
      <c r="AB1097" s="48" t="e">
        <f t="shared" si="539"/>
        <v>#REF!</v>
      </c>
      <c r="AC1097" s="54" t="e">
        <f t="shared" si="540"/>
        <v>#VALUE!</v>
      </c>
      <c r="AD1097" s="55" t="str">
        <f t="shared" si="541"/>
        <v/>
      </c>
      <c r="AE1097" s="55"/>
      <c r="AF1097" s="55"/>
      <c r="AG1097" s="56" t="str">
        <f t="shared" si="542"/>
        <v/>
      </c>
      <c r="AH1097" s="57" t="str">
        <f t="shared" si="543"/>
        <v/>
      </c>
      <c r="AI1097" s="56"/>
      <c r="AJ1097" s="57" t="str">
        <f t="shared" si="544"/>
        <v/>
      </c>
      <c r="AK1097" s="56"/>
      <c r="AL1097" s="57" t="str">
        <f t="shared" si="545"/>
        <v/>
      </c>
      <c r="AM1097" s="56"/>
      <c r="AN1097" s="57" t="str">
        <f t="shared" si="546"/>
        <v/>
      </c>
      <c r="AO1097" s="56"/>
      <c r="AP1097" s="57" t="str">
        <f t="shared" si="547"/>
        <v/>
      </c>
      <c r="AQ1097" s="56"/>
      <c r="AR1097" s="57" t="str">
        <f t="shared" si="548"/>
        <v/>
      </c>
      <c r="AS1097" s="56"/>
      <c r="AT1097" s="57" t="str">
        <f t="shared" si="549"/>
        <v/>
      </c>
      <c r="AU1097" s="58"/>
      <c r="AV1097" s="59"/>
      <c r="AW1097" s="59"/>
      <c r="AX1097" s="60"/>
      <c r="AY1097" s="61" t="str">
        <f t="shared" si="550"/>
        <v/>
      </c>
      <c r="AZ1097" s="62" t="str">
        <f t="shared" si="551"/>
        <v/>
      </c>
      <c r="BA1097" s="61" t="str">
        <f t="shared" si="552"/>
        <v/>
      </c>
      <c r="BB1097" s="62" t="str">
        <f t="shared" si="553"/>
        <v/>
      </c>
    </row>
    <row r="1098" spans="1:54" s="3" customFormat="1" hidden="1" x14ac:dyDescent="0.35">
      <c r="A1098" s="73">
        <f t="shared" si="530"/>
        <v>2019</v>
      </c>
      <c r="B1098" s="73" t="str">
        <f t="shared" si="531"/>
        <v>Nov</v>
      </c>
      <c r="C1098" s="74">
        <f t="shared" si="554"/>
        <v>17</v>
      </c>
      <c r="D1098" s="75">
        <f t="shared" si="532"/>
        <v>9</v>
      </c>
      <c r="E1098" s="76">
        <f t="shared" si="533"/>
        <v>32</v>
      </c>
      <c r="F1098" s="80"/>
      <c r="G1098" s="83"/>
      <c r="H1098" s="69" t="str">
        <f t="shared" si="555"/>
        <v>Senbur6_20191117_09_00</v>
      </c>
      <c r="I1098" s="70">
        <f t="shared" si="556"/>
        <v>1</v>
      </c>
      <c r="J1098" s="77" t="str">
        <f t="shared" si="556"/>
        <v>Senecio</v>
      </c>
      <c r="K1098" s="77" t="str">
        <f t="shared" si="556"/>
        <v>burtoni</v>
      </c>
      <c r="L1098" s="78">
        <f t="shared" si="556"/>
        <v>6</v>
      </c>
      <c r="M1098" s="78">
        <f t="shared" si="556"/>
        <v>12</v>
      </c>
      <c r="N1098" s="72">
        <f t="shared" si="556"/>
        <v>0</v>
      </c>
      <c r="O1098" s="45"/>
      <c r="P1098" s="46" t="str">
        <f t="shared" si="534"/>
        <v/>
      </c>
      <c r="Q1098" s="47" t="str">
        <f t="shared" si="535"/>
        <v/>
      </c>
      <c r="R1098" s="48" t="e">
        <f t="shared" si="536"/>
        <v>#VALUE!</v>
      </c>
      <c r="S1098" s="49" t="e">
        <f t="shared" si="529"/>
        <v>#VALUE!</v>
      </c>
      <c r="T1098" s="48" t="str">
        <f t="shared" si="537"/>
        <v/>
      </c>
      <c r="U1098" s="50"/>
      <c r="V1098" s="51"/>
      <c r="W1098" s="52" t="e">
        <f t="shared" si="538"/>
        <v>#VALUE!</v>
      </c>
      <c r="X1098" s="53"/>
      <c r="Y1098" s="53"/>
      <c r="Z1098" s="53"/>
      <c r="AA1098" s="48" t="e">
        <f>INDEX([1]!VISITORS[INSECT ORDER], MATCH(X1098,[1]!VISITORS[NAME USED],0))</f>
        <v>#REF!</v>
      </c>
      <c r="AB1098" s="48" t="e">
        <f t="shared" si="539"/>
        <v>#REF!</v>
      </c>
      <c r="AC1098" s="54" t="e">
        <f t="shared" si="540"/>
        <v>#VALUE!</v>
      </c>
      <c r="AD1098" s="55" t="str">
        <f t="shared" si="541"/>
        <v/>
      </c>
      <c r="AE1098" s="55"/>
      <c r="AF1098" s="55"/>
      <c r="AG1098" s="56" t="str">
        <f t="shared" si="542"/>
        <v/>
      </c>
      <c r="AH1098" s="57" t="str">
        <f t="shared" si="543"/>
        <v/>
      </c>
      <c r="AI1098" s="56"/>
      <c r="AJ1098" s="57" t="str">
        <f t="shared" si="544"/>
        <v/>
      </c>
      <c r="AK1098" s="56"/>
      <c r="AL1098" s="57" t="str">
        <f t="shared" si="545"/>
        <v/>
      </c>
      <c r="AM1098" s="56"/>
      <c r="AN1098" s="57" t="str">
        <f t="shared" si="546"/>
        <v/>
      </c>
      <c r="AO1098" s="56"/>
      <c r="AP1098" s="57" t="str">
        <f t="shared" si="547"/>
        <v/>
      </c>
      <c r="AQ1098" s="56"/>
      <c r="AR1098" s="57" t="str">
        <f t="shared" si="548"/>
        <v/>
      </c>
      <c r="AS1098" s="56"/>
      <c r="AT1098" s="57" t="str">
        <f t="shared" si="549"/>
        <v/>
      </c>
      <c r="AU1098" s="58"/>
      <c r="AV1098" s="59"/>
      <c r="AW1098" s="59"/>
      <c r="AX1098" s="60"/>
      <c r="AY1098" s="61" t="str">
        <f t="shared" si="550"/>
        <v/>
      </c>
      <c r="AZ1098" s="62" t="str">
        <f t="shared" si="551"/>
        <v/>
      </c>
      <c r="BA1098" s="61" t="str">
        <f t="shared" si="552"/>
        <v/>
      </c>
      <c r="BB1098" s="62" t="str">
        <f t="shared" si="553"/>
        <v/>
      </c>
    </row>
    <row r="1099" spans="1:54" s="3" customFormat="1" hidden="1" x14ac:dyDescent="0.35">
      <c r="A1099" s="73">
        <f t="shared" si="530"/>
        <v>2019</v>
      </c>
      <c r="B1099" s="73" t="str">
        <f t="shared" si="531"/>
        <v>Nov</v>
      </c>
      <c r="C1099" s="74">
        <f t="shared" si="554"/>
        <v>17</v>
      </c>
      <c r="D1099" s="75">
        <f t="shared" si="532"/>
        <v>9</v>
      </c>
      <c r="E1099" s="76">
        <f t="shared" si="533"/>
        <v>33</v>
      </c>
      <c r="F1099" s="80">
        <v>5</v>
      </c>
      <c r="G1099" s="83"/>
      <c r="H1099" s="69" t="str">
        <f t="shared" si="555"/>
        <v>Senbur6_20191117_09_00</v>
      </c>
      <c r="I1099" s="70">
        <f t="shared" si="556"/>
        <v>1</v>
      </c>
      <c r="J1099" s="77" t="str">
        <f t="shared" si="556"/>
        <v>Senecio</v>
      </c>
      <c r="K1099" s="77" t="str">
        <f t="shared" si="556"/>
        <v>burtoni</v>
      </c>
      <c r="L1099" s="78">
        <f t="shared" si="556"/>
        <v>6</v>
      </c>
      <c r="M1099" s="78">
        <f t="shared" si="556"/>
        <v>12</v>
      </c>
      <c r="N1099" s="72">
        <f t="shared" si="556"/>
        <v>0</v>
      </c>
      <c r="O1099" s="45"/>
      <c r="P1099" s="46">
        <f t="shared" si="534"/>
        <v>1</v>
      </c>
      <c r="Q1099" s="47" t="str">
        <f t="shared" si="535"/>
        <v>09:33:05</v>
      </c>
      <c r="R1099" s="48" t="str">
        <f t="shared" si="536"/>
        <v>33:05</v>
      </c>
      <c r="S1099" s="49">
        <f t="shared" si="529"/>
        <v>4</v>
      </c>
      <c r="T1099" s="48" t="str">
        <f t="shared" si="537"/>
        <v>09</v>
      </c>
      <c r="U1099" s="50">
        <v>33</v>
      </c>
      <c r="V1099" s="51">
        <v>9</v>
      </c>
      <c r="W1099" s="52" t="str">
        <f t="shared" si="538"/>
        <v>33:09</v>
      </c>
      <c r="X1099" s="53" t="s">
        <v>61</v>
      </c>
      <c r="Y1099" s="97" t="s">
        <v>87</v>
      </c>
      <c r="Z1099" s="97"/>
      <c r="AA1099" s="48" t="s">
        <v>63</v>
      </c>
      <c r="AB1099" s="48" t="str">
        <f t="shared" si="539"/>
        <v>NA</v>
      </c>
      <c r="AC1099" s="54">
        <f t="shared" si="540"/>
        <v>0</v>
      </c>
      <c r="AD1099" s="55">
        <f t="shared" si="541"/>
        <v>1</v>
      </c>
      <c r="AE1099" s="55"/>
      <c r="AF1099" s="55"/>
      <c r="AG1099" s="56">
        <v>1</v>
      </c>
      <c r="AH1099" s="57">
        <f t="shared" si="543"/>
        <v>4</v>
      </c>
      <c r="AI1099" s="56"/>
      <c r="AJ1099" s="57" t="str">
        <f t="shared" si="544"/>
        <v/>
      </c>
      <c r="AK1099" s="56"/>
      <c r="AL1099" s="57" t="str">
        <f t="shared" si="545"/>
        <v/>
      </c>
      <c r="AM1099" s="56"/>
      <c r="AN1099" s="57" t="str">
        <f t="shared" si="546"/>
        <v/>
      </c>
      <c r="AO1099" s="56"/>
      <c r="AP1099" s="57" t="str">
        <f t="shared" si="547"/>
        <v/>
      </c>
      <c r="AQ1099" s="56"/>
      <c r="AR1099" s="57" t="str">
        <f t="shared" si="548"/>
        <v/>
      </c>
      <c r="AS1099" s="56"/>
      <c r="AT1099" s="57" t="str">
        <f t="shared" si="549"/>
        <v/>
      </c>
      <c r="AU1099" s="58"/>
      <c r="AV1099" s="59"/>
      <c r="AW1099" s="59"/>
      <c r="AX1099" s="60"/>
      <c r="AY1099" s="61">
        <f t="shared" si="550"/>
        <v>0</v>
      </c>
      <c r="AZ1099" s="62" t="str">
        <f t="shared" si="551"/>
        <v/>
      </c>
      <c r="BA1099" s="61">
        <f t="shared" si="552"/>
        <v>0</v>
      </c>
      <c r="BB1099" s="62" t="str">
        <f t="shared" si="553"/>
        <v/>
      </c>
    </row>
    <row r="1100" spans="1:54" s="3" customFormat="1" hidden="1" x14ac:dyDescent="0.35">
      <c r="A1100" s="73">
        <f t="shared" si="530"/>
        <v>2019</v>
      </c>
      <c r="B1100" s="73" t="str">
        <f t="shared" si="531"/>
        <v>Nov</v>
      </c>
      <c r="C1100" s="74">
        <f t="shared" si="554"/>
        <v>17</v>
      </c>
      <c r="D1100" s="75">
        <f t="shared" si="532"/>
        <v>9</v>
      </c>
      <c r="E1100" s="76">
        <f t="shared" si="533"/>
        <v>34</v>
      </c>
      <c r="F1100" s="80"/>
      <c r="G1100" s="83"/>
      <c r="H1100" s="69" t="str">
        <f t="shared" si="555"/>
        <v>Senbur6_20191117_09_00</v>
      </c>
      <c r="I1100" s="70">
        <f t="shared" si="556"/>
        <v>1</v>
      </c>
      <c r="J1100" s="77" t="str">
        <f t="shared" si="556"/>
        <v>Senecio</v>
      </c>
      <c r="K1100" s="77" t="str">
        <f t="shared" si="556"/>
        <v>burtoni</v>
      </c>
      <c r="L1100" s="78">
        <f t="shared" si="556"/>
        <v>6</v>
      </c>
      <c r="M1100" s="78">
        <f t="shared" si="556"/>
        <v>12</v>
      </c>
      <c r="N1100" s="72">
        <f t="shared" si="556"/>
        <v>0</v>
      </c>
      <c r="O1100" s="45"/>
      <c r="P1100" s="46" t="str">
        <f t="shared" si="534"/>
        <v/>
      </c>
      <c r="Q1100" s="47" t="str">
        <f t="shared" si="535"/>
        <v/>
      </c>
      <c r="R1100" s="48" t="e">
        <f t="shared" si="536"/>
        <v>#VALUE!</v>
      </c>
      <c r="S1100" s="49" t="e">
        <f t="shared" si="529"/>
        <v>#VALUE!</v>
      </c>
      <c r="T1100" s="48" t="str">
        <f t="shared" si="537"/>
        <v/>
      </c>
      <c r="U1100" s="50"/>
      <c r="V1100" s="51"/>
      <c r="W1100" s="52" t="e">
        <f t="shared" si="538"/>
        <v>#VALUE!</v>
      </c>
      <c r="X1100" s="53"/>
      <c r="Y1100" s="53"/>
      <c r="Z1100" s="53"/>
      <c r="AA1100" s="48" t="e">
        <f>INDEX([1]!VISITORS[INSECT ORDER], MATCH(X1100,[1]!VISITORS[NAME USED],0))</f>
        <v>#REF!</v>
      </c>
      <c r="AB1100" s="48" t="e">
        <f t="shared" si="539"/>
        <v>#REF!</v>
      </c>
      <c r="AC1100" s="54" t="e">
        <f t="shared" si="540"/>
        <v>#VALUE!</v>
      </c>
      <c r="AD1100" s="55" t="str">
        <f t="shared" si="541"/>
        <v/>
      </c>
      <c r="AE1100" s="55"/>
      <c r="AF1100" s="55"/>
      <c r="AG1100" s="56" t="str">
        <f t="shared" si="542"/>
        <v/>
      </c>
      <c r="AH1100" s="57" t="str">
        <f t="shared" si="543"/>
        <v/>
      </c>
      <c r="AI1100" s="56"/>
      <c r="AJ1100" s="57" t="str">
        <f t="shared" si="544"/>
        <v/>
      </c>
      <c r="AK1100" s="56"/>
      <c r="AL1100" s="57" t="str">
        <f t="shared" si="545"/>
        <v/>
      </c>
      <c r="AM1100" s="56"/>
      <c r="AN1100" s="57" t="str">
        <f t="shared" si="546"/>
        <v/>
      </c>
      <c r="AO1100" s="56"/>
      <c r="AP1100" s="57" t="str">
        <f t="shared" si="547"/>
        <v/>
      </c>
      <c r="AQ1100" s="56"/>
      <c r="AR1100" s="57" t="str">
        <f t="shared" si="548"/>
        <v/>
      </c>
      <c r="AS1100" s="56"/>
      <c r="AT1100" s="57" t="str">
        <f t="shared" si="549"/>
        <v/>
      </c>
      <c r="AU1100" s="58"/>
      <c r="AV1100" s="59"/>
      <c r="AW1100" s="59"/>
      <c r="AX1100" s="60"/>
      <c r="AY1100" s="61" t="str">
        <f t="shared" si="550"/>
        <v/>
      </c>
      <c r="AZ1100" s="62" t="str">
        <f t="shared" si="551"/>
        <v/>
      </c>
      <c r="BA1100" s="61" t="str">
        <f t="shared" si="552"/>
        <v/>
      </c>
      <c r="BB1100" s="62" t="str">
        <f t="shared" si="553"/>
        <v/>
      </c>
    </row>
    <row r="1101" spans="1:54" s="3" customFormat="1" hidden="1" x14ac:dyDescent="0.35">
      <c r="A1101" s="73">
        <f t="shared" si="530"/>
        <v>2019</v>
      </c>
      <c r="B1101" s="73" t="str">
        <f t="shared" si="531"/>
        <v>Nov</v>
      </c>
      <c r="C1101" s="74">
        <f t="shared" si="554"/>
        <v>17</v>
      </c>
      <c r="D1101" s="75">
        <f t="shared" si="532"/>
        <v>9</v>
      </c>
      <c r="E1101" s="76">
        <f t="shared" si="533"/>
        <v>35</v>
      </c>
      <c r="F1101" s="80"/>
      <c r="G1101" s="83"/>
      <c r="H1101" s="69" t="str">
        <f t="shared" si="555"/>
        <v>Senbur6_20191117_09_00</v>
      </c>
      <c r="I1101" s="70">
        <f t="shared" si="556"/>
        <v>1</v>
      </c>
      <c r="J1101" s="77" t="str">
        <f t="shared" si="556"/>
        <v>Senecio</v>
      </c>
      <c r="K1101" s="77" t="str">
        <f t="shared" si="556"/>
        <v>burtoni</v>
      </c>
      <c r="L1101" s="78">
        <f t="shared" si="556"/>
        <v>6</v>
      </c>
      <c r="M1101" s="78">
        <f t="shared" si="556"/>
        <v>12</v>
      </c>
      <c r="N1101" s="72">
        <f t="shared" si="556"/>
        <v>0</v>
      </c>
      <c r="O1101" s="45"/>
      <c r="P1101" s="46" t="str">
        <f t="shared" si="534"/>
        <v/>
      </c>
      <c r="Q1101" s="47" t="str">
        <f t="shared" si="535"/>
        <v/>
      </c>
      <c r="R1101" s="48" t="e">
        <f t="shared" si="536"/>
        <v>#VALUE!</v>
      </c>
      <c r="S1101" s="49" t="e">
        <f t="shared" si="529"/>
        <v>#VALUE!</v>
      </c>
      <c r="T1101" s="48" t="str">
        <f t="shared" si="537"/>
        <v/>
      </c>
      <c r="U1101" s="50"/>
      <c r="V1101" s="51"/>
      <c r="W1101" s="52" t="e">
        <f t="shared" si="538"/>
        <v>#VALUE!</v>
      </c>
      <c r="X1101" s="53"/>
      <c r="Y1101" s="53"/>
      <c r="Z1101" s="53"/>
      <c r="AA1101" s="48" t="e">
        <f>INDEX([1]!VISITORS[INSECT ORDER], MATCH(X1101,[1]!VISITORS[NAME USED],0))</f>
        <v>#REF!</v>
      </c>
      <c r="AB1101" s="48" t="e">
        <f t="shared" si="539"/>
        <v>#REF!</v>
      </c>
      <c r="AC1101" s="54" t="e">
        <f t="shared" si="540"/>
        <v>#VALUE!</v>
      </c>
      <c r="AD1101" s="55" t="str">
        <f t="shared" si="541"/>
        <v/>
      </c>
      <c r="AE1101" s="55"/>
      <c r="AF1101" s="55"/>
      <c r="AG1101" s="56" t="str">
        <f t="shared" si="542"/>
        <v/>
      </c>
      <c r="AH1101" s="57" t="str">
        <f t="shared" si="543"/>
        <v/>
      </c>
      <c r="AI1101" s="56"/>
      <c r="AJ1101" s="57" t="str">
        <f t="shared" si="544"/>
        <v/>
      </c>
      <c r="AK1101" s="56"/>
      <c r="AL1101" s="57" t="str">
        <f t="shared" si="545"/>
        <v/>
      </c>
      <c r="AM1101" s="56"/>
      <c r="AN1101" s="57" t="str">
        <f t="shared" si="546"/>
        <v/>
      </c>
      <c r="AO1101" s="56"/>
      <c r="AP1101" s="57" t="str">
        <f t="shared" si="547"/>
        <v/>
      </c>
      <c r="AQ1101" s="56"/>
      <c r="AR1101" s="57" t="str">
        <f t="shared" si="548"/>
        <v/>
      </c>
      <c r="AS1101" s="56"/>
      <c r="AT1101" s="57" t="str">
        <f t="shared" si="549"/>
        <v/>
      </c>
      <c r="AU1101" s="58"/>
      <c r="AV1101" s="59"/>
      <c r="AW1101" s="59"/>
      <c r="AX1101" s="60"/>
      <c r="AY1101" s="61" t="str">
        <f t="shared" si="550"/>
        <v/>
      </c>
      <c r="AZ1101" s="62" t="str">
        <f t="shared" si="551"/>
        <v/>
      </c>
      <c r="BA1101" s="61" t="str">
        <f t="shared" si="552"/>
        <v/>
      </c>
      <c r="BB1101" s="62" t="str">
        <f t="shared" si="553"/>
        <v/>
      </c>
    </row>
    <row r="1102" spans="1:54" s="3" customFormat="1" hidden="1" x14ac:dyDescent="0.35">
      <c r="A1102" s="73">
        <f t="shared" si="530"/>
        <v>2019</v>
      </c>
      <c r="B1102" s="73" t="str">
        <f t="shared" si="531"/>
        <v>Nov</v>
      </c>
      <c r="C1102" s="74">
        <f t="shared" si="554"/>
        <v>17</v>
      </c>
      <c r="D1102" s="75">
        <f t="shared" si="532"/>
        <v>9</v>
      </c>
      <c r="E1102" s="76">
        <f t="shared" si="533"/>
        <v>36</v>
      </c>
      <c r="F1102" s="80"/>
      <c r="G1102" s="83"/>
      <c r="H1102" s="69" t="str">
        <f t="shared" si="555"/>
        <v>Senbur6_20191117_09_00</v>
      </c>
      <c r="I1102" s="70">
        <f t="shared" si="556"/>
        <v>1</v>
      </c>
      <c r="J1102" s="77" t="str">
        <f t="shared" si="556"/>
        <v>Senecio</v>
      </c>
      <c r="K1102" s="77" t="str">
        <f t="shared" si="556"/>
        <v>burtoni</v>
      </c>
      <c r="L1102" s="78">
        <f t="shared" si="556"/>
        <v>6</v>
      </c>
      <c r="M1102" s="78">
        <f t="shared" si="556"/>
        <v>12</v>
      </c>
      <c r="N1102" s="72">
        <f t="shared" si="556"/>
        <v>0</v>
      </c>
      <c r="O1102" s="45"/>
      <c r="P1102" s="46" t="str">
        <f t="shared" si="534"/>
        <v/>
      </c>
      <c r="Q1102" s="47" t="str">
        <f t="shared" si="535"/>
        <v/>
      </c>
      <c r="R1102" s="48" t="e">
        <f t="shared" si="536"/>
        <v>#VALUE!</v>
      </c>
      <c r="S1102" s="49" t="e">
        <f t="shared" si="529"/>
        <v>#VALUE!</v>
      </c>
      <c r="T1102" s="48" t="str">
        <f t="shared" si="537"/>
        <v/>
      </c>
      <c r="U1102" s="50"/>
      <c r="V1102" s="51"/>
      <c r="W1102" s="52" t="e">
        <f t="shared" si="538"/>
        <v>#VALUE!</v>
      </c>
      <c r="X1102" s="53"/>
      <c r="Y1102" s="53"/>
      <c r="Z1102" s="53"/>
      <c r="AA1102" s="48" t="e">
        <f>INDEX([1]!VISITORS[INSECT ORDER], MATCH(X1102,[1]!VISITORS[NAME USED],0))</f>
        <v>#REF!</v>
      </c>
      <c r="AB1102" s="48" t="e">
        <f t="shared" si="539"/>
        <v>#REF!</v>
      </c>
      <c r="AC1102" s="54" t="e">
        <f t="shared" si="540"/>
        <v>#VALUE!</v>
      </c>
      <c r="AD1102" s="55" t="str">
        <f t="shared" si="541"/>
        <v/>
      </c>
      <c r="AE1102" s="55"/>
      <c r="AF1102" s="55"/>
      <c r="AG1102" s="56" t="str">
        <f t="shared" si="542"/>
        <v/>
      </c>
      <c r="AH1102" s="57" t="str">
        <f t="shared" si="543"/>
        <v/>
      </c>
      <c r="AI1102" s="56"/>
      <c r="AJ1102" s="57" t="str">
        <f t="shared" si="544"/>
        <v/>
      </c>
      <c r="AK1102" s="56"/>
      <c r="AL1102" s="57" t="str">
        <f t="shared" si="545"/>
        <v/>
      </c>
      <c r="AM1102" s="56"/>
      <c r="AN1102" s="57" t="str">
        <f t="shared" si="546"/>
        <v/>
      </c>
      <c r="AO1102" s="56"/>
      <c r="AP1102" s="57" t="str">
        <f t="shared" si="547"/>
        <v/>
      </c>
      <c r="AQ1102" s="56"/>
      <c r="AR1102" s="57" t="str">
        <f t="shared" si="548"/>
        <v/>
      </c>
      <c r="AS1102" s="56"/>
      <c r="AT1102" s="57" t="str">
        <f t="shared" si="549"/>
        <v/>
      </c>
      <c r="AU1102" s="58"/>
      <c r="AV1102" s="59"/>
      <c r="AW1102" s="59"/>
      <c r="AX1102" s="60"/>
      <c r="AY1102" s="61" t="str">
        <f t="shared" si="550"/>
        <v/>
      </c>
      <c r="AZ1102" s="62" t="str">
        <f t="shared" si="551"/>
        <v/>
      </c>
      <c r="BA1102" s="61" t="str">
        <f t="shared" si="552"/>
        <v/>
      </c>
      <c r="BB1102" s="62" t="str">
        <f t="shared" si="553"/>
        <v/>
      </c>
    </row>
    <row r="1103" spans="1:54" s="3" customFormat="1" hidden="1" x14ac:dyDescent="0.35">
      <c r="A1103" s="73">
        <f t="shared" si="530"/>
        <v>2019</v>
      </c>
      <c r="B1103" s="73" t="str">
        <f t="shared" si="531"/>
        <v>Nov</v>
      </c>
      <c r="C1103" s="74">
        <f t="shared" si="554"/>
        <v>17</v>
      </c>
      <c r="D1103" s="75">
        <f t="shared" si="532"/>
        <v>9</v>
      </c>
      <c r="E1103" s="76">
        <f t="shared" si="533"/>
        <v>37</v>
      </c>
      <c r="F1103" s="80"/>
      <c r="G1103" s="83"/>
      <c r="H1103" s="69" t="str">
        <f t="shared" si="555"/>
        <v>Senbur6_20191117_09_00</v>
      </c>
      <c r="I1103" s="70">
        <f t="shared" si="556"/>
        <v>1</v>
      </c>
      <c r="J1103" s="77" t="str">
        <f t="shared" si="556"/>
        <v>Senecio</v>
      </c>
      <c r="K1103" s="77" t="str">
        <f t="shared" si="556"/>
        <v>burtoni</v>
      </c>
      <c r="L1103" s="78">
        <f t="shared" si="556"/>
        <v>6</v>
      </c>
      <c r="M1103" s="78">
        <f t="shared" si="556"/>
        <v>12</v>
      </c>
      <c r="N1103" s="72">
        <f t="shared" si="556"/>
        <v>0</v>
      </c>
      <c r="O1103" s="45"/>
      <c r="P1103" s="46" t="str">
        <f t="shared" si="534"/>
        <v/>
      </c>
      <c r="Q1103" s="47" t="str">
        <f t="shared" si="535"/>
        <v/>
      </c>
      <c r="R1103" s="48" t="e">
        <f t="shared" si="536"/>
        <v>#VALUE!</v>
      </c>
      <c r="S1103" s="49" t="e">
        <f t="shared" si="529"/>
        <v>#VALUE!</v>
      </c>
      <c r="T1103" s="48" t="str">
        <f t="shared" si="537"/>
        <v/>
      </c>
      <c r="U1103" s="50"/>
      <c r="V1103" s="51"/>
      <c r="W1103" s="52" t="e">
        <f t="shared" si="538"/>
        <v>#VALUE!</v>
      </c>
      <c r="X1103" s="53"/>
      <c r="Y1103" s="53"/>
      <c r="Z1103" s="53"/>
      <c r="AA1103" s="48" t="e">
        <f>INDEX([1]!VISITORS[INSECT ORDER], MATCH(X1103,[1]!VISITORS[NAME USED],0))</f>
        <v>#REF!</v>
      </c>
      <c r="AB1103" s="48" t="e">
        <f t="shared" si="539"/>
        <v>#REF!</v>
      </c>
      <c r="AC1103" s="54" t="e">
        <f t="shared" si="540"/>
        <v>#VALUE!</v>
      </c>
      <c r="AD1103" s="55" t="str">
        <f t="shared" si="541"/>
        <v/>
      </c>
      <c r="AE1103" s="55"/>
      <c r="AF1103" s="55"/>
      <c r="AG1103" s="56" t="str">
        <f t="shared" si="542"/>
        <v/>
      </c>
      <c r="AH1103" s="57" t="str">
        <f t="shared" si="543"/>
        <v/>
      </c>
      <c r="AI1103" s="56"/>
      <c r="AJ1103" s="57" t="str">
        <f t="shared" si="544"/>
        <v/>
      </c>
      <c r="AK1103" s="56"/>
      <c r="AL1103" s="57" t="str">
        <f t="shared" si="545"/>
        <v/>
      </c>
      <c r="AM1103" s="56"/>
      <c r="AN1103" s="57" t="str">
        <f t="shared" si="546"/>
        <v/>
      </c>
      <c r="AO1103" s="56"/>
      <c r="AP1103" s="57" t="str">
        <f t="shared" si="547"/>
        <v/>
      </c>
      <c r="AQ1103" s="56"/>
      <c r="AR1103" s="57" t="str">
        <f t="shared" si="548"/>
        <v/>
      </c>
      <c r="AS1103" s="56"/>
      <c r="AT1103" s="57" t="str">
        <f t="shared" si="549"/>
        <v/>
      </c>
      <c r="AU1103" s="58"/>
      <c r="AV1103" s="59"/>
      <c r="AW1103" s="59"/>
      <c r="AX1103" s="60"/>
      <c r="AY1103" s="61" t="str">
        <f t="shared" si="550"/>
        <v/>
      </c>
      <c r="AZ1103" s="62" t="str">
        <f t="shared" si="551"/>
        <v/>
      </c>
      <c r="BA1103" s="61" t="str">
        <f t="shared" si="552"/>
        <v/>
      </c>
      <c r="BB1103" s="62" t="str">
        <f t="shared" si="553"/>
        <v/>
      </c>
    </row>
    <row r="1104" spans="1:54" s="3" customFormat="1" hidden="1" x14ac:dyDescent="0.35">
      <c r="A1104" s="73">
        <f t="shared" si="530"/>
        <v>2019</v>
      </c>
      <c r="B1104" s="73" t="str">
        <f t="shared" si="531"/>
        <v>Nov</v>
      </c>
      <c r="C1104" s="74">
        <f t="shared" si="554"/>
        <v>17</v>
      </c>
      <c r="D1104" s="75">
        <f t="shared" si="532"/>
        <v>9</v>
      </c>
      <c r="E1104" s="76">
        <f t="shared" si="533"/>
        <v>38</v>
      </c>
      <c r="F1104" s="80"/>
      <c r="G1104" s="83"/>
      <c r="H1104" s="69" t="str">
        <f t="shared" si="555"/>
        <v>Senbur6_20191117_09_00</v>
      </c>
      <c r="I1104" s="70">
        <f t="shared" si="556"/>
        <v>1</v>
      </c>
      <c r="J1104" s="77" t="str">
        <f t="shared" si="556"/>
        <v>Senecio</v>
      </c>
      <c r="K1104" s="77" t="str">
        <f t="shared" si="556"/>
        <v>burtoni</v>
      </c>
      <c r="L1104" s="78">
        <f t="shared" si="556"/>
        <v>6</v>
      </c>
      <c r="M1104" s="78">
        <f t="shared" si="556"/>
        <v>12</v>
      </c>
      <c r="N1104" s="72">
        <f t="shared" si="556"/>
        <v>0</v>
      </c>
      <c r="O1104" s="45"/>
      <c r="P1104" s="46" t="str">
        <f t="shared" si="534"/>
        <v/>
      </c>
      <c r="Q1104" s="47" t="str">
        <f t="shared" si="535"/>
        <v/>
      </c>
      <c r="R1104" s="48" t="e">
        <f t="shared" si="536"/>
        <v>#VALUE!</v>
      </c>
      <c r="S1104" s="49" t="e">
        <f t="shared" si="529"/>
        <v>#VALUE!</v>
      </c>
      <c r="T1104" s="48" t="str">
        <f t="shared" si="537"/>
        <v/>
      </c>
      <c r="U1104" s="50"/>
      <c r="V1104" s="51"/>
      <c r="W1104" s="52" t="e">
        <f t="shared" si="538"/>
        <v>#VALUE!</v>
      </c>
      <c r="X1104" s="53"/>
      <c r="Y1104" s="53"/>
      <c r="Z1104" s="53"/>
      <c r="AA1104" s="48" t="e">
        <f>INDEX([1]!VISITORS[INSECT ORDER], MATCH(X1104,[1]!VISITORS[NAME USED],0))</f>
        <v>#REF!</v>
      </c>
      <c r="AB1104" s="48" t="e">
        <f t="shared" si="539"/>
        <v>#REF!</v>
      </c>
      <c r="AC1104" s="54" t="e">
        <f t="shared" si="540"/>
        <v>#VALUE!</v>
      </c>
      <c r="AD1104" s="55" t="str">
        <f t="shared" si="541"/>
        <v/>
      </c>
      <c r="AE1104" s="55"/>
      <c r="AF1104" s="55"/>
      <c r="AG1104" s="56" t="str">
        <f t="shared" si="542"/>
        <v/>
      </c>
      <c r="AH1104" s="57" t="str">
        <f t="shared" si="543"/>
        <v/>
      </c>
      <c r="AI1104" s="56"/>
      <c r="AJ1104" s="57" t="str">
        <f t="shared" si="544"/>
        <v/>
      </c>
      <c r="AK1104" s="56"/>
      <c r="AL1104" s="57" t="str">
        <f t="shared" si="545"/>
        <v/>
      </c>
      <c r="AM1104" s="56"/>
      <c r="AN1104" s="57" t="str">
        <f t="shared" si="546"/>
        <v/>
      </c>
      <c r="AO1104" s="56"/>
      <c r="AP1104" s="57" t="str">
        <f t="shared" si="547"/>
        <v/>
      </c>
      <c r="AQ1104" s="56"/>
      <c r="AR1104" s="57" t="str">
        <f t="shared" si="548"/>
        <v/>
      </c>
      <c r="AS1104" s="56"/>
      <c r="AT1104" s="57" t="str">
        <f t="shared" si="549"/>
        <v/>
      </c>
      <c r="AU1104" s="58"/>
      <c r="AV1104" s="59"/>
      <c r="AW1104" s="59"/>
      <c r="AX1104" s="60"/>
      <c r="AY1104" s="61" t="str">
        <f t="shared" si="550"/>
        <v/>
      </c>
      <c r="AZ1104" s="62" t="str">
        <f t="shared" si="551"/>
        <v/>
      </c>
      <c r="BA1104" s="61" t="str">
        <f t="shared" si="552"/>
        <v/>
      </c>
      <c r="BB1104" s="62" t="str">
        <f t="shared" si="553"/>
        <v/>
      </c>
    </row>
    <row r="1105" spans="1:54" s="3" customFormat="1" hidden="1" x14ac:dyDescent="0.35">
      <c r="A1105" s="73">
        <f t="shared" si="530"/>
        <v>2019</v>
      </c>
      <c r="B1105" s="73" t="str">
        <f t="shared" si="531"/>
        <v>Nov</v>
      </c>
      <c r="C1105" s="74">
        <f t="shared" si="554"/>
        <v>17</v>
      </c>
      <c r="D1105" s="75">
        <f t="shared" si="532"/>
        <v>9</v>
      </c>
      <c r="E1105" s="76">
        <f t="shared" si="533"/>
        <v>39</v>
      </c>
      <c r="F1105" s="80"/>
      <c r="G1105" s="83"/>
      <c r="H1105" s="69" t="str">
        <f t="shared" si="555"/>
        <v>Senbur6_20191117_09_00</v>
      </c>
      <c r="I1105" s="70">
        <f t="shared" si="556"/>
        <v>1</v>
      </c>
      <c r="J1105" s="77" t="str">
        <f t="shared" si="556"/>
        <v>Senecio</v>
      </c>
      <c r="K1105" s="77" t="str">
        <f t="shared" si="556"/>
        <v>burtoni</v>
      </c>
      <c r="L1105" s="78">
        <f t="shared" si="556"/>
        <v>6</v>
      </c>
      <c r="M1105" s="78">
        <f t="shared" si="556"/>
        <v>12</v>
      </c>
      <c r="N1105" s="72">
        <f t="shared" si="556"/>
        <v>0</v>
      </c>
      <c r="O1105" s="45"/>
      <c r="P1105" s="46" t="str">
        <f t="shared" si="534"/>
        <v/>
      </c>
      <c r="Q1105" s="47" t="str">
        <f t="shared" si="535"/>
        <v/>
      </c>
      <c r="R1105" s="48" t="e">
        <f t="shared" si="536"/>
        <v>#VALUE!</v>
      </c>
      <c r="S1105" s="49" t="e">
        <f t="shared" si="529"/>
        <v>#VALUE!</v>
      </c>
      <c r="T1105" s="48" t="str">
        <f t="shared" si="537"/>
        <v/>
      </c>
      <c r="U1105" s="50"/>
      <c r="V1105" s="51"/>
      <c r="W1105" s="52" t="e">
        <f t="shared" si="538"/>
        <v>#VALUE!</v>
      </c>
      <c r="X1105" s="53"/>
      <c r="Y1105" s="53"/>
      <c r="Z1105" s="53"/>
      <c r="AA1105" s="48" t="e">
        <f>INDEX([1]!VISITORS[INSECT ORDER], MATCH(X1105,[1]!VISITORS[NAME USED],0))</f>
        <v>#REF!</v>
      </c>
      <c r="AB1105" s="48" t="e">
        <f t="shared" si="539"/>
        <v>#REF!</v>
      </c>
      <c r="AC1105" s="54" t="e">
        <f t="shared" si="540"/>
        <v>#VALUE!</v>
      </c>
      <c r="AD1105" s="55" t="str">
        <f t="shared" si="541"/>
        <v/>
      </c>
      <c r="AE1105" s="55"/>
      <c r="AF1105" s="55"/>
      <c r="AG1105" s="56" t="str">
        <f t="shared" si="542"/>
        <v/>
      </c>
      <c r="AH1105" s="57" t="str">
        <f t="shared" si="543"/>
        <v/>
      </c>
      <c r="AI1105" s="56"/>
      <c r="AJ1105" s="57" t="str">
        <f t="shared" si="544"/>
        <v/>
      </c>
      <c r="AK1105" s="56"/>
      <c r="AL1105" s="57" t="str">
        <f t="shared" si="545"/>
        <v/>
      </c>
      <c r="AM1105" s="56"/>
      <c r="AN1105" s="57" t="str">
        <f t="shared" si="546"/>
        <v/>
      </c>
      <c r="AO1105" s="56"/>
      <c r="AP1105" s="57" t="str">
        <f t="shared" si="547"/>
        <v/>
      </c>
      <c r="AQ1105" s="56"/>
      <c r="AR1105" s="57" t="str">
        <f t="shared" si="548"/>
        <v/>
      </c>
      <c r="AS1105" s="56"/>
      <c r="AT1105" s="57" t="str">
        <f t="shared" si="549"/>
        <v/>
      </c>
      <c r="AU1105" s="58"/>
      <c r="AV1105" s="59"/>
      <c r="AW1105" s="59"/>
      <c r="AX1105" s="60"/>
      <c r="AY1105" s="61" t="str">
        <f t="shared" si="550"/>
        <v/>
      </c>
      <c r="AZ1105" s="62" t="str">
        <f t="shared" si="551"/>
        <v/>
      </c>
      <c r="BA1105" s="61" t="str">
        <f t="shared" si="552"/>
        <v/>
      </c>
      <c r="BB1105" s="62" t="str">
        <f t="shared" si="553"/>
        <v/>
      </c>
    </row>
    <row r="1106" spans="1:54" s="3" customFormat="1" hidden="1" x14ac:dyDescent="0.35">
      <c r="A1106" s="73">
        <f t="shared" si="530"/>
        <v>2019</v>
      </c>
      <c r="B1106" s="73" t="str">
        <f t="shared" si="531"/>
        <v>Nov</v>
      </c>
      <c r="C1106" s="74">
        <f t="shared" si="554"/>
        <v>17</v>
      </c>
      <c r="D1106" s="75">
        <f t="shared" si="532"/>
        <v>9</v>
      </c>
      <c r="E1106" s="76">
        <f t="shared" si="533"/>
        <v>40</v>
      </c>
      <c r="F1106" s="80"/>
      <c r="G1106" s="83"/>
      <c r="H1106" s="69" t="str">
        <f t="shared" si="555"/>
        <v>Senbur6_20191117_09_00</v>
      </c>
      <c r="I1106" s="70">
        <f t="shared" si="556"/>
        <v>1</v>
      </c>
      <c r="J1106" s="77" t="str">
        <f t="shared" si="556"/>
        <v>Senecio</v>
      </c>
      <c r="K1106" s="77" t="str">
        <f t="shared" si="556"/>
        <v>burtoni</v>
      </c>
      <c r="L1106" s="78">
        <f t="shared" si="556"/>
        <v>6</v>
      </c>
      <c r="M1106" s="78">
        <f t="shared" si="556"/>
        <v>12</v>
      </c>
      <c r="N1106" s="72">
        <f t="shared" si="556"/>
        <v>0</v>
      </c>
      <c r="O1106" s="45"/>
      <c r="P1106" s="46" t="str">
        <f t="shared" si="534"/>
        <v/>
      </c>
      <c r="Q1106" s="47" t="str">
        <f t="shared" si="535"/>
        <v/>
      </c>
      <c r="R1106" s="48" t="e">
        <f t="shared" si="536"/>
        <v>#VALUE!</v>
      </c>
      <c r="S1106" s="49" t="e">
        <f t="shared" si="529"/>
        <v>#VALUE!</v>
      </c>
      <c r="T1106" s="48" t="str">
        <f t="shared" si="537"/>
        <v/>
      </c>
      <c r="U1106" s="50"/>
      <c r="V1106" s="51"/>
      <c r="W1106" s="52" t="e">
        <f t="shared" si="538"/>
        <v>#VALUE!</v>
      </c>
      <c r="X1106" s="53"/>
      <c r="Y1106" s="53"/>
      <c r="Z1106" s="53"/>
      <c r="AA1106" s="48" t="e">
        <f>INDEX([1]!VISITORS[INSECT ORDER], MATCH(X1106,[1]!VISITORS[NAME USED],0))</f>
        <v>#REF!</v>
      </c>
      <c r="AB1106" s="48" t="e">
        <f t="shared" si="539"/>
        <v>#REF!</v>
      </c>
      <c r="AC1106" s="54" t="e">
        <f t="shared" si="540"/>
        <v>#VALUE!</v>
      </c>
      <c r="AD1106" s="55" t="str">
        <f t="shared" si="541"/>
        <v/>
      </c>
      <c r="AE1106" s="55"/>
      <c r="AF1106" s="55"/>
      <c r="AG1106" s="56" t="str">
        <f t="shared" si="542"/>
        <v/>
      </c>
      <c r="AH1106" s="57" t="str">
        <f t="shared" si="543"/>
        <v/>
      </c>
      <c r="AI1106" s="56"/>
      <c r="AJ1106" s="57" t="str">
        <f t="shared" si="544"/>
        <v/>
      </c>
      <c r="AK1106" s="56"/>
      <c r="AL1106" s="57" t="str">
        <f t="shared" si="545"/>
        <v/>
      </c>
      <c r="AM1106" s="56"/>
      <c r="AN1106" s="57" t="str">
        <f t="shared" si="546"/>
        <v/>
      </c>
      <c r="AO1106" s="56"/>
      <c r="AP1106" s="57" t="str">
        <f t="shared" si="547"/>
        <v/>
      </c>
      <c r="AQ1106" s="56"/>
      <c r="AR1106" s="57" t="str">
        <f t="shared" si="548"/>
        <v/>
      </c>
      <c r="AS1106" s="56"/>
      <c r="AT1106" s="57" t="str">
        <f t="shared" si="549"/>
        <v/>
      </c>
      <c r="AU1106" s="58"/>
      <c r="AV1106" s="59"/>
      <c r="AW1106" s="59"/>
      <c r="AX1106" s="60"/>
      <c r="AY1106" s="61" t="str">
        <f t="shared" si="550"/>
        <v/>
      </c>
      <c r="AZ1106" s="62" t="str">
        <f t="shared" si="551"/>
        <v/>
      </c>
      <c r="BA1106" s="61" t="str">
        <f t="shared" si="552"/>
        <v/>
      </c>
      <c r="BB1106" s="62" t="str">
        <f t="shared" si="553"/>
        <v/>
      </c>
    </row>
    <row r="1107" spans="1:54" s="3" customFormat="1" hidden="1" x14ac:dyDescent="0.35">
      <c r="A1107" s="73">
        <f t="shared" si="530"/>
        <v>2019</v>
      </c>
      <c r="B1107" s="73" t="str">
        <f t="shared" si="531"/>
        <v>Nov</v>
      </c>
      <c r="C1107" s="74">
        <f t="shared" si="554"/>
        <v>17</v>
      </c>
      <c r="D1107" s="75">
        <f t="shared" si="532"/>
        <v>9</v>
      </c>
      <c r="E1107" s="76">
        <f t="shared" si="533"/>
        <v>41</v>
      </c>
      <c r="F1107" s="80">
        <v>30</v>
      </c>
      <c r="G1107" s="83"/>
      <c r="H1107" s="69" t="str">
        <f t="shared" si="555"/>
        <v>Senbur6_20191117_09_00</v>
      </c>
      <c r="I1107" s="70">
        <f t="shared" si="556"/>
        <v>1</v>
      </c>
      <c r="J1107" s="77" t="str">
        <f t="shared" si="556"/>
        <v>Senecio</v>
      </c>
      <c r="K1107" s="77" t="str">
        <f t="shared" si="556"/>
        <v>burtoni</v>
      </c>
      <c r="L1107" s="78">
        <f t="shared" si="556"/>
        <v>6</v>
      </c>
      <c r="M1107" s="78">
        <f t="shared" si="556"/>
        <v>12</v>
      </c>
      <c r="N1107" s="72">
        <f t="shared" si="556"/>
        <v>0</v>
      </c>
      <c r="O1107" s="45"/>
      <c r="P1107" s="46">
        <f t="shared" si="534"/>
        <v>1</v>
      </c>
      <c r="Q1107" s="47" t="str">
        <f t="shared" si="535"/>
        <v>09:41:30</v>
      </c>
      <c r="R1107" s="48" t="str">
        <f t="shared" si="536"/>
        <v>41:30</v>
      </c>
      <c r="S1107" s="49">
        <f t="shared" si="529"/>
        <v>151</v>
      </c>
      <c r="T1107" s="48" t="str">
        <f t="shared" si="537"/>
        <v>09</v>
      </c>
      <c r="U1107" s="50">
        <v>44</v>
      </c>
      <c r="V1107" s="51">
        <v>1</v>
      </c>
      <c r="W1107" s="52" t="str">
        <f t="shared" si="538"/>
        <v>44:01</v>
      </c>
      <c r="X1107" s="53" t="s">
        <v>59</v>
      </c>
      <c r="Y1107" s="97" t="s">
        <v>88</v>
      </c>
      <c r="Z1107" s="97" t="s">
        <v>80</v>
      </c>
      <c r="AA1107" s="48" t="s">
        <v>60</v>
      </c>
      <c r="AB1107" s="48" t="str">
        <f t="shared" si="539"/>
        <v>NA</v>
      </c>
      <c r="AC1107" s="54">
        <f t="shared" si="540"/>
        <v>0</v>
      </c>
      <c r="AD1107" s="55">
        <f t="shared" si="541"/>
        <v>1</v>
      </c>
      <c r="AE1107" s="55"/>
      <c r="AF1107" s="55"/>
      <c r="AG1107" s="56">
        <v>1</v>
      </c>
      <c r="AH1107" s="57">
        <v>60</v>
      </c>
      <c r="AI1107" s="56"/>
      <c r="AJ1107" s="57" t="str">
        <f t="shared" si="544"/>
        <v/>
      </c>
      <c r="AK1107" s="56">
        <v>1</v>
      </c>
      <c r="AL1107" s="57">
        <v>91</v>
      </c>
      <c r="AM1107" s="56"/>
      <c r="AN1107" s="57" t="str">
        <f t="shared" si="546"/>
        <v/>
      </c>
      <c r="AO1107" s="56"/>
      <c r="AP1107" s="57" t="str">
        <f t="shared" si="547"/>
        <v/>
      </c>
      <c r="AQ1107" s="56"/>
      <c r="AR1107" s="57" t="str">
        <f t="shared" si="548"/>
        <v/>
      </c>
      <c r="AS1107" s="56"/>
      <c r="AT1107" s="57" t="str">
        <f t="shared" si="549"/>
        <v/>
      </c>
      <c r="AU1107" s="58"/>
      <c r="AV1107" s="59"/>
      <c r="AW1107" s="59"/>
      <c r="AX1107" s="60"/>
      <c r="AY1107" s="61">
        <v>1</v>
      </c>
      <c r="AZ1107" s="62">
        <f t="shared" si="551"/>
        <v>1</v>
      </c>
      <c r="BA1107" s="61">
        <f t="shared" si="552"/>
        <v>0</v>
      </c>
      <c r="BB1107" s="62" t="str">
        <f t="shared" si="553"/>
        <v/>
      </c>
    </row>
    <row r="1108" spans="1:54" s="3" customFormat="1" hidden="1" x14ac:dyDescent="0.35">
      <c r="A1108" s="73">
        <f t="shared" si="530"/>
        <v>2019</v>
      </c>
      <c r="B1108" s="73" t="str">
        <f t="shared" si="531"/>
        <v>Nov</v>
      </c>
      <c r="C1108" s="74">
        <f t="shared" si="554"/>
        <v>17</v>
      </c>
      <c r="D1108" s="75">
        <f t="shared" si="532"/>
        <v>9</v>
      </c>
      <c r="E1108" s="76">
        <f t="shared" si="533"/>
        <v>42</v>
      </c>
      <c r="F1108" s="80">
        <v>25</v>
      </c>
      <c r="G1108" s="83"/>
      <c r="H1108" s="69" t="str">
        <f t="shared" si="555"/>
        <v>Senbur6_20191117_09_00</v>
      </c>
      <c r="I1108" s="70">
        <f t="shared" si="556"/>
        <v>1</v>
      </c>
      <c r="J1108" s="77" t="str">
        <f t="shared" si="556"/>
        <v>Senecio</v>
      </c>
      <c r="K1108" s="77" t="str">
        <f t="shared" si="556"/>
        <v>burtoni</v>
      </c>
      <c r="L1108" s="78">
        <f t="shared" si="556"/>
        <v>6</v>
      </c>
      <c r="M1108" s="78">
        <f t="shared" si="556"/>
        <v>12</v>
      </c>
      <c r="N1108" s="72">
        <f t="shared" si="556"/>
        <v>0</v>
      </c>
      <c r="O1108" s="45"/>
      <c r="P1108" s="46">
        <f t="shared" si="534"/>
        <v>1</v>
      </c>
      <c r="Q1108" s="47" t="str">
        <f t="shared" si="535"/>
        <v>09:42:25</v>
      </c>
      <c r="R1108" s="48" t="str">
        <f t="shared" si="536"/>
        <v>42:25</v>
      </c>
      <c r="S1108" s="49">
        <f t="shared" si="529"/>
        <v>142</v>
      </c>
      <c r="T1108" s="48" t="str">
        <f t="shared" si="537"/>
        <v>09</v>
      </c>
      <c r="U1108" s="50">
        <v>44</v>
      </c>
      <c r="V1108" s="51">
        <v>47</v>
      </c>
      <c r="W1108" s="52" t="str">
        <f t="shared" si="538"/>
        <v>44:47</v>
      </c>
      <c r="X1108" s="53" t="s">
        <v>59</v>
      </c>
      <c r="Y1108" s="97" t="s">
        <v>88</v>
      </c>
      <c r="Z1108" s="97" t="s">
        <v>80</v>
      </c>
      <c r="AA1108" s="48" t="s">
        <v>60</v>
      </c>
      <c r="AB1108" s="48" t="str">
        <f t="shared" si="539"/>
        <v>NA</v>
      </c>
      <c r="AC1108" s="54">
        <f t="shared" si="540"/>
        <v>0</v>
      </c>
      <c r="AD1108" s="55">
        <v>2</v>
      </c>
      <c r="AE1108" s="55"/>
      <c r="AF1108" s="55"/>
      <c r="AG1108" s="56">
        <v>1</v>
      </c>
      <c r="AH1108" s="57">
        <v>6</v>
      </c>
      <c r="AI1108" s="56">
        <v>1</v>
      </c>
      <c r="AJ1108" s="57">
        <v>1</v>
      </c>
      <c r="AK1108" s="56">
        <v>1</v>
      </c>
      <c r="AL1108" s="57">
        <v>135</v>
      </c>
      <c r="AM1108" s="56"/>
      <c r="AN1108" s="57" t="str">
        <f t="shared" si="546"/>
        <v/>
      </c>
      <c r="AO1108" s="56"/>
      <c r="AP1108" s="57" t="str">
        <f t="shared" si="547"/>
        <v/>
      </c>
      <c r="AQ1108" s="56"/>
      <c r="AR1108" s="57" t="str">
        <f t="shared" si="548"/>
        <v/>
      </c>
      <c r="AS1108" s="56"/>
      <c r="AT1108" s="57" t="str">
        <f t="shared" si="549"/>
        <v/>
      </c>
      <c r="AU1108" s="58"/>
      <c r="AV1108" s="59"/>
      <c r="AW1108" s="59"/>
      <c r="AX1108" s="60"/>
      <c r="AY1108" s="61">
        <v>1</v>
      </c>
      <c r="AZ1108" s="62">
        <f t="shared" si="551"/>
        <v>2</v>
      </c>
      <c r="BA1108" s="61">
        <f t="shared" si="552"/>
        <v>0</v>
      </c>
      <c r="BB1108" s="62" t="str">
        <f t="shared" si="553"/>
        <v/>
      </c>
    </row>
    <row r="1109" spans="1:54" s="3" customFormat="1" hidden="1" x14ac:dyDescent="0.35">
      <c r="A1109" s="73">
        <f t="shared" si="530"/>
        <v>2019</v>
      </c>
      <c r="B1109" s="73" t="str">
        <f t="shared" si="531"/>
        <v>Nov</v>
      </c>
      <c r="C1109" s="74">
        <f t="shared" si="554"/>
        <v>17</v>
      </c>
      <c r="D1109" s="75">
        <f t="shared" si="532"/>
        <v>9</v>
      </c>
      <c r="E1109" s="76">
        <f t="shared" si="533"/>
        <v>43</v>
      </c>
      <c r="F1109" s="80">
        <v>35</v>
      </c>
      <c r="G1109" s="83"/>
      <c r="H1109" s="69" t="str">
        <f t="shared" si="555"/>
        <v>Senbur6_20191117_09_00</v>
      </c>
      <c r="I1109" s="70">
        <f t="shared" ref="I1109:N1124" si="557">I1108</f>
        <v>1</v>
      </c>
      <c r="J1109" s="77" t="str">
        <f t="shared" si="557"/>
        <v>Senecio</v>
      </c>
      <c r="K1109" s="77" t="str">
        <f t="shared" si="557"/>
        <v>burtoni</v>
      </c>
      <c r="L1109" s="78">
        <f t="shared" si="557"/>
        <v>6</v>
      </c>
      <c r="M1109" s="78">
        <f t="shared" si="557"/>
        <v>12</v>
      </c>
      <c r="N1109" s="72">
        <f t="shared" si="557"/>
        <v>0</v>
      </c>
      <c r="O1109" s="45"/>
      <c r="P1109" s="46">
        <f t="shared" si="534"/>
        <v>1</v>
      </c>
      <c r="Q1109" s="47" t="str">
        <f t="shared" si="535"/>
        <v>09:43:35</v>
      </c>
      <c r="R1109" s="48" t="str">
        <f t="shared" si="536"/>
        <v>43:35</v>
      </c>
      <c r="S1109" s="49">
        <f t="shared" si="529"/>
        <v>308</v>
      </c>
      <c r="T1109" s="48" t="str">
        <f t="shared" si="537"/>
        <v>09</v>
      </c>
      <c r="U1109" s="50">
        <v>48</v>
      </c>
      <c r="V1109" s="51">
        <v>43</v>
      </c>
      <c r="W1109" s="52" t="str">
        <f t="shared" si="538"/>
        <v>48:43</v>
      </c>
      <c r="X1109" s="53" t="s">
        <v>61</v>
      </c>
      <c r="Y1109" s="97" t="s">
        <v>84</v>
      </c>
      <c r="Z1109" s="97" t="s">
        <v>80</v>
      </c>
      <c r="AA1109" s="48" t="s">
        <v>60</v>
      </c>
      <c r="AB1109" s="48" t="str">
        <f t="shared" si="539"/>
        <v>NA</v>
      </c>
      <c r="AC1109" s="54">
        <f t="shared" si="540"/>
        <v>0</v>
      </c>
      <c r="AD1109" s="55">
        <v>6</v>
      </c>
      <c r="AE1109" s="55"/>
      <c r="AF1109" s="55"/>
      <c r="AG1109" s="56">
        <v>1</v>
      </c>
      <c r="AH1109" s="57">
        <v>68</v>
      </c>
      <c r="AI1109" s="56">
        <v>1</v>
      </c>
      <c r="AJ1109" s="57">
        <v>4</v>
      </c>
      <c r="AK1109" s="56">
        <v>1</v>
      </c>
      <c r="AL1109" s="57">
        <v>236</v>
      </c>
      <c r="AM1109" s="56"/>
      <c r="AN1109" s="57" t="str">
        <f t="shared" si="546"/>
        <v/>
      </c>
      <c r="AO1109" s="56"/>
      <c r="AP1109" s="57" t="str">
        <f t="shared" si="547"/>
        <v/>
      </c>
      <c r="AQ1109" s="56"/>
      <c r="AR1109" s="57" t="str">
        <f t="shared" si="548"/>
        <v/>
      </c>
      <c r="AS1109" s="56"/>
      <c r="AT1109" s="57" t="str">
        <f t="shared" si="549"/>
        <v/>
      </c>
      <c r="AU1109" s="58"/>
      <c r="AV1109" s="59"/>
      <c r="AW1109" s="59"/>
      <c r="AX1109" s="60"/>
      <c r="AY1109" s="61">
        <v>1</v>
      </c>
      <c r="AZ1109" s="62">
        <f t="shared" si="551"/>
        <v>6</v>
      </c>
      <c r="BA1109" s="61">
        <f t="shared" si="552"/>
        <v>0</v>
      </c>
      <c r="BB1109" s="62" t="str">
        <f t="shared" si="553"/>
        <v/>
      </c>
    </row>
    <row r="1110" spans="1:54" s="3" customFormat="1" hidden="1" x14ac:dyDescent="0.35">
      <c r="A1110" s="73">
        <f t="shared" si="530"/>
        <v>2019</v>
      </c>
      <c r="B1110" s="73" t="str">
        <f t="shared" si="531"/>
        <v>Nov</v>
      </c>
      <c r="C1110" s="74">
        <f t="shared" si="554"/>
        <v>17</v>
      </c>
      <c r="D1110" s="75">
        <f t="shared" si="532"/>
        <v>9</v>
      </c>
      <c r="E1110" s="76">
        <f t="shared" si="533"/>
        <v>44</v>
      </c>
      <c r="F1110" s="80"/>
      <c r="G1110" s="83"/>
      <c r="H1110" s="69" t="str">
        <f t="shared" si="555"/>
        <v>Senbur6_20191117_09_00</v>
      </c>
      <c r="I1110" s="70">
        <f t="shared" si="557"/>
        <v>1</v>
      </c>
      <c r="J1110" s="77" t="str">
        <f t="shared" si="557"/>
        <v>Senecio</v>
      </c>
      <c r="K1110" s="77" t="str">
        <f t="shared" si="557"/>
        <v>burtoni</v>
      </c>
      <c r="L1110" s="78">
        <f t="shared" si="557"/>
        <v>6</v>
      </c>
      <c r="M1110" s="78">
        <f t="shared" si="557"/>
        <v>12</v>
      </c>
      <c r="N1110" s="72">
        <f t="shared" si="557"/>
        <v>0</v>
      </c>
      <c r="O1110" s="45"/>
      <c r="P1110" s="46" t="str">
        <f t="shared" si="534"/>
        <v/>
      </c>
      <c r="Q1110" s="47" t="str">
        <f t="shared" si="535"/>
        <v/>
      </c>
      <c r="R1110" s="48" t="e">
        <f t="shared" si="536"/>
        <v>#VALUE!</v>
      </c>
      <c r="S1110" s="49" t="e">
        <f t="shared" si="529"/>
        <v>#VALUE!</v>
      </c>
      <c r="T1110" s="48" t="str">
        <f t="shared" si="537"/>
        <v/>
      </c>
      <c r="U1110" s="50"/>
      <c r="V1110" s="51"/>
      <c r="W1110" s="52" t="e">
        <f t="shared" si="538"/>
        <v>#VALUE!</v>
      </c>
      <c r="X1110" s="53"/>
      <c r="Y1110" s="53"/>
      <c r="Z1110" s="53"/>
      <c r="AA1110" s="48" t="e">
        <f>INDEX([1]!VISITORS[INSECT ORDER], MATCH(X1110,[1]!VISITORS[NAME USED],0))</f>
        <v>#REF!</v>
      </c>
      <c r="AB1110" s="48" t="e">
        <f t="shared" si="539"/>
        <v>#REF!</v>
      </c>
      <c r="AC1110" s="54" t="e">
        <f t="shared" si="540"/>
        <v>#VALUE!</v>
      </c>
      <c r="AD1110" s="55" t="str">
        <f t="shared" si="541"/>
        <v/>
      </c>
      <c r="AE1110" s="55"/>
      <c r="AF1110" s="55"/>
      <c r="AG1110" s="56" t="str">
        <f t="shared" si="542"/>
        <v/>
      </c>
      <c r="AH1110" s="57" t="str">
        <f t="shared" si="543"/>
        <v/>
      </c>
      <c r="AI1110" s="56"/>
      <c r="AJ1110" s="57" t="str">
        <f t="shared" si="544"/>
        <v/>
      </c>
      <c r="AK1110" s="56"/>
      <c r="AL1110" s="57" t="str">
        <f t="shared" si="545"/>
        <v/>
      </c>
      <c r="AM1110" s="56"/>
      <c r="AN1110" s="57" t="str">
        <f t="shared" si="546"/>
        <v/>
      </c>
      <c r="AO1110" s="56"/>
      <c r="AP1110" s="57" t="str">
        <f t="shared" si="547"/>
        <v/>
      </c>
      <c r="AQ1110" s="56"/>
      <c r="AR1110" s="57" t="str">
        <f t="shared" si="548"/>
        <v/>
      </c>
      <c r="AS1110" s="56"/>
      <c r="AT1110" s="57" t="str">
        <f t="shared" si="549"/>
        <v/>
      </c>
      <c r="AU1110" s="58"/>
      <c r="AV1110" s="59"/>
      <c r="AW1110" s="59"/>
      <c r="AX1110" s="60"/>
      <c r="AY1110" s="61" t="str">
        <f t="shared" si="550"/>
        <v/>
      </c>
      <c r="AZ1110" s="62" t="str">
        <f t="shared" si="551"/>
        <v/>
      </c>
      <c r="BA1110" s="61" t="str">
        <f t="shared" si="552"/>
        <v/>
      </c>
      <c r="BB1110" s="62" t="str">
        <f t="shared" si="553"/>
        <v/>
      </c>
    </row>
    <row r="1111" spans="1:54" s="3" customFormat="1" hidden="1" x14ac:dyDescent="0.35">
      <c r="A1111" s="73">
        <f t="shared" si="530"/>
        <v>2019</v>
      </c>
      <c r="B1111" s="73" t="str">
        <f t="shared" si="531"/>
        <v>Nov</v>
      </c>
      <c r="C1111" s="74">
        <f t="shared" si="554"/>
        <v>17</v>
      </c>
      <c r="D1111" s="75">
        <f t="shared" si="532"/>
        <v>9</v>
      </c>
      <c r="E1111" s="76">
        <f t="shared" si="533"/>
        <v>45</v>
      </c>
      <c r="F1111" s="80"/>
      <c r="G1111" s="83"/>
      <c r="H1111" s="69" t="str">
        <f t="shared" si="555"/>
        <v>Senbur6_20191117_09_00</v>
      </c>
      <c r="I1111" s="70">
        <f t="shared" si="557"/>
        <v>1</v>
      </c>
      <c r="J1111" s="77" t="str">
        <f t="shared" si="557"/>
        <v>Senecio</v>
      </c>
      <c r="K1111" s="77" t="str">
        <f t="shared" si="557"/>
        <v>burtoni</v>
      </c>
      <c r="L1111" s="78">
        <f t="shared" si="557"/>
        <v>6</v>
      </c>
      <c r="M1111" s="78">
        <f t="shared" si="557"/>
        <v>12</v>
      </c>
      <c r="N1111" s="72">
        <f t="shared" si="557"/>
        <v>0</v>
      </c>
      <c r="O1111" s="45"/>
      <c r="P1111" s="46" t="str">
        <f t="shared" si="534"/>
        <v/>
      </c>
      <c r="Q1111" s="47" t="str">
        <f t="shared" si="535"/>
        <v/>
      </c>
      <c r="R1111" s="48" t="e">
        <f t="shared" si="536"/>
        <v>#VALUE!</v>
      </c>
      <c r="S1111" s="49" t="e">
        <f t="shared" si="529"/>
        <v>#VALUE!</v>
      </c>
      <c r="T1111" s="48" t="str">
        <f t="shared" si="537"/>
        <v/>
      </c>
      <c r="U1111" s="50"/>
      <c r="V1111" s="51"/>
      <c r="W1111" s="52" t="e">
        <f t="shared" si="538"/>
        <v>#VALUE!</v>
      </c>
      <c r="X1111" s="53"/>
      <c r="Y1111" s="53"/>
      <c r="Z1111" s="53"/>
      <c r="AA1111" s="48"/>
      <c r="AB1111" s="48"/>
      <c r="AC1111" s="54" t="e">
        <f t="shared" si="540"/>
        <v>#VALUE!</v>
      </c>
      <c r="AD1111" s="55"/>
      <c r="AE1111" s="55"/>
      <c r="AF1111" s="55"/>
      <c r="AG1111" s="56"/>
      <c r="AH1111" s="57"/>
      <c r="AI1111" s="56"/>
      <c r="AJ1111" s="57"/>
      <c r="AK1111" s="56"/>
      <c r="AL1111" s="57" t="str">
        <f t="shared" si="545"/>
        <v/>
      </c>
      <c r="AM1111" s="56"/>
      <c r="AN1111" s="57" t="str">
        <f t="shared" si="546"/>
        <v/>
      </c>
      <c r="AO1111" s="56"/>
      <c r="AP1111" s="57" t="str">
        <f t="shared" si="547"/>
        <v/>
      </c>
      <c r="AQ1111" s="56"/>
      <c r="AR1111" s="57" t="str">
        <f t="shared" si="548"/>
        <v/>
      </c>
      <c r="AS1111" s="56"/>
      <c r="AT1111" s="57" t="str">
        <f t="shared" si="549"/>
        <v/>
      </c>
      <c r="AU1111" s="58"/>
      <c r="AV1111" s="59"/>
      <c r="AW1111" s="59"/>
      <c r="AX1111" s="60"/>
      <c r="AY1111" s="61" t="str">
        <f t="shared" si="550"/>
        <v/>
      </c>
      <c r="AZ1111" s="62" t="str">
        <f t="shared" si="551"/>
        <v/>
      </c>
      <c r="BA1111" s="61" t="str">
        <f t="shared" si="552"/>
        <v/>
      </c>
      <c r="BB1111" s="62" t="str">
        <f t="shared" si="553"/>
        <v/>
      </c>
    </row>
    <row r="1112" spans="1:54" s="3" customFormat="1" hidden="1" x14ac:dyDescent="0.35">
      <c r="A1112" s="73">
        <f t="shared" si="530"/>
        <v>2019</v>
      </c>
      <c r="B1112" s="73" t="str">
        <f t="shared" si="531"/>
        <v>Nov</v>
      </c>
      <c r="C1112" s="74">
        <f t="shared" si="554"/>
        <v>17</v>
      </c>
      <c r="D1112" s="75">
        <f t="shared" si="532"/>
        <v>9</v>
      </c>
      <c r="E1112" s="76">
        <f t="shared" si="533"/>
        <v>46</v>
      </c>
      <c r="F1112" s="80"/>
      <c r="G1112" s="83"/>
      <c r="H1112" s="69" t="str">
        <f t="shared" si="555"/>
        <v>Senbur6_20191117_09_00</v>
      </c>
      <c r="I1112" s="70">
        <f t="shared" si="557"/>
        <v>1</v>
      </c>
      <c r="J1112" s="77" t="str">
        <f t="shared" si="557"/>
        <v>Senecio</v>
      </c>
      <c r="K1112" s="77" t="str">
        <f t="shared" si="557"/>
        <v>burtoni</v>
      </c>
      <c r="L1112" s="78">
        <f t="shared" si="557"/>
        <v>6</v>
      </c>
      <c r="M1112" s="78">
        <f t="shared" si="557"/>
        <v>12</v>
      </c>
      <c r="N1112" s="72">
        <f t="shared" si="557"/>
        <v>0</v>
      </c>
      <c r="O1112" s="45"/>
      <c r="P1112" s="46" t="str">
        <f t="shared" si="534"/>
        <v/>
      </c>
      <c r="Q1112" s="47" t="str">
        <f t="shared" si="535"/>
        <v/>
      </c>
      <c r="R1112" s="48" t="e">
        <f t="shared" si="536"/>
        <v>#VALUE!</v>
      </c>
      <c r="S1112" s="49" t="e">
        <f t="shared" si="529"/>
        <v>#VALUE!</v>
      </c>
      <c r="T1112" s="48" t="str">
        <f t="shared" si="537"/>
        <v/>
      </c>
      <c r="U1112" s="50"/>
      <c r="V1112" s="51"/>
      <c r="W1112" s="52" t="e">
        <f t="shared" si="538"/>
        <v>#VALUE!</v>
      </c>
      <c r="X1112" s="53"/>
      <c r="Y1112" s="53"/>
      <c r="Z1112" s="53"/>
      <c r="AA1112" s="48" t="e">
        <f>INDEX([1]!VISITORS[INSECT ORDER], MATCH(X1112,[1]!VISITORS[NAME USED],0))</f>
        <v>#REF!</v>
      </c>
      <c r="AB1112" s="48" t="e">
        <f t="shared" si="539"/>
        <v>#REF!</v>
      </c>
      <c r="AC1112" s="54" t="e">
        <f t="shared" si="540"/>
        <v>#VALUE!</v>
      </c>
      <c r="AD1112" s="55" t="str">
        <f t="shared" si="541"/>
        <v/>
      </c>
      <c r="AE1112" s="55"/>
      <c r="AF1112" s="55"/>
      <c r="AG1112" s="56" t="str">
        <f t="shared" si="542"/>
        <v/>
      </c>
      <c r="AH1112" s="57" t="str">
        <f t="shared" si="543"/>
        <v/>
      </c>
      <c r="AI1112" s="56"/>
      <c r="AJ1112" s="57" t="str">
        <f t="shared" si="544"/>
        <v/>
      </c>
      <c r="AK1112" s="56"/>
      <c r="AL1112" s="57" t="str">
        <f t="shared" si="545"/>
        <v/>
      </c>
      <c r="AM1112" s="56"/>
      <c r="AN1112" s="57" t="str">
        <f t="shared" si="546"/>
        <v/>
      </c>
      <c r="AO1112" s="56"/>
      <c r="AP1112" s="57" t="str">
        <f t="shared" si="547"/>
        <v/>
      </c>
      <c r="AQ1112" s="56"/>
      <c r="AR1112" s="57" t="str">
        <f t="shared" si="548"/>
        <v/>
      </c>
      <c r="AS1112" s="56"/>
      <c r="AT1112" s="57" t="str">
        <f t="shared" si="549"/>
        <v/>
      </c>
      <c r="AU1112" s="58"/>
      <c r="AV1112" s="59"/>
      <c r="AW1112" s="59"/>
      <c r="AX1112" s="60"/>
      <c r="AY1112" s="61" t="str">
        <f t="shared" si="550"/>
        <v/>
      </c>
      <c r="AZ1112" s="62" t="str">
        <f t="shared" si="551"/>
        <v/>
      </c>
      <c r="BA1112" s="61" t="str">
        <f t="shared" si="552"/>
        <v/>
      </c>
      <c r="BB1112" s="62" t="str">
        <f t="shared" si="553"/>
        <v/>
      </c>
    </row>
    <row r="1113" spans="1:54" s="3" customFormat="1" hidden="1" x14ac:dyDescent="0.35">
      <c r="A1113" s="73">
        <f t="shared" si="530"/>
        <v>2019</v>
      </c>
      <c r="B1113" s="73" t="str">
        <f t="shared" si="531"/>
        <v>Nov</v>
      </c>
      <c r="C1113" s="74">
        <f t="shared" si="554"/>
        <v>17</v>
      </c>
      <c r="D1113" s="75">
        <f t="shared" si="532"/>
        <v>9</v>
      </c>
      <c r="E1113" s="76">
        <f t="shared" si="533"/>
        <v>47</v>
      </c>
      <c r="F1113" s="80">
        <v>57</v>
      </c>
      <c r="G1113" s="83"/>
      <c r="H1113" s="69" t="str">
        <f t="shared" si="555"/>
        <v>Senbur6_20191117_09_00</v>
      </c>
      <c r="I1113" s="70">
        <f t="shared" si="557"/>
        <v>1</v>
      </c>
      <c r="J1113" s="77" t="str">
        <f t="shared" si="557"/>
        <v>Senecio</v>
      </c>
      <c r="K1113" s="77" t="str">
        <f t="shared" si="557"/>
        <v>burtoni</v>
      </c>
      <c r="L1113" s="78">
        <f t="shared" si="557"/>
        <v>6</v>
      </c>
      <c r="M1113" s="78">
        <f t="shared" si="557"/>
        <v>12</v>
      </c>
      <c r="N1113" s="72">
        <f t="shared" si="557"/>
        <v>0</v>
      </c>
      <c r="O1113" s="45"/>
      <c r="P1113" s="46">
        <f t="shared" si="534"/>
        <v>1</v>
      </c>
      <c r="Q1113" s="47" t="str">
        <f t="shared" si="535"/>
        <v>09:47:57</v>
      </c>
      <c r="R1113" s="48" t="str">
        <f t="shared" si="536"/>
        <v>47:57</v>
      </c>
      <c r="S1113" s="49">
        <f t="shared" si="529"/>
        <v>131</v>
      </c>
      <c r="T1113" s="48" t="str">
        <f t="shared" si="537"/>
        <v>09</v>
      </c>
      <c r="U1113" s="50">
        <v>50</v>
      </c>
      <c r="V1113" s="51">
        <v>8</v>
      </c>
      <c r="W1113" s="52" t="str">
        <f t="shared" si="538"/>
        <v>50:08</v>
      </c>
      <c r="X1113" s="53" t="s">
        <v>61</v>
      </c>
      <c r="Y1113" s="97" t="s">
        <v>78</v>
      </c>
      <c r="Z1113" s="97"/>
      <c r="AA1113" s="48" t="s">
        <v>60</v>
      </c>
      <c r="AB1113" s="48" t="str">
        <f t="shared" si="539"/>
        <v>NA</v>
      </c>
      <c r="AC1113" s="54">
        <f t="shared" si="540"/>
        <v>0</v>
      </c>
      <c r="AD1113" s="55">
        <v>2</v>
      </c>
      <c r="AE1113" s="55"/>
      <c r="AF1113" s="55"/>
      <c r="AG1113" s="56">
        <v>1</v>
      </c>
      <c r="AH1113" s="57">
        <v>4</v>
      </c>
      <c r="AI1113" s="56">
        <v>1</v>
      </c>
      <c r="AJ1113" s="57">
        <v>2</v>
      </c>
      <c r="AK1113" s="56">
        <v>1</v>
      </c>
      <c r="AL1113" s="57">
        <v>125</v>
      </c>
      <c r="AM1113" s="56"/>
      <c r="AN1113" s="57" t="str">
        <f t="shared" si="546"/>
        <v/>
      </c>
      <c r="AO1113" s="56"/>
      <c r="AP1113" s="57" t="str">
        <f t="shared" si="547"/>
        <v/>
      </c>
      <c r="AQ1113" s="56"/>
      <c r="AR1113" s="57" t="str">
        <f t="shared" si="548"/>
        <v/>
      </c>
      <c r="AS1113" s="56"/>
      <c r="AT1113" s="57" t="str">
        <f t="shared" si="549"/>
        <v/>
      </c>
      <c r="AU1113" s="58"/>
      <c r="AV1113" s="59"/>
      <c r="AW1113" s="59"/>
      <c r="AX1113" s="60"/>
      <c r="AY1113" s="61">
        <v>1</v>
      </c>
      <c r="AZ1113" s="62">
        <f t="shared" si="551"/>
        <v>2</v>
      </c>
      <c r="BA1113" s="61">
        <f t="shared" si="552"/>
        <v>0</v>
      </c>
      <c r="BB1113" s="62" t="str">
        <f t="shared" si="553"/>
        <v/>
      </c>
    </row>
    <row r="1114" spans="1:54" s="3" customFormat="1" hidden="1" x14ac:dyDescent="0.35">
      <c r="A1114" s="73">
        <f t="shared" si="530"/>
        <v>2019</v>
      </c>
      <c r="B1114" s="73" t="str">
        <f t="shared" si="531"/>
        <v>Nov</v>
      </c>
      <c r="C1114" s="74">
        <f t="shared" si="554"/>
        <v>17</v>
      </c>
      <c r="D1114" s="75">
        <f t="shared" si="532"/>
        <v>9</v>
      </c>
      <c r="E1114" s="76">
        <f t="shared" si="533"/>
        <v>48</v>
      </c>
      <c r="F1114" s="80"/>
      <c r="G1114" s="83"/>
      <c r="H1114" s="69" t="str">
        <f t="shared" si="555"/>
        <v>Senbur6_20191117_09_00</v>
      </c>
      <c r="I1114" s="70">
        <f t="shared" si="557"/>
        <v>1</v>
      </c>
      <c r="J1114" s="77" t="str">
        <f t="shared" si="557"/>
        <v>Senecio</v>
      </c>
      <c r="K1114" s="77" t="str">
        <f t="shared" si="557"/>
        <v>burtoni</v>
      </c>
      <c r="L1114" s="78">
        <f t="shared" si="557"/>
        <v>6</v>
      </c>
      <c r="M1114" s="78">
        <f t="shared" si="557"/>
        <v>12</v>
      </c>
      <c r="N1114" s="72">
        <f t="shared" si="557"/>
        <v>0</v>
      </c>
      <c r="O1114" s="45"/>
      <c r="P1114" s="46" t="str">
        <f t="shared" si="534"/>
        <v/>
      </c>
      <c r="Q1114" s="47" t="str">
        <f t="shared" si="535"/>
        <v/>
      </c>
      <c r="R1114" s="48" t="e">
        <f t="shared" si="536"/>
        <v>#VALUE!</v>
      </c>
      <c r="S1114" s="49" t="e">
        <f t="shared" si="529"/>
        <v>#VALUE!</v>
      </c>
      <c r="T1114" s="48" t="str">
        <f t="shared" si="537"/>
        <v/>
      </c>
      <c r="U1114" s="50"/>
      <c r="V1114" s="51"/>
      <c r="W1114" s="52" t="e">
        <f t="shared" si="538"/>
        <v>#VALUE!</v>
      </c>
      <c r="X1114" s="53"/>
      <c r="Y1114" s="53"/>
      <c r="Z1114" s="53"/>
      <c r="AA1114" s="48" t="e">
        <f>INDEX([1]!VISITORS[INSECT ORDER], MATCH(X1114,[1]!VISITORS[NAME USED],0))</f>
        <v>#REF!</v>
      </c>
      <c r="AB1114" s="48" t="e">
        <f t="shared" si="539"/>
        <v>#REF!</v>
      </c>
      <c r="AC1114" s="54" t="e">
        <f t="shared" si="540"/>
        <v>#VALUE!</v>
      </c>
      <c r="AD1114" s="55" t="str">
        <f t="shared" si="541"/>
        <v/>
      </c>
      <c r="AE1114" s="55"/>
      <c r="AF1114" s="55"/>
      <c r="AG1114" s="56" t="str">
        <f t="shared" si="542"/>
        <v/>
      </c>
      <c r="AH1114" s="57" t="str">
        <f t="shared" si="543"/>
        <v/>
      </c>
      <c r="AI1114" s="56"/>
      <c r="AJ1114" s="57" t="str">
        <f t="shared" si="544"/>
        <v/>
      </c>
      <c r="AK1114" s="56"/>
      <c r="AL1114" s="57" t="str">
        <f t="shared" si="545"/>
        <v/>
      </c>
      <c r="AM1114" s="56"/>
      <c r="AN1114" s="57" t="str">
        <f t="shared" si="546"/>
        <v/>
      </c>
      <c r="AO1114" s="56"/>
      <c r="AP1114" s="57" t="str">
        <f t="shared" si="547"/>
        <v/>
      </c>
      <c r="AQ1114" s="56"/>
      <c r="AR1114" s="57" t="str">
        <f t="shared" si="548"/>
        <v/>
      </c>
      <c r="AS1114" s="56"/>
      <c r="AT1114" s="57" t="str">
        <f t="shared" si="549"/>
        <v/>
      </c>
      <c r="AU1114" s="58"/>
      <c r="AV1114" s="59"/>
      <c r="AW1114" s="59"/>
      <c r="AX1114" s="60"/>
      <c r="AY1114" s="61" t="str">
        <f t="shared" si="550"/>
        <v/>
      </c>
      <c r="AZ1114" s="62" t="str">
        <f t="shared" si="551"/>
        <v/>
      </c>
      <c r="BA1114" s="61" t="str">
        <f t="shared" si="552"/>
        <v/>
      </c>
      <c r="BB1114" s="62" t="str">
        <f t="shared" si="553"/>
        <v/>
      </c>
    </row>
    <row r="1115" spans="1:54" s="3" customFormat="1" hidden="1" x14ac:dyDescent="0.35">
      <c r="A1115" s="73">
        <f t="shared" si="530"/>
        <v>2019</v>
      </c>
      <c r="B1115" s="73" t="str">
        <f t="shared" si="531"/>
        <v>Nov</v>
      </c>
      <c r="C1115" s="74">
        <f t="shared" si="554"/>
        <v>17</v>
      </c>
      <c r="D1115" s="75">
        <f t="shared" si="532"/>
        <v>9</v>
      </c>
      <c r="E1115" s="76">
        <f t="shared" si="533"/>
        <v>49</v>
      </c>
      <c r="F1115" s="80"/>
      <c r="G1115" s="83"/>
      <c r="H1115" s="69" t="str">
        <f t="shared" si="555"/>
        <v>Senbur6_20191117_09_00</v>
      </c>
      <c r="I1115" s="70">
        <f t="shared" si="557"/>
        <v>1</v>
      </c>
      <c r="J1115" s="77" t="str">
        <f t="shared" si="557"/>
        <v>Senecio</v>
      </c>
      <c r="K1115" s="77" t="str">
        <f t="shared" si="557"/>
        <v>burtoni</v>
      </c>
      <c r="L1115" s="78">
        <f t="shared" si="557"/>
        <v>6</v>
      </c>
      <c r="M1115" s="78">
        <f t="shared" si="557"/>
        <v>12</v>
      </c>
      <c r="N1115" s="72">
        <f t="shared" si="557"/>
        <v>0</v>
      </c>
      <c r="O1115" s="45"/>
      <c r="P1115" s="46" t="str">
        <f t="shared" si="534"/>
        <v/>
      </c>
      <c r="Q1115" s="47" t="str">
        <f t="shared" si="535"/>
        <v/>
      </c>
      <c r="R1115" s="48" t="e">
        <f t="shared" si="536"/>
        <v>#VALUE!</v>
      </c>
      <c r="S1115" s="49" t="e">
        <f t="shared" si="529"/>
        <v>#VALUE!</v>
      </c>
      <c r="T1115" s="48" t="str">
        <f t="shared" si="537"/>
        <v/>
      </c>
      <c r="U1115" s="50"/>
      <c r="V1115" s="51"/>
      <c r="W1115" s="52" t="e">
        <f t="shared" si="538"/>
        <v>#VALUE!</v>
      </c>
      <c r="X1115" s="53"/>
      <c r="Y1115" s="53"/>
      <c r="Z1115" s="53"/>
      <c r="AA1115" s="48" t="e">
        <f>INDEX([1]!VISITORS[INSECT ORDER], MATCH(X1115,[1]!VISITORS[NAME USED],0))</f>
        <v>#REF!</v>
      </c>
      <c r="AB1115" s="48" t="e">
        <f t="shared" si="539"/>
        <v>#REF!</v>
      </c>
      <c r="AC1115" s="54" t="e">
        <f t="shared" si="540"/>
        <v>#VALUE!</v>
      </c>
      <c r="AD1115" s="55" t="str">
        <f t="shared" si="541"/>
        <v/>
      </c>
      <c r="AE1115" s="55"/>
      <c r="AF1115" s="55"/>
      <c r="AG1115" s="56" t="str">
        <f t="shared" si="542"/>
        <v/>
      </c>
      <c r="AH1115" s="57" t="str">
        <f t="shared" si="543"/>
        <v/>
      </c>
      <c r="AI1115" s="56"/>
      <c r="AJ1115" s="57" t="str">
        <f t="shared" si="544"/>
        <v/>
      </c>
      <c r="AK1115" s="56"/>
      <c r="AL1115" s="57" t="str">
        <f t="shared" si="545"/>
        <v/>
      </c>
      <c r="AM1115" s="56"/>
      <c r="AN1115" s="57" t="str">
        <f t="shared" si="546"/>
        <v/>
      </c>
      <c r="AO1115" s="56"/>
      <c r="AP1115" s="57" t="str">
        <f t="shared" si="547"/>
        <v/>
      </c>
      <c r="AQ1115" s="56"/>
      <c r="AR1115" s="57" t="str">
        <f t="shared" si="548"/>
        <v/>
      </c>
      <c r="AS1115" s="56"/>
      <c r="AT1115" s="57" t="str">
        <f t="shared" si="549"/>
        <v/>
      </c>
      <c r="AU1115" s="58"/>
      <c r="AV1115" s="59"/>
      <c r="AW1115" s="59"/>
      <c r="AX1115" s="60"/>
      <c r="AY1115" s="61" t="str">
        <f t="shared" si="550"/>
        <v/>
      </c>
      <c r="AZ1115" s="62" t="str">
        <f t="shared" si="551"/>
        <v/>
      </c>
      <c r="BA1115" s="61" t="str">
        <f t="shared" si="552"/>
        <v/>
      </c>
      <c r="BB1115" s="62" t="str">
        <f t="shared" si="553"/>
        <v/>
      </c>
    </row>
    <row r="1116" spans="1:54" s="3" customFormat="1" hidden="1" x14ac:dyDescent="0.35">
      <c r="A1116" s="73">
        <f t="shared" si="530"/>
        <v>2019</v>
      </c>
      <c r="B1116" s="73" t="str">
        <f t="shared" si="531"/>
        <v>Nov</v>
      </c>
      <c r="C1116" s="74">
        <f t="shared" si="554"/>
        <v>17</v>
      </c>
      <c r="D1116" s="75">
        <f t="shared" si="532"/>
        <v>9</v>
      </c>
      <c r="E1116" s="76">
        <f t="shared" si="533"/>
        <v>50</v>
      </c>
      <c r="F1116" s="80">
        <v>54</v>
      </c>
      <c r="G1116" s="83"/>
      <c r="H1116" s="69" t="str">
        <f t="shared" si="555"/>
        <v>Senbur6_20191117_09_00</v>
      </c>
      <c r="I1116" s="70">
        <f t="shared" si="557"/>
        <v>1</v>
      </c>
      <c r="J1116" s="77" t="str">
        <f t="shared" si="557"/>
        <v>Senecio</v>
      </c>
      <c r="K1116" s="77" t="str">
        <f t="shared" si="557"/>
        <v>burtoni</v>
      </c>
      <c r="L1116" s="78">
        <f t="shared" si="557"/>
        <v>6</v>
      </c>
      <c r="M1116" s="78">
        <f t="shared" si="557"/>
        <v>12</v>
      </c>
      <c r="N1116" s="72">
        <f t="shared" si="557"/>
        <v>0</v>
      </c>
      <c r="O1116" s="45"/>
      <c r="P1116" s="46">
        <f t="shared" si="534"/>
        <v>1</v>
      </c>
      <c r="Q1116" s="47" t="str">
        <f t="shared" si="535"/>
        <v>09:50:54</v>
      </c>
      <c r="R1116" s="48" t="str">
        <f t="shared" si="536"/>
        <v>50:54</v>
      </c>
      <c r="S1116" s="49">
        <f t="shared" si="529"/>
        <v>24</v>
      </c>
      <c r="T1116" s="48" t="str">
        <f t="shared" si="537"/>
        <v>09</v>
      </c>
      <c r="U1116" s="50">
        <v>51</v>
      </c>
      <c r="V1116" s="51">
        <v>18</v>
      </c>
      <c r="W1116" s="52" t="str">
        <f t="shared" si="538"/>
        <v>51:18</v>
      </c>
      <c r="X1116" s="53" t="s">
        <v>70</v>
      </c>
      <c r="Y1116" s="97" t="s">
        <v>87</v>
      </c>
      <c r="Z1116" s="97"/>
      <c r="AA1116" s="48" t="s">
        <v>63</v>
      </c>
      <c r="AB1116" s="48" t="str">
        <f t="shared" si="539"/>
        <v>NA</v>
      </c>
      <c r="AC1116" s="54">
        <f t="shared" si="540"/>
        <v>0</v>
      </c>
      <c r="AD1116" s="55">
        <f t="shared" si="541"/>
        <v>1</v>
      </c>
      <c r="AE1116" s="55"/>
      <c r="AF1116" s="55"/>
      <c r="AG1116" s="56">
        <v>1</v>
      </c>
      <c r="AH1116" s="57">
        <v>8</v>
      </c>
      <c r="AI1116" s="56"/>
      <c r="AJ1116" s="57" t="str">
        <f t="shared" si="544"/>
        <v/>
      </c>
      <c r="AK1116" s="56">
        <v>1</v>
      </c>
      <c r="AL1116" s="57">
        <v>16</v>
      </c>
      <c r="AM1116" s="56"/>
      <c r="AN1116" s="57" t="str">
        <f t="shared" si="546"/>
        <v/>
      </c>
      <c r="AO1116" s="56"/>
      <c r="AP1116" s="57" t="str">
        <f t="shared" si="547"/>
        <v/>
      </c>
      <c r="AQ1116" s="56"/>
      <c r="AR1116" s="57" t="str">
        <f t="shared" si="548"/>
        <v/>
      </c>
      <c r="AS1116" s="56"/>
      <c r="AT1116" s="57" t="str">
        <f t="shared" si="549"/>
        <v/>
      </c>
      <c r="AU1116" s="58"/>
      <c r="AV1116" s="59"/>
      <c r="AW1116" s="59"/>
      <c r="AX1116" s="60"/>
      <c r="AY1116" s="61">
        <v>1</v>
      </c>
      <c r="AZ1116" s="62">
        <f t="shared" si="551"/>
        <v>1</v>
      </c>
      <c r="BA1116" s="61">
        <f t="shared" si="552"/>
        <v>0</v>
      </c>
      <c r="BB1116" s="62" t="str">
        <f t="shared" si="553"/>
        <v/>
      </c>
    </row>
    <row r="1117" spans="1:54" s="3" customFormat="1" hidden="1" x14ac:dyDescent="0.35">
      <c r="A1117" s="73">
        <f t="shared" si="530"/>
        <v>2019</v>
      </c>
      <c r="B1117" s="73" t="str">
        <f t="shared" si="531"/>
        <v>Nov</v>
      </c>
      <c r="C1117" s="74">
        <f t="shared" si="554"/>
        <v>17</v>
      </c>
      <c r="D1117" s="75">
        <f t="shared" si="532"/>
        <v>9</v>
      </c>
      <c r="E1117" s="76">
        <f t="shared" si="533"/>
        <v>51</v>
      </c>
      <c r="F1117" s="80"/>
      <c r="G1117" s="83"/>
      <c r="H1117" s="69" t="str">
        <f t="shared" si="555"/>
        <v>Senbur6_20191117_09_00</v>
      </c>
      <c r="I1117" s="70">
        <f t="shared" si="557"/>
        <v>1</v>
      </c>
      <c r="J1117" s="77" t="str">
        <f t="shared" si="557"/>
        <v>Senecio</v>
      </c>
      <c r="K1117" s="77" t="str">
        <f t="shared" si="557"/>
        <v>burtoni</v>
      </c>
      <c r="L1117" s="78">
        <f t="shared" si="557"/>
        <v>6</v>
      </c>
      <c r="M1117" s="78">
        <f t="shared" si="557"/>
        <v>12</v>
      </c>
      <c r="N1117" s="72">
        <f t="shared" si="557"/>
        <v>0</v>
      </c>
      <c r="O1117" s="45"/>
      <c r="P1117" s="46" t="str">
        <f t="shared" si="534"/>
        <v/>
      </c>
      <c r="Q1117" s="47" t="str">
        <f t="shared" si="535"/>
        <v/>
      </c>
      <c r="R1117" s="48" t="e">
        <f t="shared" si="536"/>
        <v>#VALUE!</v>
      </c>
      <c r="S1117" s="49" t="e">
        <f t="shared" si="529"/>
        <v>#VALUE!</v>
      </c>
      <c r="T1117" s="48" t="str">
        <f t="shared" si="537"/>
        <v/>
      </c>
      <c r="U1117" s="50"/>
      <c r="V1117" s="51"/>
      <c r="W1117" s="52" t="e">
        <f t="shared" si="538"/>
        <v>#VALUE!</v>
      </c>
      <c r="X1117" s="53"/>
      <c r="Y1117" s="53"/>
      <c r="Z1117" s="53"/>
      <c r="AA1117" s="48" t="e">
        <f>INDEX([1]!VISITORS[INSECT ORDER], MATCH(X1117,[1]!VISITORS[NAME USED],0))</f>
        <v>#REF!</v>
      </c>
      <c r="AB1117" s="48" t="e">
        <f t="shared" si="539"/>
        <v>#REF!</v>
      </c>
      <c r="AC1117" s="54" t="e">
        <f t="shared" si="540"/>
        <v>#VALUE!</v>
      </c>
      <c r="AD1117" s="55" t="str">
        <f t="shared" si="541"/>
        <v/>
      </c>
      <c r="AE1117" s="55"/>
      <c r="AF1117" s="55"/>
      <c r="AG1117" s="56" t="str">
        <f t="shared" si="542"/>
        <v/>
      </c>
      <c r="AH1117" s="57" t="str">
        <f t="shared" si="543"/>
        <v/>
      </c>
      <c r="AI1117" s="56"/>
      <c r="AJ1117" s="57" t="str">
        <f t="shared" si="544"/>
        <v/>
      </c>
      <c r="AK1117" s="56"/>
      <c r="AL1117" s="57" t="str">
        <f t="shared" si="545"/>
        <v/>
      </c>
      <c r="AM1117" s="56"/>
      <c r="AN1117" s="57" t="str">
        <f t="shared" si="546"/>
        <v/>
      </c>
      <c r="AO1117" s="56"/>
      <c r="AP1117" s="57" t="str">
        <f t="shared" si="547"/>
        <v/>
      </c>
      <c r="AQ1117" s="56"/>
      <c r="AR1117" s="57" t="str">
        <f t="shared" si="548"/>
        <v/>
      </c>
      <c r="AS1117" s="56"/>
      <c r="AT1117" s="57" t="str">
        <f t="shared" si="549"/>
        <v/>
      </c>
      <c r="AU1117" s="58"/>
      <c r="AV1117" s="59"/>
      <c r="AW1117" s="59"/>
      <c r="AX1117" s="60"/>
      <c r="AY1117" s="61" t="str">
        <f t="shared" si="550"/>
        <v/>
      </c>
      <c r="AZ1117" s="62" t="str">
        <f t="shared" si="551"/>
        <v/>
      </c>
      <c r="BA1117" s="61" t="str">
        <f t="shared" si="552"/>
        <v/>
      </c>
      <c r="BB1117" s="62" t="str">
        <f t="shared" si="553"/>
        <v/>
      </c>
    </row>
    <row r="1118" spans="1:54" s="3" customFormat="1" hidden="1" x14ac:dyDescent="0.35">
      <c r="A1118" s="73">
        <f t="shared" si="530"/>
        <v>2019</v>
      </c>
      <c r="B1118" s="73" t="str">
        <f t="shared" si="531"/>
        <v>Nov</v>
      </c>
      <c r="C1118" s="74">
        <f t="shared" si="554"/>
        <v>17</v>
      </c>
      <c r="D1118" s="75">
        <f t="shared" si="532"/>
        <v>9</v>
      </c>
      <c r="E1118" s="76">
        <f t="shared" si="533"/>
        <v>52</v>
      </c>
      <c r="F1118" s="80"/>
      <c r="G1118" s="83"/>
      <c r="H1118" s="69" t="str">
        <f t="shared" si="555"/>
        <v>Senbur6_20191117_09_00</v>
      </c>
      <c r="I1118" s="70">
        <f t="shared" si="557"/>
        <v>1</v>
      </c>
      <c r="J1118" s="77" t="str">
        <f t="shared" si="557"/>
        <v>Senecio</v>
      </c>
      <c r="K1118" s="77" t="str">
        <f t="shared" si="557"/>
        <v>burtoni</v>
      </c>
      <c r="L1118" s="78">
        <f t="shared" si="557"/>
        <v>6</v>
      </c>
      <c r="M1118" s="78">
        <f t="shared" si="557"/>
        <v>12</v>
      </c>
      <c r="N1118" s="72">
        <f t="shared" si="557"/>
        <v>0</v>
      </c>
      <c r="O1118" s="45"/>
      <c r="P1118" s="46" t="str">
        <f t="shared" si="534"/>
        <v/>
      </c>
      <c r="Q1118" s="47" t="str">
        <f t="shared" si="535"/>
        <v/>
      </c>
      <c r="R1118" s="48" t="e">
        <f t="shared" si="536"/>
        <v>#VALUE!</v>
      </c>
      <c r="S1118" s="49" t="e">
        <f t="shared" si="529"/>
        <v>#VALUE!</v>
      </c>
      <c r="T1118" s="48" t="str">
        <f t="shared" si="537"/>
        <v/>
      </c>
      <c r="U1118" s="50"/>
      <c r="V1118" s="51"/>
      <c r="W1118" s="52" t="e">
        <f t="shared" si="538"/>
        <v>#VALUE!</v>
      </c>
      <c r="X1118" s="53"/>
      <c r="Y1118" s="53"/>
      <c r="Z1118" s="53"/>
      <c r="AA1118" s="48" t="e">
        <f>INDEX([1]!VISITORS[INSECT ORDER], MATCH(X1118,[1]!VISITORS[NAME USED],0))</f>
        <v>#REF!</v>
      </c>
      <c r="AB1118" s="48" t="e">
        <f t="shared" si="539"/>
        <v>#REF!</v>
      </c>
      <c r="AC1118" s="54" t="e">
        <f t="shared" si="540"/>
        <v>#VALUE!</v>
      </c>
      <c r="AD1118" s="55" t="str">
        <f t="shared" si="541"/>
        <v/>
      </c>
      <c r="AE1118" s="55"/>
      <c r="AF1118" s="55"/>
      <c r="AG1118" s="56" t="str">
        <f t="shared" si="542"/>
        <v/>
      </c>
      <c r="AH1118" s="57" t="str">
        <f t="shared" si="543"/>
        <v/>
      </c>
      <c r="AI1118" s="56"/>
      <c r="AJ1118" s="57" t="str">
        <f t="shared" si="544"/>
        <v/>
      </c>
      <c r="AK1118" s="56"/>
      <c r="AL1118" s="57" t="str">
        <f t="shared" si="545"/>
        <v/>
      </c>
      <c r="AM1118" s="56"/>
      <c r="AN1118" s="57" t="str">
        <f t="shared" si="546"/>
        <v/>
      </c>
      <c r="AO1118" s="56"/>
      <c r="AP1118" s="57" t="str">
        <f t="shared" si="547"/>
        <v/>
      </c>
      <c r="AQ1118" s="56"/>
      <c r="AR1118" s="57" t="str">
        <f t="shared" si="548"/>
        <v/>
      </c>
      <c r="AS1118" s="56"/>
      <c r="AT1118" s="57" t="str">
        <f t="shared" si="549"/>
        <v/>
      </c>
      <c r="AU1118" s="58"/>
      <c r="AV1118" s="59"/>
      <c r="AW1118" s="59"/>
      <c r="AX1118" s="60"/>
      <c r="AY1118" s="61" t="str">
        <f t="shared" si="550"/>
        <v/>
      </c>
      <c r="AZ1118" s="62" t="str">
        <f t="shared" si="551"/>
        <v/>
      </c>
      <c r="BA1118" s="61" t="str">
        <f t="shared" si="552"/>
        <v/>
      </c>
      <c r="BB1118" s="62" t="str">
        <f t="shared" si="553"/>
        <v/>
      </c>
    </row>
    <row r="1119" spans="1:54" s="3" customFormat="1" hidden="1" x14ac:dyDescent="0.35">
      <c r="A1119" s="73">
        <f t="shared" si="530"/>
        <v>2019</v>
      </c>
      <c r="B1119" s="73" t="str">
        <f t="shared" si="531"/>
        <v>Nov</v>
      </c>
      <c r="C1119" s="74">
        <f t="shared" si="554"/>
        <v>17</v>
      </c>
      <c r="D1119" s="75">
        <f t="shared" si="532"/>
        <v>9</v>
      </c>
      <c r="E1119" s="76">
        <f t="shared" si="533"/>
        <v>53</v>
      </c>
      <c r="F1119" s="80"/>
      <c r="G1119" s="83"/>
      <c r="H1119" s="69" t="str">
        <f t="shared" si="555"/>
        <v>Senbur6_20191117_09_00</v>
      </c>
      <c r="I1119" s="70">
        <f t="shared" si="557"/>
        <v>1</v>
      </c>
      <c r="J1119" s="77" t="str">
        <f t="shared" si="557"/>
        <v>Senecio</v>
      </c>
      <c r="K1119" s="77" t="str">
        <f t="shared" si="557"/>
        <v>burtoni</v>
      </c>
      <c r="L1119" s="78">
        <f t="shared" si="557"/>
        <v>6</v>
      </c>
      <c r="M1119" s="78">
        <f t="shared" si="557"/>
        <v>12</v>
      </c>
      <c r="N1119" s="72">
        <f t="shared" si="557"/>
        <v>0</v>
      </c>
      <c r="O1119" s="45"/>
      <c r="P1119" s="46" t="str">
        <f t="shared" si="534"/>
        <v/>
      </c>
      <c r="Q1119" s="47" t="str">
        <f t="shared" si="535"/>
        <v/>
      </c>
      <c r="R1119" s="48" t="e">
        <f t="shared" si="536"/>
        <v>#VALUE!</v>
      </c>
      <c r="S1119" s="49" t="e">
        <f t="shared" si="529"/>
        <v>#VALUE!</v>
      </c>
      <c r="T1119" s="48" t="str">
        <f t="shared" si="537"/>
        <v/>
      </c>
      <c r="U1119" s="50"/>
      <c r="V1119" s="51"/>
      <c r="W1119" s="52" t="e">
        <f t="shared" si="538"/>
        <v>#VALUE!</v>
      </c>
      <c r="X1119" s="53"/>
      <c r="Y1119" s="53"/>
      <c r="Z1119" s="53"/>
      <c r="AA1119" s="48" t="e">
        <f>INDEX([1]!VISITORS[INSECT ORDER], MATCH(X1119,[1]!VISITORS[NAME USED],0))</f>
        <v>#REF!</v>
      </c>
      <c r="AB1119" s="48" t="e">
        <f t="shared" si="539"/>
        <v>#REF!</v>
      </c>
      <c r="AC1119" s="54" t="e">
        <f t="shared" si="540"/>
        <v>#VALUE!</v>
      </c>
      <c r="AD1119" s="55" t="str">
        <f t="shared" si="541"/>
        <v/>
      </c>
      <c r="AE1119" s="55"/>
      <c r="AF1119" s="55"/>
      <c r="AG1119" s="56" t="str">
        <f t="shared" si="542"/>
        <v/>
      </c>
      <c r="AH1119" s="57" t="str">
        <f t="shared" si="543"/>
        <v/>
      </c>
      <c r="AI1119" s="56"/>
      <c r="AJ1119" s="57" t="str">
        <f t="shared" si="544"/>
        <v/>
      </c>
      <c r="AK1119" s="56"/>
      <c r="AL1119" s="57" t="str">
        <f t="shared" si="545"/>
        <v/>
      </c>
      <c r="AM1119" s="56"/>
      <c r="AN1119" s="57" t="str">
        <f t="shared" si="546"/>
        <v/>
      </c>
      <c r="AO1119" s="56"/>
      <c r="AP1119" s="57" t="str">
        <f t="shared" si="547"/>
        <v/>
      </c>
      <c r="AQ1119" s="56"/>
      <c r="AR1119" s="57" t="str">
        <f t="shared" si="548"/>
        <v/>
      </c>
      <c r="AS1119" s="56"/>
      <c r="AT1119" s="57" t="str">
        <f t="shared" si="549"/>
        <v/>
      </c>
      <c r="AU1119" s="58"/>
      <c r="AV1119" s="59"/>
      <c r="AW1119" s="59"/>
      <c r="AX1119" s="60"/>
      <c r="AY1119" s="61" t="str">
        <f t="shared" si="550"/>
        <v/>
      </c>
      <c r="AZ1119" s="62" t="str">
        <f t="shared" si="551"/>
        <v/>
      </c>
      <c r="BA1119" s="61" t="str">
        <f t="shared" si="552"/>
        <v/>
      </c>
      <c r="BB1119" s="62" t="str">
        <f t="shared" si="553"/>
        <v/>
      </c>
    </row>
    <row r="1120" spans="1:54" s="3" customFormat="1" hidden="1" x14ac:dyDescent="0.35">
      <c r="A1120" s="73">
        <f t="shared" si="530"/>
        <v>2019</v>
      </c>
      <c r="B1120" s="73" t="str">
        <f t="shared" si="531"/>
        <v>Nov</v>
      </c>
      <c r="C1120" s="74">
        <f t="shared" si="554"/>
        <v>17</v>
      </c>
      <c r="D1120" s="75">
        <f t="shared" si="532"/>
        <v>9</v>
      </c>
      <c r="E1120" s="76">
        <f t="shared" si="533"/>
        <v>54</v>
      </c>
      <c r="F1120" s="80"/>
      <c r="G1120" s="83"/>
      <c r="H1120" s="69" t="str">
        <f t="shared" si="555"/>
        <v>Senbur6_20191117_09_00</v>
      </c>
      <c r="I1120" s="70">
        <f t="shared" si="557"/>
        <v>1</v>
      </c>
      <c r="J1120" s="77" t="str">
        <f t="shared" si="557"/>
        <v>Senecio</v>
      </c>
      <c r="K1120" s="77" t="str">
        <f t="shared" si="557"/>
        <v>burtoni</v>
      </c>
      <c r="L1120" s="78">
        <f t="shared" si="557"/>
        <v>6</v>
      </c>
      <c r="M1120" s="78">
        <f t="shared" si="557"/>
        <v>12</v>
      </c>
      <c r="N1120" s="72">
        <f t="shared" si="557"/>
        <v>0</v>
      </c>
      <c r="O1120" s="45"/>
      <c r="P1120" s="46" t="str">
        <f t="shared" si="534"/>
        <v/>
      </c>
      <c r="Q1120" s="47" t="str">
        <f t="shared" si="535"/>
        <v/>
      </c>
      <c r="R1120" s="48" t="e">
        <f t="shared" si="536"/>
        <v>#VALUE!</v>
      </c>
      <c r="S1120" s="49" t="e">
        <f t="shared" si="529"/>
        <v>#VALUE!</v>
      </c>
      <c r="T1120" s="48" t="str">
        <f t="shared" si="537"/>
        <v/>
      </c>
      <c r="U1120" s="50"/>
      <c r="V1120" s="51"/>
      <c r="W1120" s="52" t="e">
        <f t="shared" si="538"/>
        <v>#VALUE!</v>
      </c>
      <c r="X1120" s="53"/>
      <c r="Y1120" s="53"/>
      <c r="Z1120" s="53"/>
      <c r="AA1120" s="48" t="e">
        <f>INDEX([1]!VISITORS[INSECT ORDER], MATCH(X1120,[1]!VISITORS[NAME USED],0))</f>
        <v>#REF!</v>
      </c>
      <c r="AB1120" s="48" t="e">
        <f t="shared" si="539"/>
        <v>#REF!</v>
      </c>
      <c r="AC1120" s="54" t="e">
        <f t="shared" si="540"/>
        <v>#VALUE!</v>
      </c>
      <c r="AD1120" s="55" t="str">
        <f t="shared" si="541"/>
        <v/>
      </c>
      <c r="AE1120" s="55"/>
      <c r="AF1120" s="55"/>
      <c r="AG1120" s="56" t="str">
        <f t="shared" si="542"/>
        <v/>
      </c>
      <c r="AH1120" s="57" t="str">
        <f t="shared" si="543"/>
        <v/>
      </c>
      <c r="AI1120" s="56"/>
      <c r="AJ1120" s="57" t="str">
        <f t="shared" si="544"/>
        <v/>
      </c>
      <c r="AK1120" s="56"/>
      <c r="AL1120" s="57" t="str">
        <f t="shared" si="545"/>
        <v/>
      </c>
      <c r="AM1120" s="56"/>
      <c r="AN1120" s="57" t="str">
        <f t="shared" si="546"/>
        <v/>
      </c>
      <c r="AO1120" s="56"/>
      <c r="AP1120" s="57" t="str">
        <f t="shared" si="547"/>
        <v/>
      </c>
      <c r="AQ1120" s="56"/>
      <c r="AR1120" s="57" t="str">
        <f t="shared" si="548"/>
        <v/>
      </c>
      <c r="AS1120" s="56"/>
      <c r="AT1120" s="57" t="str">
        <f t="shared" si="549"/>
        <v/>
      </c>
      <c r="AU1120" s="58"/>
      <c r="AV1120" s="59"/>
      <c r="AW1120" s="59"/>
      <c r="AX1120" s="60"/>
      <c r="AY1120" s="61" t="str">
        <f t="shared" si="550"/>
        <v/>
      </c>
      <c r="AZ1120" s="62" t="str">
        <f t="shared" si="551"/>
        <v/>
      </c>
      <c r="BA1120" s="61" t="str">
        <f t="shared" si="552"/>
        <v/>
      </c>
      <c r="BB1120" s="62" t="str">
        <f t="shared" si="553"/>
        <v/>
      </c>
    </row>
    <row r="1121" spans="1:54" s="3" customFormat="1" hidden="1" x14ac:dyDescent="0.35">
      <c r="A1121" s="73">
        <f t="shared" si="530"/>
        <v>2019</v>
      </c>
      <c r="B1121" s="73" t="str">
        <f t="shared" si="531"/>
        <v>Nov</v>
      </c>
      <c r="C1121" s="74">
        <f t="shared" si="554"/>
        <v>17</v>
      </c>
      <c r="D1121" s="75">
        <f t="shared" si="532"/>
        <v>9</v>
      </c>
      <c r="E1121" s="76">
        <f t="shared" si="533"/>
        <v>55</v>
      </c>
      <c r="F1121" s="80"/>
      <c r="G1121" s="83"/>
      <c r="H1121" s="69" t="str">
        <f t="shared" si="555"/>
        <v>Senbur6_20191117_09_00</v>
      </c>
      <c r="I1121" s="70">
        <f t="shared" si="557"/>
        <v>1</v>
      </c>
      <c r="J1121" s="77" t="str">
        <f t="shared" si="557"/>
        <v>Senecio</v>
      </c>
      <c r="K1121" s="77" t="str">
        <f t="shared" si="557"/>
        <v>burtoni</v>
      </c>
      <c r="L1121" s="78">
        <f t="shared" si="557"/>
        <v>6</v>
      </c>
      <c r="M1121" s="78">
        <f t="shared" si="557"/>
        <v>12</v>
      </c>
      <c r="N1121" s="72">
        <f t="shared" si="557"/>
        <v>0</v>
      </c>
      <c r="O1121" s="45"/>
      <c r="P1121" s="46" t="str">
        <f t="shared" si="534"/>
        <v/>
      </c>
      <c r="Q1121" s="47" t="str">
        <f t="shared" si="535"/>
        <v/>
      </c>
      <c r="R1121" s="48" t="e">
        <f t="shared" si="536"/>
        <v>#VALUE!</v>
      </c>
      <c r="S1121" s="49" t="e">
        <f t="shared" si="529"/>
        <v>#VALUE!</v>
      </c>
      <c r="T1121" s="48" t="str">
        <f t="shared" si="537"/>
        <v/>
      </c>
      <c r="U1121" s="50"/>
      <c r="V1121" s="51"/>
      <c r="W1121" s="52" t="e">
        <f t="shared" si="538"/>
        <v>#VALUE!</v>
      </c>
      <c r="X1121" s="53"/>
      <c r="Y1121" s="53"/>
      <c r="Z1121" s="53"/>
      <c r="AA1121" s="48" t="e">
        <f>INDEX([1]!VISITORS[INSECT ORDER], MATCH(X1121,[1]!VISITORS[NAME USED],0))</f>
        <v>#REF!</v>
      </c>
      <c r="AB1121" s="48" t="e">
        <f t="shared" si="539"/>
        <v>#REF!</v>
      </c>
      <c r="AC1121" s="54" t="e">
        <f t="shared" si="540"/>
        <v>#VALUE!</v>
      </c>
      <c r="AD1121" s="55" t="str">
        <f t="shared" si="541"/>
        <v/>
      </c>
      <c r="AE1121" s="55"/>
      <c r="AF1121" s="55"/>
      <c r="AG1121" s="56" t="str">
        <f t="shared" si="542"/>
        <v/>
      </c>
      <c r="AH1121" s="57" t="str">
        <f t="shared" si="543"/>
        <v/>
      </c>
      <c r="AI1121" s="56"/>
      <c r="AJ1121" s="57" t="str">
        <f t="shared" si="544"/>
        <v/>
      </c>
      <c r="AK1121" s="56"/>
      <c r="AL1121" s="57" t="str">
        <f t="shared" si="545"/>
        <v/>
      </c>
      <c r="AM1121" s="56"/>
      <c r="AN1121" s="57" t="str">
        <f t="shared" si="546"/>
        <v/>
      </c>
      <c r="AO1121" s="56"/>
      <c r="AP1121" s="57" t="str">
        <f t="shared" si="547"/>
        <v/>
      </c>
      <c r="AQ1121" s="56"/>
      <c r="AR1121" s="57" t="str">
        <f t="shared" si="548"/>
        <v/>
      </c>
      <c r="AS1121" s="56"/>
      <c r="AT1121" s="57" t="str">
        <f t="shared" si="549"/>
        <v/>
      </c>
      <c r="AU1121" s="58"/>
      <c r="AV1121" s="59"/>
      <c r="AW1121" s="59"/>
      <c r="AX1121" s="60"/>
      <c r="AY1121" s="61" t="str">
        <f t="shared" si="550"/>
        <v/>
      </c>
      <c r="AZ1121" s="62" t="str">
        <f t="shared" si="551"/>
        <v/>
      </c>
      <c r="BA1121" s="61" t="str">
        <f t="shared" si="552"/>
        <v/>
      </c>
      <c r="BB1121" s="62" t="str">
        <f t="shared" si="553"/>
        <v/>
      </c>
    </row>
    <row r="1122" spans="1:54" s="3" customFormat="1" hidden="1" x14ac:dyDescent="0.35">
      <c r="A1122" s="73">
        <f t="shared" si="530"/>
        <v>2019</v>
      </c>
      <c r="B1122" s="73" t="str">
        <f t="shared" si="531"/>
        <v>Nov</v>
      </c>
      <c r="C1122" s="74">
        <f t="shared" si="554"/>
        <v>17</v>
      </c>
      <c r="D1122" s="75">
        <f t="shared" si="532"/>
        <v>9</v>
      </c>
      <c r="E1122" s="76">
        <f t="shared" si="533"/>
        <v>56</v>
      </c>
      <c r="F1122" s="80"/>
      <c r="G1122" s="83"/>
      <c r="H1122" s="69" t="str">
        <f t="shared" si="555"/>
        <v>Senbur6_20191117_09_00</v>
      </c>
      <c r="I1122" s="70">
        <f t="shared" si="557"/>
        <v>1</v>
      </c>
      <c r="J1122" s="77" t="str">
        <f t="shared" si="557"/>
        <v>Senecio</v>
      </c>
      <c r="K1122" s="77" t="str">
        <f t="shared" si="557"/>
        <v>burtoni</v>
      </c>
      <c r="L1122" s="78">
        <f t="shared" si="557"/>
        <v>6</v>
      </c>
      <c r="M1122" s="78">
        <f t="shared" si="557"/>
        <v>12</v>
      </c>
      <c r="N1122" s="72">
        <f t="shared" si="557"/>
        <v>0</v>
      </c>
      <c r="O1122" s="45"/>
      <c r="P1122" s="46" t="str">
        <f t="shared" si="534"/>
        <v/>
      </c>
      <c r="Q1122" s="47" t="str">
        <f t="shared" si="535"/>
        <v/>
      </c>
      <c r="R1122" s="48" t="e">
        <f t="shared" si="536"/>
        <v>#VALUE!</v>
      </c>
      <c r="S1122" s="49" t="e">
        <f t="shared" si="529"/>
        <v>#VALUE!</v>
      </c>
      <c r="T1122" s="48" t="str">
        <f t="shared" si="537"/>
        <v/>
      </c>
      <c r="U1122" s="50"/>
      <c r="V1122" s="51"/>
      <c r="W1122" s="52" t="e">
        <f t="shared" si="538"/>
        <v>#VALUE!</v>
      </c>
      <c r="X1122" s="53"/>
      <c r="Y1122" s="53"/>
      <c r="Z1122" s="53"/>
      <c r="AA1122" s="48" t="e">
        <f>INDEX([1]!VISITORS[INSECT ORDER], MATCH(X1122,[1]!VISITORS[NAME USED],0))</f>
        <v>#REF!</v>
      </c>
      <c r="AB1122" s="48" t="e">
        <f t="shared" si="539"/>
        <v>#REF!</v>
      </c>
      <c r="AC1122" s="54" t="e">
        <f t="shared" si="540"/>
        <v>#VALUE!</v>
      </c>
      <c r="AD1122" s="55" t="str">
        <f t="shared" si="541"/>
        <v/>
      </c>
      <c r="AE1122" s="55"/>
      <c r="AF1122" s="55"/>
      <c r="AG1122" s="56" t="str">
        <f t="shared" si="542"/>
        <v/>
      </c>
      <c r="AH1122" s="57" t="str">
        <f t="shared" si="543"/>
        <v/>
      </c>
      <c r="AI1122" s="56"/>
      <c r="AJ1122" s="57" t="str">
        <f t="shared" si="544"/>
        <v/>
      </c>
      <c r="AK1122" s="56"/>
      <c r="AL1122" s="57" t="str">
        <f t="shared" si="545"/>
        <v/>
      </c>
      <c r="AM1122" s="56"/>
      <c r="AN1122" s="57" t="str">
        <f t="shared" si="546"/>
        <v/>
      </c>
      <c r="AO1122" s="56"/>
      <c r="AP1122" s="57" t="str">
        <f t="shared" si="547"/>
        <v/>
      </c>
      <c r="AQ1122" s="56"/>
      <c r="AR1122" s="57" t="str">
        <f t="shared" si="548"/>
        <v/>
      </c>
      <c r="AS1122" s="56"/>
      <c r="AT1122" s="57" t="str">
        <f t="shared" si="549"/>
        <v/>
      </c>
      <c r="AU1122" s="58"/>
      <c r="AV1122" s="59"/>
      <c r="AW1122" s="59"/>
      <c r="AX1122" s="60"/>
      <c r="AY1122" s="61" t="str">
        <f t="shared" si="550"/>
        <v/>
      </c>
      <c r="AZ1122" s="62" t="str">
        <f t="shared" si="551"/>
        <v/>
      </c>
      <c r="BA1122" s="61" t="str">
        <f t="shared" si="552"/>
        <v/>
      </c>
      <c r="BB1122" s="62" t="str">
        <f t="shared" si="553"/>
        <v/>
      </c>
    </row>
    <row r="1123" spans="1:54" s="3" customFormat="1" hidden="1" x14ac:dyDescent="0.35">
      <c r="A1123" s="73">
        <f t="shared" si="530"/>
        <v>2019</v>
      </c>
      <c r="B1123" s="73" t="str">
        <f t="shared" si="531"/>
        <v>Nov</v>
      </c>
      <c r="C1123" s="74">
        <f t="shared" si="554"/>
        <v>17</v>
      </c>
      <c r="D1123" s="75">
        <f t="shared" si="532"/>
        <v>9</v>
      </c>
      <c r="E1123" s="76">
        <f t="shared" si="533"/>
        <v>57</v>
      </c>
      <c r="F1123" s="80"/>
      <c r="G1123" s="83"/>
      <c r="H1123" s="69" t="str">
        <f t="shared" si="555"/>
        <v>Senbur6_20191117_09_00</v>
      </c>
      <c r="I1123" s="70">
        <f t="shared" si="557"/>
        <v>1</v>
      </c>
      <c r="J1123" s="77" t="str">
        <f t="shared" si="557"/>
        <v>Senecio</v>
      </c>
      <c r="K1123" s="77" t="str">
        <f t="shared" si="557"/>
        <v>burtoni</v>
      </c>
      <c r="L1123" s="78">
        <f t="shared" si="557"/>
        <v>6</v>
      </c>
      <c r="M1123" s="78">
        <f t="shared" si="557"/>
        <v>12</v>
      </c>
      <c r="N1123" s="72">
        <f t="shared" si="557"/>
        <v>0</v>
      </c>
      <c r="O1123" s="45"/>
      <c r="P1123" s="46" t="str">
        <f t="shared" si="534"/>
        <v/>
      </c>
      <c r="Q1123" s="47" t="str">
        <f t="shared" si="535"/>
        <v/>
      </c>
      <c r="R1123" s="48" t="e">
        <f t="shared" si="536"/>
        <v>#VALUE!</v>
      </c>
      <c r="S1123" s="49" t="e">
        <f t="shared" si="529"/>
        <v>#VALUE!</v>
      </c>
      <c r="T1123" s="48" t="str">
        <f t="shared" si="537"/>
        <v/>
      </c>
      <c r="U1123" s="50"/>
      <c r="V1123" s="51"/>
      <c r="W1123" s="52" t="e">
        <f t="shared" si="538"/>
        <v>#VALUE!</v>
      </c>
      <c r="X1123" s="53"/>
      <c r="Y1123" s="53"/>
      <c r="Z1123" s="53"/>
      <c r="AA1123" s="48" t="e">
        <f>INDEX([1]!VISITORS[INSECT ORDER], MATCH(X1123,[1]!VISITORS[NAME USED],0))</f>
        <v>#REF!</v>
      </c>
      <c r="AB1123" s="48" t="e">
        <f t="shared" si="539"/>
        <v>#REF!</v>
      </c>
      <c r="AC1123" s="54" t="e">
        <f t="shared" si="540"/>
        <v>#VALUE!</v>
      </c>
      <c r="AD1123" s="55" t="str">
        <f t="shared" si="541"/>
        <v/>
      </c>
      <c r="AE1123" s="55"/>
      <c r="AF1123" s="55"/>
      <c r="AG1123" s="56" t="str">
        <f t="shared" si="542"/>
        <v/>
      </c>
      <c r="AH1123" s="57" t="str">
        <f t="shared" si="543"/>
        <v/>
      </c>
      <c r="AI1123" s="56"/>
      <c r="AJ1123" s="57" t="str">
        <f t="shared" si="544"/>
        <v/>
      </c>
      <c r="AK1123" s="56"/>
      <c r="AL1123" s="57" t="str">
        <f t="shared" si="545"/>
        <v/>
      </c>
      <c r="AM1123" s="56"/>
      <c r="AN1123" s="57" t="str">
        <f t="shared" si="546"/>
        <v/>
      </c>
      <c r="AO1123" s="56"/>
      <c r="AP1123" s="57" t="str">
        <f t="shared" si="547"/>
        <v/>
      </c>
      <c r="AQ1123" s="56"/>
      <c r="AR1123" s="57" t="str">
        <f t="shared" si="548"/>
        <v/>
      </c>
      <c r="AS1123" s="56"/>
      <c r="AT1123" s="57" t="str">
        <f t="shared" si="549"/>
        <v/>
      </c>
      <c r="AU1123" s="58"/>
      <c r="AV1123" s="59"/>
      <c r="AW1123" s="59"/>
      <c r="AX1123" s="60"/>
      <c r="AY1123" s="61" t="str">
        <f t="shared" si="550"/>
        <v/>
      </c>
      <c r="AZ1123" s="62" t="str">
        <f t="shared" si="551"/>
        <v/>
      </c>
      <c r="BA1123" s="61" t="str">
        <f t="shared" si="552"/>
        <v/>
      </c>
      <c r="BB1123" s="62" t="str">
        <f t="shared" si="553"/>
        <v/>
      </c>
    </row>
    <row r="1124" spans="1:54" s="3" customFormat="1" hidden="1" x14ac:dyDescent="0.35">
      <c r="A1124" s="73">
        <f t="shared" si="530"/>
        <v>2019</v>
      </c>
      <c r="B1124" s="73" t="str">
        <f t="shared" si="531"/>
        <v>Nov</v>
      </c>
      <c r="C1124" s="74">
        <f t="shared" si="554"/>
        <v>17</v>
      </c>
      <c r="D1124" s="75">
        <f t="shared" si="532"/>
        <v>9</v>
      </c>
      <c r="E1124" s="76">
        <f t="shared" si="533"/>
        <v>58</v>
      </c>
      <c r="F1124" s="80"/>
      <c r="G1124" s="83"/>
      <c r="H1124" s="69" t="str">
        <f t="shared" si="555"/>
        <v>Senbur6_20191117_09_00</v>
      </c>
      <c r="I1124" s="70">
        <f t="shared" si="557"/>
        <v>1</v>
      </c>
      <c r="J1124" s="77" t="str">
        <f t="shared" si="557"/>
        <v>Senecio</v>
      </c>
      <c r="K1124" s="77" t="str">
        <f t="shared" si="557"/>
        <v>burtoni</v>
      </c>
      <c r="L1124" s="78">
        <f t="shared" si="557"/>
        <v>6</v>
      </c>
      <c r="M1124" s="78">
        <f t="shared" si="557"/>
        <v>12</v>
      </c>
      <c r="N1124" s="72">
        <f t="shared" si="557"/>
        <v>0</v>
      </c>
      <c r="O1124" s="45"/>
      <c r="P1124" s="46" t="str">
        <f t="shared" si="534"/>
        <v/>
      </c>
      <c r="Q1124" s="47" t="str">
        <f t="shared" si="535"/>
        <v/>
      </c>
      <c r="R1124" s="48" t="e">
        <f t="shared" si="536"/>
        <v>#VALUE!</v>
      </c>
      <c r="S1124" s="49" t="e">
        <f t="shared" si="529"/>
        <v>#VALUE!</v>
      </c>
      <c r="T1124" s="48" t="str">
        <f t="shared" si="537"/>
        <v/>
      </c>
      <c r="U1124" s="50"/>
      <c r="V1124" s="51"/>
      <c r="W1124" s="52" t="e">
        <f t="shared" si="538"/>
        <v>#VALUE!</v>
      </c>
      <c r="X1124" s="53"/>
      <c r="Y1124" s="53"/>
      <c r="Z1124" s="53"/>
      <c r="AA1124" s="48" t="e">
        <f>INDEX([1]!VISITORS[INSECT ORDER], MATCH(X1124,[1]!VISITORS[NAME USED],0))</f>
        <v>#REF!</v>
      </c>
      <c r="AB1124" s="48" t="e">
        <f t="shared" si="539"/>
        <v>#REF!</v>
      </c>
      <c r="AC1124" s="54" t="e">
        <f t="shared" si="540"/>
        <v>#VALUE!</v>
      </c>
      <c r="AD1124" s="55" t="str">
        <f t="shared" si="541"/>
        <v/>
      </c>
      <c r="AE1124" s="55"/>
      <c r="AF1124" s="55"/>
      <c r="AG1124" s="56" t="str">
        <f t="shared" si="542"/>
        <v/>
      </c>
      <c r="AH1124" s="57" t="str">
        <f t="shared" si="543"/>
        <v/>
      </c>
      <c r="AI1124" s="56"/>
      <c r="AJ1124" s="57" t="str">
        <f t="shared" si="544"/>
        <v/>
      </c>
      <c r="AK1124" s="56"/>
      <c r="AL1124" s="57" t="str">
        <f t="shared" si="545"/>
        <v/>
      </c>
      <c r="AM1124" s="56"/>
      <c r="AN1124" s="57" t="str">
        <f t="shared" si="546"/>
        <v/>
      </c>
      <c r="AO1124" s="56"/>
      <c r="AP1124" s="57" t="str">
        <f t="shared" si="547"/>
        <v/>
      </c>
      <c r="AQ1124" s="56"/>
      <c r="AR1124" s="57" t="str">
        <f t="shared" si="548"/>
        <v/>
      </c>
      <c r="AS1124" s="56"/>
      <c r="AT1124" s="57" t="str">
        <f t="shared" si="549"/>
        <v/>
      </c>
      <c r="AU1124" s="58"/>
      <c r="AV1124" s="59"/>
      <c r="AW1124" s="59"/>
      <c r="AX1124" s="60"/>
      <c r="AY1124" s="61" t="str">
        <f t="shared" si="550"/>
        <v/>
      </c>
      <c r="AZ1124" s="62" t="str">
        <f t="shared" si="551"/>
        <v/>
      </c>
      <c r="BA1124" s="61" t="str">
        <f t="shared" si="552"/>
        <v/>
      </c>
      <c r="BB1124" s="62" t="str">
        <f t="shared" si="553"/>
        <v/>
      </c>
    </row>
    <row r="1125" spans="1:54" s="3" customFormat="1" hidden="1" x14ac:dyDescent="0.35">
      <c r="A1125" s="73">
        <f t="shared" si="530"/>
        <v>2019</v>
      </c>
      <c r="B1125" s="73" t="str">
        <f t="shared" si="531"/>
        <v>Nov</v>
      </c>
      <c r="C1125" s="74">
        <f t="shared" si="554"/>
        <v>17</v>
      </c>
      <c r="D1125" s="75">
        <f t="shared" si="532"/>
        <v>9</v>
      </c>
      <c r="E1125" s="76">
        <f t="shared" si="533"/>
        <v>59</v>
      </c>
      <c r="F1125" s="80"/>
      <c r="G1125" s="83"/>
      <c r="H1125" s="69" t="str">
        <f t="shared" si="555"/>
        <v>Senbur6_20191117_09_00</v>
      </c>
      <c r="I1125" s="70">
        <f t="shared" ref="I1125:N1140" si="558">I1124</f>
        <v>1</v>
      </c>
      <c r="J1125" s="77" t="str">
        <f t="shared" si="558"/>
        <v>Senecio</v>
      </c>
      <c r="K1125" s="77" t="str">
        <f t="shared" si="558"/>
        <v>burtoni</v>
      </c>
      <c r="L1125" s="78">
        <f t="shared" si="558"/>
        <v>6</v>
      </c>
      <c r="M1125" s="78">
        <f t="shared" si="558"/>
        <v>12</v>
      </c>
      <c r="N1125" s="72">
        <f t="shared" si="558"/>
        <v>0</v>
      </c>
      <c r="O1125" s="45"/>
      <c r="P1125" s="46" t="str">
        <f t="shared" si="534"/>
        <v/>
      </c>
      <c r="Q1125" s="47" t="str">
        <f t="shared" si="535"/>
        <v/>
      </c>
      <c r="R1125" s="48" t="e">
        <f t="shared" si="536"/>
        <v>#VALUE!</v>
      </c>
      <c r="S1125" s="49" t="e">
        <f t="shared" si="529"/>
        <v>#VALUE!</v>
      </c>
      <c r="T1125" s="48" t="str">
        <f t="shared" si="537"/>
        <v/>
      </c>
      <c r="U1125" s="50"/>
      <c r="V1125" s="51"/>
      <c r="W1125" s="52" t="e">
        <f t="shared" si="538"/>
        <v>#VALUE!</v>
      </c>
      <c r="X1125" s="53"/>
      <c r="Y1125" s="53"/>
      <c r="Z1125" s="53"/>
      <c r="AA1125" s="48" t="e">
        <f>INDEX([1]!VISITORS[INSECT ORDER], MATCH(X1125,[1]!VISITORS[NAME USED],0))</f>
        <v>#REF!</v>
      </c>
      <c r="AB1125" s="48" t="e">
        <f t="shared" si="539"/>
        <v>#REF!</v>
      </c>
      <c r="AC1125" s="54" t="e">
        <f t="shared" si="540"/>
        <v>#VALUE!</v>
      </c>
      <c r="AD1125" s="55" t="str">
        <f t="shared" si="541"/>
        <v/>
      </c>
      <c r="AE1125" s="55"/>
      <c r="AF1125" s="55"/>
      <c r="AG1125" s="56" t="str">
        <f t="shared" si="542"/>
        <v/>
      </c>
      <c r="AH1125" s="57" t="str">
        <f t="shared" si="543"/>
        <v/>
      </c>
      <c r="AI1125" s="56"/>
      <c r="AJ1125" s="57" t="str">
        <f t="shared" si="544"/>
        <v/>
      </c>
      <c r="AK1125" s="56"/>
      <c r="AL1125" s="57" t="str">
        <f t="shared" si="545"/>
        <v/>
      </c>
      <c r="AM1125" s="56"/>
      <c r="AN1125" s="57" t="str">
        <f t="shared" si="546"/>
        <v/>
      </c>
      <c r="AO1125" s="56"/>
      <c r="AP1125" s="57" t="str">
        <f t="shared" si="547"/>
        <v/>
      </c>
      <c r="AQ1125" s="56"/>
      <c r="AR1125" s="57" t="str">
        <f t="shared" si="548"/>
        <v/>
      </c>
      <c r="AS1125" s="56"/>
      <c r="AT1125" s="57" t="str">
        <f t="shared" si="549"/>
        <v/>
      </c>
      <c r="AU1125" s="58"/>
      <c r="AV1125" s="59"/>
      <c r="AW1125" s="59"/>
      <c r="AX1125" s="60"/>
      <c r="AY1125" s="61" t="str">
        <f t="shared" si="550"/>
        <v/>
      </c>
      <c r="AZ1125" s="62" t="str">
        <f t="shared" si="551"/>
        <v/>
      </c>
      <c r="BA1125" s="61" t="str">
        <f t="shared" si="552"/>
        <v/>
      </c>
      <c r="BB1125" s="62" t="str">
        <f t="shared" si="553"/>
        <v/>
      </c>
    </row>
    <row r="1126" spans="1:54" s="3" customFormat="1" hidden="1" x14ac:dyDescent="0.35">
      <c r="A1126" s="73">
        <f t="shared" si="530"/>
        <v>2019</v>
      </c>
      <c r="B1126" s="73" t="str">
        <f t="shared" si="531"/>
        <v>Nov</v>
      </c>
      <c r="C1126" s="74">
        <f t="shared" si="554"/>
        <v>17</v>
      </c>
      <c r="D1126" s="75">
        <f t="shared" si="532"/>
        <v>10</v>
      </c>
      <c r="E1126" s="76">
        <f t="shared" si="533"/>
        <v>0</v>
      </c>
      <c r="F1126" s="80"/>
      <c r="G1126" s="83"/>
      <c r="H1126" s="69" t="str">
        <f t="shared" si="555"/>
        <v>Senbur6_20191117_10_00</v>
      </c>
      <c r="I1126" s="70">
        <f t="shared" si="558"/>
        <v>1</v>
      </c>
      <c r="J1126" s="77" t="str">
        <f t="shared" si="558"/>
        <v>Senecio</v>
      </c>
      <c r="K1126" s="77" t="str">
        <f t="shared" si="558"/>
        <v>burtoni</v>
      </c>
      <c r="L1126" s="78">
        <f t="shared" si="558"/>
        <v>6</v>
      </c>
      <c r="M1126" s="78">
        <f t="shared" si="558"/>
        <v>12</v>
      </c>
      <c r="N1126" s="72">
        <f t="shared" si="558"/>
        <v>0</v>
      </c>
      <c r="O1126" s="45"/>
      <c r="P1126" s="46" t="str">
        <f t="shared" si="534"/>
        <v/>
      </c>
      <c r="Q1126" s="47" t="str">
        <f t="shared" si="535"/>
        <v/>
      </c>
      <c r="R1126" s="48" t="e">
        <f t="shared" si="536"/>
        <v>#VALUE!</v>
      </c>
      <c r="S1126" s="49" t="e">
        <f t="shared" si="529"/>
        <v>#VALUE!</v>
      </c>
      <c r="T1126" s="48" t="str">
        <f t="shared" si="537"/>
        <v/>
      </c>
      <c r="U1126" s="50"/>
      <c r="V1126" s="51"/>
      <c r="W1126" s="52" t="e">
        <f t="shared" si="538"/>
        <v>#VALUE!</v>
      </c>
      <c r="X1126" s="53"/>
      <c r="Y1126" s="53"/>
      <c r="Z1126" s="53"/>
      <c r="AA1126" s="48" t="e">
        <f>INDEX([1]!VISITORS[INSECT ORDER], MATCH(X1126,[1]!VISITORS[NAME USED],0))</f>
        <v>#REF!</v>
      </c>
      <c r="AB1126" s="48" t="e">
        <f t="shared" si="539"/>
        <v>#REF!</v>
      </c>
      <c r="AC1126" s="54" t="e">
        <f t="shared" si="540"/>
        <v>#VALUE!</v>
      </c>
      <c r="AD1126" s="55" t="str">
        <f t="shared" si="541"/>
        <v/>
      </c>
      <c r="AE1126" s="55"/>
      <c r="AF1126" s="55"/>
      <c r="AG1126" s="56" t="str">
        <f t="shared" si="542"/>
        <v/>
      </c>
      <c r="AH1126" s="57" t="str">
        <f t="shared" si="543"/>
        <v/>
      </c>
      <c r="AI1126" s="56"/>
      <c r="AJ1126" s="57" t="str">
        <f t="shared" si="544"/>
        <v/>
      </c>
      <c r="AK1126" s="56"/>
      <c r="AL1126" s="57" t="str">
        <f t="shared" si="545"/>
        <v/>
      </c>
      <c r="AM1126" s="56"/>
      <c r="AN1126" s="57" t="str">
        <f t="shared" si="546"/>
        <v/>
      </c>
      <c r="AO1126" s="56"/>
      <c r="AP1126" s="57" t="str">
        <f t="shared" si="547"/>
        <v/>
      </c>
      <c r="AQ1126" s="56"/>
      <c r="AR1126" s="57" t="str">
        <f t="shared" si="548"/>
        <v/>
      </c>
      <c r="AS1126" s="56"/>
      <c r="AT1126" s="57" t="str">
        <f t="shared" si="549"/>
        <v/>
      </c>
      <c r="AU1126" s="58"/>
      <c r="AV1126" s="59"/>
      <c r="AW1126" s="59"/>
      <c r="AX1126" s="60"/>
      <c r="AY1126" s="61" t="str">
        <f t="shared" si="550"/>
        <v/>
      </c>
      <c r="AZ1126" s="62" t="str">
        <f t="shared" si="551"/>
        <v/>
      </c>
      <c r="BA1126" s="61" t="str">
        <f t="shared" si="552"/>
        <v/>
      </c>
      <c r="BB1126" s="62" t="str">
        <f t="shared" si="553"/>
        <v/>
      </c>
    </row>
    <row r="1127" spans="1:54" s="3" customFormat="1" hidden="1" x14ac:dyDescent="0.35">
      <c r="A1127" s="73">
        <f t="shared" si="530"/>
        <v>2019</v>
      </c>
      <c r="B1127" s="73" t="str">
        <f t="shared" si="531"/>
        <v>Nov</v>
      </c>
      <c r="C1127" s="74">
        <f t="shared" si="554"/>
        <v>17</v>
      </c>
      <c r="D1127" s="75">
        <f t="shared" si="532"/>
        <v>10</v>
      </c>
      <c r="E1127" s="76">
        <f t="shared" si="533"/>
        <v>1</v>
      </c>
      <c r="F1127" s="80"/>
      <c r="G1127" s="83"/>
      <c r="H1127" s="69" t="str">
        <f t="shared" si="555"/>
        <v>Senbur6_20191117_10_00</v>
      </c>
      <c r="I1127" s="70">
        <f t="shared" si="558"/>
        <v>1</v>
      </c>
      <c r="J1127" s="77" t="str">
        <f t="shared" si="558"/>
        <v>Senecio</v>
      </c>
      <c r="K1127" s="77" t="str">
        <f t="shared" si="558"/>
        <v>burtoni</v>
      </c>
      <c r="L1127" s="78">
        <f t="shared" si="558"/>
        <v>6</v>
      </c>
      <c r="M1127" s="78">
        <f t="shared" si="558"/>
        <v>12</v>
      </c>
      <c r="N1127" s="72">
        <f t="shared" si="558"/>
        <v>0</v>
      </c>
      <c r="O1127" s="45"/>
      <c r="P1127" s="46" t="str">
        <f t="shared" si="534"/>
        <v/>
      </c>
      <c r="Q1127" s="47" t="str">
        <f t="shared" si="535"/>
        <v/>
      </c>
      <c r="R1127" s="48" t="e">
        <f t="shared" si="536"/>
        <v>#VALUE!</v>
      </c>
      <c r="S1127" s="49" t="e">
        <f t="shared" si="529"/>
        <v>#VALUE!</v>
      </c>
      <c r="T1127" s="48" t="str">
        <f t="shared" si="537"/>
        <v/>
      </c>
      <c r="U1127" s="50"/>
      <c r="V1127" s="51"/>
      <c r="W1127" s="52" t="e">
        <f t="shared" si="538"/>
        <v>#VALUE!</v>
      </c>
      <c r="X1127" s="53"/>
      <c r="Y1127" s="53"/>
      <c r="Z1127" s="53"/>
      <c r="AA1127" s="48" t="e">
        <f>INDEX([1]!VISITORS[INSECT ORDER], MATCH(X1127,[1]!VISITORS[NAME USED],0))</f>
        <v>#REF!</v>
      </c>
      <c r="AB1127" s="48" t="e">
        <f t="shared" si="539"/>
        <v>#REF!</v>
      </c>
      <c r="AC1127" s="54" t="e">
        <f t="shared" si="540"/>
        <v>#VALUE!</v>
      </c>
      <c r="AD1127" s="55" t="str">
        <f t="shared" si="541"/>
        <v/>
      </c>
      <c r="AE1127" s="55"/>
      <c r="AF1127" s="55"/>
      <c r="AG1127" s="56" t="str">
        <f t="shared" si="542"/>
        <v/>
      </c>
      <c r="AH1127" s="57" t="str">
        <f t="shared" si="543"/>
        <v/>
      </c>
      <c r="AI1127" s="56"/>
      <c r="AJ1127" s="57" t="str">
        <f t="shared" si="544"/>
        <v/>
      </c>
      <c r="AK1127" s="56"/>
      <c r="AL1127" s="57" t="str">
        <f t="shared" si="545"/>
        <v/>
      </c>
      <c r="AM1127" s="56"/>
      <c r="AN1127" s="57" t="str">
        <f t="shared" si="546"/>
        <v/>
      </c>
      <c r="AO1127" s="56"/>
      <c r="AP1127" s="57" t="str">
        <f t="shared" si="547"/>
        <v/>
      </c>
      <c r="AQ1127" s="56"/>
      <c r="AR1127" s="57" t="str">
        <f t="shared" si="548"/>
        <v/>
      </c>
      <c r="AS1127" s="56"/>
      <c r="AT1127" s="57" t="str">
        <f t="shared" si="549"/>
        <v/>
      </c>
      <c r="AU1127" s="58"/>
      <c r="AV1127" s="59"/>
      <c r="AW1127" s="59"/>
      <c r="AX1127" s="60"/>
      <c r="AY1127" s="61" t="str">
        <f t="shared" si="550"/>
        <v/>
      </c>
      <c r="AZ1127" s="62" t="str">
        <f t="shared" si="551"/>
        <v/>
      </c>
      <c r="BA1127" s="61" t="str">
        <f t="shared" si="552"/>
        <v/>
      </c>
      <c r="BB1127" s="62" t="str">
        <f t="shared" si="553"/>
        <v/>
      </c>
    </row>
    <row r="1128" spans="1:54" s="3" customFormat="1" hidden="1" x14ac:dyDescent="0.35">
      <c r="A1128" s="73">
        <f t="shared" si="530"/>
        <v>2019</v>
      </c>
      <c r="B1128" s="73" t="str">
        <f t="shared" si="531"/>
        <v>Nov</v>
      </c>
      <c r="C1128" s="74">
        <f t="shared" si="554"/>
        <v>17</v>
      </c>
      <c r="D1128" s="75">
        <f t="shared" si="532"/>
        <v>10</v>
      </c>
      <c r="E1128" s="76">
        <f t="shared" si="533"/>
        <v>2</v>
      </c>
      <c r="F1128" s="80">
        <v>37</v>
      </c>
      <c r="G1128" s="83"/>
      <c r="H1128" s="69" t="str">
        <f t="shared" si="555"/>
        <v>Senbur6_20191117_10_00</v>
      </c>
      <c r="I1128" s="70">
        <f t="shared" si="558"/>
        <v>1</v>
      </c>
      <c r="J1128" s="77" t="str">
        <f t="shared" si="558"/>
        <v>Senecio</v>
      </c>
      <c r="K1128" s="77" t="str">
        <f t="shared" si="558"/>
        <v>burtoni</v>
      </c>
      <c r="L1128" s="78">
        <f t="shared" si="558"/>
        <v>6</v>
      </c>
      <c r="M1128" s="78">
        <f t="shared" si="558"/>
        <v>12</v>
      </c>
      <c r="N1128" s="72">
        <f t="shared" si="558"/>
        <v>0</v>
      </c>
      <c r="O1128" s="45"/>
      <c r="P1128" s="46">
        <f t="shared" si="534"/>
        <v>1</v>
      </c>
      <c r="Q1128" s="47" t="str">
        <f t="shared" si="535"/>
        <v>10:02:37</v>
      </c>
      <c r="R1128" s="48" t="str">
        <f t="shared" si="536"/>
        <v>02:37</v>
      </c>
      <c r="S1128" s="49">
        <f t="shared" si="529"/>
        <v>49</v>
      </c>
      <c r="T1128" s="48" t="str">
        <f t="shared" si="537"/>
        <v>10</v>
      </c>
      <c r="U1128" s="50">
        <v>3</v>
      </c>
      <c r="V1128" s="51">
        <v>26</v>
      </c>
      <c r="W1128" s="52" t="str">
        <f t="shared" si="538"/>
        <v>03:26</v>
      </c>
      <c r="X1128" s="53" t="s">
        <v>61</v>
      </c>
      <c r="Y1128" s="97" t="s">
        <v>78</v>
      </c>
      <c r="Z1128" s="97"/>
      <c r="AA1128" s="48" t="s">
        <v>60</v>
      </c>
      <c r="AB1128" s="48" t="str">
        <f t="shared" si="539"/>
        <v>NA</v>
      </c>
      <c r="AC1128" s="54">
        <f t="shared" si="540"/>
        <v>0</v>
      </c>
      <c r="AD1128" s="55">
        <f t="shared" si="541"/>
        <v>1</v>
      </c>
      <c r="AE1128" s="55"/>
      <c r="AF1128" s="55"/>
      <c r="AG1128" s="56">
        <v>1</v>
      </c>
      <c r="AH1128" s="57">
        <v>5</v>
      </c>
      <c r="AI1128" s="56"/>
      <c r="AJ1128" s="57" t="str">
        <f t="shared" si="544"/>
        <v/>
      </c>
      <c r="AK1128" s="56">
        <v>1</v>
      </c>
      <c r="AL1128" s="57">
        <v>44</v>
      </c>
      <c r="AM1128" s="56"/>
      <c r="AN1128" s="57" t="str">
        <f t="shared" si="546"/>
        <v/>
      </c>
      <c r="AO1128" s="56"/>
      <c r="AP1128" s="57" t="str">
        <f t="shared" si="547"/>
        <v/>
      </c>
      <c r="AQ1128" s="56"/>
      <c r="AR1128" s="57" t="str">
        <f t="shared" si="548"/>
        <v/>
      </c>
      <c r="AS1128" s="56"/>
      <c r="AT1128" s="57" t="str">
        <f t="shared" si="549"/>
        <v/>
      </c>
      <c r="AU1128" s="58"/>
      <c r="AV1128" s="59"/>
      <c r="AW1128" s="59"/>
      <c r="AX1128" s="60"/>
      <c r="AY1128" s="61">
        <v>1</v>
      </c>
      <c r="AZ1128" s="62">
        <f t="shared" si="551"/>
        <v>1</v>
      </c>
      <c r="BA1128" s="61">
        <f t="shared" si="552"/>
        <v>0</v>
      </c>
      <c r="BB1128" s="62" t="str">
        <f t="shared" si="553"/>
        <v/>
      </c>
    </row>
    <row r="1129" spans="1:54" s="3" customFormat="1" hidden="1" x14ac:dyDescent="0.35">
      <c r="A1129" s="73">
        <f t="shared" si="530"/>
        <v>2019</v>
      </c>
      <c r="B1129" s="73" t="str">
        <f t="shared" si="531"/>
        <v>Nov</v>
      </c>
      <c r="C1129" s="74">
        <f t="shared" si="554"/>
        <v>17</v>
      </c>
      <c r="D1129" s="75">
        <f t="shared" si="532"/>
        <v>10</v>
      </c>
      <c r="E1129" s="76">
        <f t="shared" si="533"/>
        <v>3</v>
      </c>
      <c r="F1129" s="80">
        <v>16</v>
      </c>
      <c r="G1129" s="83"/>
      <c r="H1129" s="69" t="str">
        <f t="shared" si="555"/>
        <v>Senbur6_20191117_10_00</v>
      </c>
      <c r="I1129" s="70">
        <f t="shared" si="558"/>
        <v>1</v>
      </c>
      <c r="J1129" s="77" t="str">
        <f t="shared" si="558"/>
        <v>Senecio</v>
      </c>
      <c r="K1129" s="77" t="str">
        <f t="shared" si="558"/>
        <v>burtoni</v>
      </c>
      <c r="L1129" s="78">
        <f t="shared" si="558"/>
        <v>6</v>
      </c>
      <c r="M1129" s="78">
        <f t="shared" si="558"/>
        <v>12</v>
      </c>
      <c r="N1129" s="72">
        <f t="shared" si="558"/>
        <v>0</v>
      </c>
      <c r="O1129" s="45"/>
      <c r="P1129" s="46">
        <f t="shared" si="534"/>
        <v>1</v>
      </c>
      <c r="Q1129" s="47" t="str">
        <f t="shared" si="535"/>
        <v>10:03:16</v>
      </c>
      <c r="R1129" s="48" t="str">
        <f t="shared" si="536"/>
        <v>03:16</v>
      </c>
      <c r="S1129" s="49">
        <f t="shared" si="529"/>
        <v>19</v>
      </c>
      <c r="T1129" s="48" t="str">
        <f t="shared" si="537"/>
        <v>10</v>
      </c>
      <c r="U1129" s="50">
        <v>3</v>
      </c>
      <c r="V1129" s="51">
        <v>35</v>
      </c>
      <c r="W1129" s="52" t="str">
        <f t="shared" si="538"/>
        <v>03:35</v>
      </c>
      <c r="X1129" s="53" t="s">
        <v>62</v>
      </c>
      <c r="Y1129" s="97" t="s">
        <v>81</v>
      </c>
      <c r="Z1129" s="97"/>
      <c r="AA1129" s="48" t="s">
        <v>63</v>
      </c>
      <c r="AB1129" s="48" t="str">
        <f t="shared" si="539"/>
        <v>NA</v>
      </c>
      <c r="AC1129" s="54">
        <f t="shared" si="540"/>
        <v>0</v>
      </c>
      <c r="AD1129" s="55">
        <v>2</v>
      </c>
      <c r="AE1129" s="55"/>
      <c r="AF1129" s="55"/>
      <c r="AG1129" s="56">
        <v>1</v>
      </c>
      <c r="AH1129" s="57">
        <v>7</v>
      </c>
      <c r="AI1129" s="56">
        <v>1</v>
      </c>
      <c r="AJ1129" s="57">
        <v>2</v>
      </c>
      <c r="AK1129" s="56">
        <v>1</v>
      </c>
      <c r="AL1129" s="57">
        <v>10</v>
      </c>
      <c r="AM1129" s="56"/>
      <c r="AN1129" s="57" t="str">
        <f t="shared" si="546"/>
        <v/>
      </c>
      <c r="AO1129" s="56"/>
      <c r="AP1129" s="57" t="str">
        <f t="shared" si="547"/>
        <v/>
      </c>
      <c r="AQ1129" s="56"/>
      <c r="AR1129" s="57" t="str">
        <f t="shared" si="548"/>
        <v/>
      </c>
      <c r="AS1129" s="56"/>
      <c r="AT1129" s="57" t="str">
        <f t="shared" si="549"/>
        <v/>
      </c>
      <c r="AU1129" s="58"/>
      <c r="AV1129" s="59"/>
      <c r="AW1129" s="59"/>
      <c r="AX1129" s="60"/>
      <c r="AY1129" s="61">
        <v>1</v>
      </c>
      <c r="AZ1129" s="62">
        <f t="shared" si="551"/>
        <v>2</v>
      </c>
      <c r="BA1129" s="61">
        <f t="shared" si="552"/>
        <v>0</v>
      </c>
      <c r="BB1129" s="62" t="str">
        <f t="shared" si="553"/>
        <v/>
      </c>
    </row>
    <row r="1130" spans="1:54" s="3" customFormat="1" hidden="1" x14ac:dyDescent="0.35">
      <c r="A1130" s="73">
        <f t="shared" si="530"/>
        <v>2019</v>
      </c>
      <c r="B1130" s="73" t="str">
        <f t="shared" si="531"/>
        <v>Nov</v>
      </c>
      <c r="C1130" s="74">
        <f t="shared" si="554"/>
        <v>17</v>
      </c>
      <c r="D1130" s="75">
        <f t="shared" si="532"/>
        <v>10</v>
      </c>
      <c r="E1130" s="76">
        <f t="shared" si="533"/>
        <v>4</v>
      </c>
      <c r="F1130" s="80"/>
      <c r="G1130" s="83"/>
      <c r="H1130" s="69" t="str">
        <f t="shared" si="555"/>
        <v>Senbur6_20191117_10_00</v>
      </c>
      <c r="I1130" s="70">
        <f t="shared" si="558"/>
        <v>1</v>
      </c>
      <c r="J1130" s="77" t="str">
        <f t="shared" si="558"/>
        <v>Senecio</v>
      </c>
      <c r="K1130" s="77" t="str">
        <f t="shared" si="558"/>
        <v>burtoni</v>
      </c>
      <c r="L1130" s="78">
        <f t="shared" si="558"/>
        <v>6</v>
      </c>
      <c r="M1130" s="78">
        <f t="shared" si="558"/>
        <v>12</v>
      </c>
      <c r="N1130" s="72">
        <f t="shared" si="558"/>
        <v>0</v>
      </c>
      <c r="O1130" s="45"/>
      <c r="P1130" s="46" t="str">
        <f t="shared" si="534"/>
        <v/>
      </c>
      <c r="Q1130" s="47" t="str">
        <f t="shared" si="535"/>
        <v/>
      </c>
      <c r="R1130" s="48" t="e">
        <f t="shared" si="536"/>
        <v>#VALUE!</v>
      </c>
      <c r="S1130" s="49" t="e">
        <f t="shared" si="529"/>
        <v>#VALUE!</v>
      </c>
      <c r="T1130" s="48" t="str">
        <f t="shared" si="537"/>
        <v/>
      </c>
      <c r="U1130" s="50"/>
      <c r="V1130" s="51"/>
      <c r="W1130" s="52" t="e">
        <f t="shared" si="538"/>
        <v>#VALUE!</v>
      </c>
      <c r="X1130" s="53"/>
      <c r="Y1130" s="53"/>
      <c r="Z1130" s="53"/>
      <c r="AA1130" s="48" t="e">
        <f>INDEX([1]!VISITORS[INSECT ORDER], MATCH(X1130,[1]!VISITORS[NAME USED],0))</f>
        <v>#REF!</v>
      </c>
      <c r="AB1130" s="48" t="e">
        <f t="shared" si="539"/>
        <v>#REF!</v>
      </c>
      <c r="AC1130" s="54" t="e">
        <f t="shared" si="540"/>
        <v>#VALUE!</v>
      </c>
      <c r="AD1130" s="55" t="str">
        <f t="shared" si="541"/>
        <v/>
      </c>
      <c r="AE1130" s="55"/>
      <c r="AF1130" s="55"/>
      <c r="AG1130" s="56" t="str">
        <f t="shared" si="542"/>
        <v/>
      </c>
      <c r="AH1130" s="57" t="str">
        <f t="shared" si="543"/>
        <v/>
      </c>
      <c r="AI1130" s="56"/>
      <c r="AJ1130" s="57" t="str">
        <f t="shared" si="544"/>
        <v/>
      </c>
      <c r="AK1130" s="56"/>
      <c r="AL1130" s="57" t="str">
        <f t="shared" si="545"/>
        <v/>
      </c>
      <c r="AM1130" s="56"/>
      <c r="AN1130" s="57" t="str">
        <f t="shared" si="546"/>
        <v/>
      </c>
      <c r="AO1130" s="56"/>
      <c r="AP1130" s="57" t="str">
        <f t="shared" si="547"/>
        <v/>
      </c>
      <c r="AQ1130" s="56"/>
      <c r="AR1130" s="57" t="str">
        <f t="shared" si="548"/>
        <v/>
      </c>
      <c r="AS1130" s="56"/>
      <c r="AT1130" s="57" t="str">
        <f t="shared" si="549"/>
        <v/>
      </c>
      <c r="AU1130" s="58"/>
      <c r="AV1130" s="59"/>
      <c r="AW1130" s="59"/>
      <c r="AX1130" s="60"/>
      <c r="AY1130" s="61" t="str">
        <f t="shared" si="550"/>
        <v/>
      </c>
      <c r="AZ1130" s="62" t="str">
        <f t="shared" si="551"/>
        <v/>
      </c>
      <c r="BA1130" s="61" t="str">
        <f t="shared" si="552"/>
        <v/>
      </c>
      <c r="BB1130" s="62" t="str">
        <f t="shared" si="553"/>
        <v/>
      </c>
    </row>
    <row r="1131" spans="1:54" s="3" customFormat="1" hidden="1" x14ac:dyDescent="0.35">
      <c r="A1131" s="73">
        <f t="shared" si="530"/>
        <v>2019</v>
      </c>
      <c r="B1131" s="73" t="str">
        <f t="shared" si="531"/>
        <v>Nov</v>
      </c>
      <c r="C1131" s="74">
        <f t="shared" si="554"/>
        <v>17</v>
      </c>
      <c r="D1131" s="75">
        <f t="shared" si="532"/>
        <v>10</v>
      </c>
      <c r="E1131" s="76">
        <f t="shared" si="533"/>
        <v>5</v>
      </c>
      <c r="F1131" s="80"/>
      <c r="G1131" s="83"/>
      <c r="H1131" s="69" t="str">
        <f t="shared" si="555"/>
        <v>Senbur6_20191117_10_00</v>
      </c>
      <c r="I1131" s="70">
        <f t="shared" si="558"/>
        <v>1</v>
      </c>
      <c r="J1131" s="77" t="str">
        <f t="shared" si="558"/>
        <v>Senecio</v>
      </c>
      <c r="K1131" s="77" t="str">
        <f t="shared" si="558"/>
        <v>burtoni</v>
      </c>
      <c r="L1131" s="78">
        <f t="shared" si="558"/>
        <v>6</v>
      </c>
      <c r="M1131" s="78">
        <f t="shared" si="558"/>
        <v>12</v>
      </c>
      <c r="N1131" s="72">
        <f t="shared" si="558"/>
        <v>0</v>
      </c>
      <c r="O1131" s="45"/>
      <c r="P1131" s="46" t="str">
        <f t="shared" si="534"/>
        <v/>
      </c>
      <c r="Q1131" s="47" t="str">
        <f t="shared" si="535"/>
        <v/>
      </c>
      <c r="R1131" s="48" t="e">
        <f t="shared" si="536"/>
        <v>#VALUE!</v>
      </c>
      <c r="S1131" s="49" t="e">
        <f t="shared" si="529"/>
        <v>#VALUE!</v>
      </c>
      <c r="T1131" s="48" t="str">
        <f t="shared" si="537"/>
        <v/>
      </c>
      <c r="U1131" s="50"/>
      <c r="V1131" s="51"/>
      <c r="W1131" s="52" t="e">
        <f t="shared" si="538"/>
        <v>#VALUE!</v>
      </c>
      <c r="X1131" s="53"/>
      <c r="Y1131" s="53"/>
      <c r="Z1131" s="53"/>
      <c r="AA1131" s="48" t="e">
        <f>INDEX([1]!VISITORS[INSECT ORDER], MATCH(X1131,[1]!VISITORS[NAME USED],0))</f>
        <v>#REF!</v>
      </c>
      <c r="AB1131" s="48" t="e">
        <f t="shared" si="539"/>
        <v>#REF!</v>
      </c>
      <c r="AC1131" s="54" t="e">
        <f t="shared" si="540"/>
        <v>#VALUE!</v>
      </c>
      <c r="AD1131" s="55" t="str">
        <f t="shared" si="541"/>
        <v/>
      </c>
      <c r="AE1131" s="55"/>
      <c r="AF1131" s="55"/>
      <c r="AG1131" s="56" t="str">
        <f t="shared" si="542"/>
        <v/>
      </c>
      <c r="AH1131" s="57" t="str">
        <f t="shared" si="543"/>
        <v/>
      </c>
      <c r="AI1131" s="56"/>
      <c r="AJ1131" s="57" t="str">
        <f t="shared" si="544"/>
        <v/>
      </c>
      <c r="AK1131" s="56"/>
      <c r="AL1131" s="57" t="str">
        <f t="shared" si="545"/>
        <v/>
      </c>
      <c r="AM1131" s="56"/>
      <c r="AN1131" s="57" t="str">
        <f t="shared" si="546"/>
        <v/>
      </c>
      <c r="AO1131" s="56"/>
      <c r="AP1131" s="57" t="str">
        <f t="shared" si="547"/>
        <v/>
      </c>
      <c r="AQ1131" s="56"/>
      <c r="AR1131" s="57" t="str">
        <f t="shared" si="548"/>
        <v/>
      </c>
      <c r="AS1131" s="56"/>
      <c r="AT1131" s="57" t="str">
        <f t="shared" si="549"/>
        <v/>
      </c>
      <c r="AU1131" s="58"/>
      <c r="AV1131" s="59"/>
      <c r="AW1131" s="59"/>
      <c r="AX1131" s="60"/>
      <c r="AY1131" s="61" t="str">
        <f t="shared" si="550"/>
        <v/>
      </c>
      <c r="AZ1131" s="62" t="str">
        <f t="shared" si="551"/>
        <v/>
      </c>
      <c r="BA1131" s="61" t="str">
        <f t="shared" si="552"/>
        <v/>
      </c>
      <c r="BB1131" s="62" t="str">
        <f t="shared" si="553"/>
        <v/>
      </c>
    </row>
    <row r="1132" spans="1:54" s="3" customFormat="1" hidden="1" x14ac:dyDescent="0.35">
      <c r="A1132" s="73">
        <f t="shared" si="530"/>
        <v>2019</v>
      </c>
      <c r="B1132" s="73" t="str">
        <f t="shared" si="531"/>
        <v>Nov</v>
      </c>
      <c r="C1132" s="74">
        <f t="shared" si="554"/>
        <v>17</v>
      </c>
      <c r="D1132" s="75">
        <f t="shared" si="532"/>
        <v>10</v>
      </c>
      <c r="E1132" s="76">
        <f t="shared" si="533"/>
        <v>6</v>
      </c>
      <c r="F1132" s="80"/>
      <c r="G1132" s="83"/>
      <c r="H1132" s="69" t="str">
        <f t="shared" si="555"/>
        <v>Senbur6_20191117_10_00</v>
      </c>
      <c r="I1132" s="70">
        <f t="shared" si="558"/>
        <v>1</v>
      </c>
      <c r="J1132" s="77" t="str">
        <f t="shared" si="558"/>
        <v>Senecio</v>
      </c>
      <c r="K1132" s="77" t="str">
        <f t="shared" si="558"/>
        <v>burtoni</v>
      </c>
      <c r="L1132" s="78">
        <f t="shared" si="558"/>
        <v>6</v>
      </c>
      <c r="M1132" s="78">
        <f t="shared" si="558"/>
        <v>12</v>
      </c>
      <c r="N1132" s="72">
        <f t="shared" si="558"/>
        <v>0</v>
      </c>
      <c r="O1132" s="45"/>
      <c r="P1132" s="46" t="str">
        <f t="shared" si="534"/>
        <v/>
      </c>
      <c r="Q1132" s="47" t="str">
        <f t="shared" si="535"/>
        <v/>
      </c>
      <c r="R1132" s="48" t="e">
        <f t="shared" si="536"/>
        <v>#VALUE!</v>
      </c>
      <c r="S1132" s="49" t="e">
        <f t="shared" si="529"/>
        <v>#VALUE!</v>
      </c>
      <c r="T1132" s="48" t="str">
        <f t="shared" si="537"/>
        <v/>
      </c>
      <c r="U1132" s="50"/>
      <c r="V1132" s="51"/>
      <c r="W1132" s="52" t="e">
        <f t="shared" si="538"/>
        <v>#VALUE!</v>
      </c>
      <c r="X1132" s="53"/>
      <c r="Y1132" s="53"/>
      <c r="Z1132" s="53"/>
      <c r="AA1132" s="48" t="e">
        <f>INDEX([1]!VISITORS[INSECT ORDER], MATCH(X1132,[1]!VISITORS[NAME USED],0))</f>
        <v>#REF!</v>
      </c>
      <c r="AB1132" s="48" t="e">
        <f t="shared" si="539"/>
        <v>#REF!</v>
      </c>
      <c r="AC1132" s="54" t="e">
        <f t="shared" si="540"/>
        <v>#VALUE!</v>
      </c>
      <c r="AD1132" s="55" t="str">
        <f t="shared" si="541"/>
        <v/>
      </c>
      <c r="AE1132" s="55"/>
      <c r="AF1132" s="55"/>
      <c r="AG1132" s="56" t="str">
        <f t="shared" si="542"/>
        <v/>
      </c>
      <c r="AH1132" s="57" t="str">
        <f t="shared" si="543"/>
        <v/>
      </c>
      <c r="AI1132" s="56"/>
      <c r="AJ1132" s="57" t="str">
        <f t="shared" si="544"/>
        <v/>
      </c>
      <c r="AK1132" s="56"/>
      <c r="AL1132" s="57" t="str">
        <f t="shared" si="545"/>
        <v/>
      </c>
      <c r="AM1132" s="56"/>
      <c r="AN1132" s="57" t="str">
        <f t="shared" si="546"/>
        <v/>
      </c>
      <c r="AO1132" s="56"/>
      <c r="AP1132" s="57" t="str">
        <f t="shared" si="547"/>
        <v/>
      </c>
      <c r="AQ1132" s="56"/>
      <c r="AR1132" s="57" t="str">
        <f t="shared" si="548"/>
        <v/>
      </c>
      <c r="AS1132" s="56"/>
      <c r="AT1132" s="57" t="str">
        <f t="shared" si="549"/>
        <v/>
      </c>
      <c r="AU1132" s="58"/>
      <c r="AV1132" s="59"/>
      <c r="AW1132" s="59"/>
      <c r="AX1132" s="60"/>
      <c r="AY1132" s="61" t="str">
        <f t="shared" si="550"/>
        <v/>
      </c>
      <c r="AZ1132" s="62" t="str">
        <f t="shared" si="551"/>
        <v/>
      </c>
      <c r="BA1132" s="61" t="str">
        <f t="shared" si="552"/>
        <v/>
      </c>
      <c r="BB1132" s="62" t="str">
        <f t="shared" si="553"/>
        <v/>
      </c>
    </row>
    <row r="1133" spans="1:54" s="3" customFormat="1" hidden="1" x14ac:dyDescent="0.35">
      <c r="A1133" s="73">
        <f t="shared" si="530"/>
        <v>2019</v>
      </c>
      <c r="B1133" s="73" t="str">
        <f t="shared" si="531"/>
        <v>Nov</v>
      </c>
      <c r="C1133" s="74">
        <f t="shared" si="554"/>
        <v>17</v>
      </c>
      <c r="D1133" s="75">
        <f t="shared" si="532"/>
        <v>10</v>
      </c>
      <c r="E1133" s="76">
        <f t="shared" si="533"/>
        <v>7</v>
      </c>
      <c r="F1133" s="80"/>
      <c r="G1133" s="83"/>
      <c r="H1133" s="69" t="str">
        <f t="shared" si="555"/>
        <v>Senbur6_20191117_10_00</v>
      </c>
      <c r="I1133" s="70">
        <f t="shared" si="558"/>
        <v>1</v>
      </c>
      <c r="J1133" s="77" t="str">
        <f t="shared" si="558"/>
        <v>Senecio</v>
      </c>
      <c r="K1133" s="77" t="str">
        <f t="shared" si="558"/>
        <v>burtoni</v>
      </c>
      <c r="L1133" s="78">
        <f t="shared" si="558"/>
        <v>6</v>
      </c>
      <c r="M1133" s="78">
        <f t="shared" si="558"/>
        <v>12</v>
      </c>
      <c r="N1133" s="72">
        <f t="shared" si="558"/>
        <v>0</v>
      </c>
      <c r="O1133" s="45"/>
      <c r="P1133" s="46" t="str">
        <f t="shared" si="534"/>
        <v/>
      </c>
      <c r="Q1133" s="47" t="str">
        <f t="shared" si="535"/>
        <v/>
      </c>
      <c r="R1133" s="48" t="e">
        <f t="shared" si="536"/>
        <v>#VALUE!</v>
      </c>
      <c r="S1133" s="49" t="e">
        <f t="shared" si="529"/>
        <v>#VALUE!</v>
      </c>
      <c r="T1133" s="48" t="str">
        <f t="shared" si="537"/>
        <v/>
      </c>
      <c r="U1133" s="50"/>
      <c r="V1133" s="51"/>
      <c r="W1133" s="52" t="e">
        <f t="shared" si="538"/>
        <v>#VALUE!</v>
      </c>
      <c r="X1133" s="53"/>
      <c r="Y1133" s="53"/>
      <c r="Z1133" s="53"/>
      <c r="AA1133" s="48" t="e">
        <f>INDEX([1]!VISITORS[INSECT ORDER], MATCH(X1133,[1]!VISITORS[NAME USED],0))</f>
        <v>#REF!</v>
      </c>
      <c r="AB1133" s="48" t="e">
        <f t="shared" si="539"/>
        <v>#REF!</v>
      </c>
      <c r="AC1133" s="54" t="e">
        <f t="shared" si="540"/>
        <v>#VALUE!</v>
      </c>
      <c r="AD1133" s="55" t="str">
        <f t="shared" si="541"/>
        <v/>
      </c>
      <c r="AE1133" s="55"/>
      <c r="AF1133" s="55"/>
      <c r="AG1133" s="56" t="str">
        <f t="shared" si="542"/>
        <v/>
      </c>
      <c r="AH1133" s="57" t="str">
        <f t="shared" si="543"/>
        <v/>
      </c>
      <c r="AI1133" s="56"/>
      <c r="AJ1133" s="57" t="str">
        <f t="shared" si="544"/>
        <v/>
      </c>
      <c r="AK1133" s="56"/>
      <c r="AL1133" s="57" t="str">
        <f t="shared" si="545"/>
        <v/>
      </c>
      <c r="AM1133" s="56"/>
      <c r="AN1133" s="57" t="str">
        <f t="shared" si="546"/>
        <v/>
      </c>
      <c r="AO1133" s="56"/>
      <c r="AP1133" s="57" t="str">
        <f t="shared" si="547"/>
        <v/>
      </c>
      <c r="AQ1133" s="56"/>
      <c r="AR1133" s="57" t="str">
        <f t="shared" si="548"/>
        <v/>
      </c>
      <c r="AS1133" s="56"/>
      <c r="AT1133" s="57" t="str">
        <f t="shared" si="549"/>
        <v/>
      </c>
      <c r="AU1133" s="58"/>
      <c r="AV1133" s="59"/>
      <c r="AW1133" s="59"/>
      <c r="AX1133" s="60"/>
      <c r="AY1133" s="61" t="str">
        <f t="shared" si="550"/>
        <v/>
      </c>
      <c r="AZ1133" s="62" t="str">
        <f t="shared" si="551"/>
        <v/>
      </c>
      <c r="BA1133" s="61" t="str">
        <f t="shared" si="552"/>
        <v/>
      </c>
      <c r="BB1133" s="62" t="str">
        <f t="shared" si="553"/>
        <v/>
      </c>
    </row>
    <row r="1134" spans="1:54" s="3" customFormat="1" hidden="1" x14ac:dyDescent="0.35">
      <c r="A1134" s="73">
        <f t="shared" si="530"/>
        <v>2019</v>
      </c>
      <c r="B1134" s="73" t="str">
        <f t="shared" si="531"/>
        <v>Nov</v>
      </c>
      <c r="C1134" s="74">
        <f t="shared" si="554"/>
        <v>17</v>
      </c>
      <c r="D1134" s="75">
        <f t="shared" si="532"/>
        <v>10</v>
      </c>
      <c r="E1134" s="76">
        <f t="shared" si="533"/>
        <v>8</v>
      </c>
      <c r="F1134" s="80"/>
      <c r="G1134" s="83"/>
      <c r="H1134" s="69" t="str">
        <f t="shared" si="555"/>
        <v>Senbur6_20191117_10_00</v>
      </c>
      <c r="I1134" s="70">
        <f t="shared" si="558"/>
        <v>1</v>
      </c>
      <c r="J1134" s="77" t="str">
        <f t="shared" si="558"/>
        <v>Senecio</v>
      </c>
      <c r="K1134" s="77" t="str">
        <f t="shared" si="558"/>
        <v>burtoni</v>
      </c>
      <c r="L1134" s="78">
        <f t="shared" si="558"/>
        <v>6</v>
      </c>
      <c r="M1134" s="78">
        <f t="shared" si="558"/>
        <v>12</v>
      </c>
      <c r="N1134" s="72">
        <f t="shared" si="558"/>
        <v>0</v>
      </c>
      <c r="O1134" s="45"/>
      <c r="P1134" s="46" t="str">
        <f t="shared" si="534"/>
        <v/>
      </c>
      <c r="Q1134" s="47" t="str">
        <f t="shared" si="535"/>
        <v/>
      </c>
      <c r="R1134" s="48" t="e">
        <f t="shared" si="536"/>
        <v>#VALUE!</v>
      </c>
      <c r="S1134" s="49" t="e">
        <f t="shared" si="529"/>
        <v>#VALUE!</v>
      </c>
      <c r="T1134" s="48" t="str">
        <f t="shared" si="537"/>
        <v/>
      </c>
      <c r="U1134" s="50"/>
      <c r="V1134" s="51"/>
      <c r="W1134" s="52" t="e">
        <f t="shared" si="538"/>
        <v>#VALUE!</v>
      </c>
      <c r="X1134" s="53"/>
      <c r="Y1134" s="53"/>
      <c r="Z1134" s="53"/>
      <c r="AA1134" s="48" t="e">
        <f>INDEX([1]!VISITORS[INSECT ORDER], MATCH(X1134,[1]!VISITORS[NAME USED],0))</f>
        <v>#REF!</v>
      </c>
      <c r="AB1134" s="48" t="e">
        <f t="shared" si="539"/>
        <v>#REF!</v>
      </c>
      <c r="AC1134" s="54" t="e">
        <f t="shared" si="540"/>
        <v>#VALUE!</v>
      </c>
      <c r="AD1134" s="55" t="str">
        <f t="shared" si="541"/>
        <v/>
      </c>
      <c r="AE1134" s="55"/>
      <c r="AF1134" s="55"/>
      <c r="AG1134" s="56" t="str">
        <f t="shared" si="542"/>
        <v/>
      </c>
      <c r="AH1134" s="57" t="str">
        <f t="shared" si="543"/>
        <v/>
      </c>
      <c r="AI1134" s="56"/>
      <c r="AJ1134" s="57" t="str">
        <f t="shared" si="544"/>
        <v/>
      </c>
      <c r="AK1134" s="56"/>
      <c r="AL1134" s="57" t="str">
        <f t="shared" si="545"/>
        <v/>
      </c>
      <c r="AM1134" s="56"/>
      <c r="AN1134" s="57" t="str">
        <f t="shared" si="546"/>
        <v/>
      </c>
      <c r="AO1134" s="56"/>
      <c r="AP1134" s="57" t="str">
        <f t="shared" si="547"/>
        <v/>
      </c>
      <c r="AQ1134" s="56"/>
      <c r="AR1134" s="57" t="str">
        <f t="shared" si="548"/>
        <v/>
      </c>
      <c r="AS1134" s="56"/>
      <c r="AT1134" s="57" t="str">
        <f t="shared" si="549"/>
        <v/>
      </c>
      <c r="AU1134" s="58"/>
      <c r="AV1134" s="59"/>
      <c r="AW1134" s="59"/>
      <c r="AX1134" s="60"/>
      <c r="AY1134" s="61" t="str">
        <f t="shared" si="550"/>
        <v/>
      </c>
      <c r="AZ1134" s="62" t="str">
        <f t="shared" si="551"/>
        <v/>
      </c>
      <c r="BA1134" s="61" t="str">
        <f t="shared" si="552"/>
        <v/>
      </c>
      <c r="BB1134" s="62" t="str">
        <f t="shared" si="553"/>
        <v/>
      </c>
    </row>
    <row r="1135" spans="1:54" s="3" customFormat="1" hidden="1" x14ac:dyDescent="0.35">
      <c r="A1135" s="73">
        <f t="shared" si="530"/>
        <v>2019</v>
      </c>
      <c r="B1135" s="73" t="str">
        <f t="shared" si="531"/>
        <v>Nov</v>
      </c>
      <c r="C1135" s="74">
        <f t="shared" si="554"/>
        <v>17</v>
      </c>
      <c r="D1135" s="75">
        <f t="shared" si="532"/>
        <v>10</v>
      </c>
      <c r="E1135" s="76">
        <f t="shared" si="533"/>
        <v>9</v>
      </c>
      <c r="F1135" s="80"/>
      <c r="G1135" s="83"/>
      <c r="H1135" s="69" t="str">
        <f t="shared" si="555"/>
        <v>Senbur6_20191117_10_00</v>
      </c>
      <c r="I1135" s="70">
        <f t="shared" si="558"/>
        <v>1</v>
      </c>
      <c r="J1135" s="77" t="str">
        <f t="shared" si="558"/>
        <v>Senecio</v>
      </c>
      <c r="K1135" s="77" t="str">
        <f t="shared" si="558"/>
        <v>burtoni</v>
      </c>
      <c r="L1135" s="78">
        <f t="shared" si="558"/>
        <v>6</v>
      </c>
      <c r="M1135" s="78">
        <f t="shared" si="558"/>
        <v>12</v>
      </c>
      <c r="N1135" s="72">
        <f t="shared" si="558"/>
        <v>0</v>
      </c>
      <c r="O1135" s="45"/>
      <c r="P1135" s="46" t="str">
        <f t="shared" si="534"/>
        <v/>
      </c>
      <c r="Q1135" s="47" t="str">
        <f t="shared" si="535"/>
        <v/>
      </c>
      <c r="R1135" s="48" t="e">
        <f t="shared" si="536"/>
        <v>#VALUE!</v>
      </c>
      <c r="S1135" s="49" t="e">
        <f t="shared" si="529"/>
        <v>#VALUE!</v>
      </c>
      <c r="T1135" s="48" t="str">
        <f t="shared" si="537"/>
        <v/>
      </c>
      <c r="U1135" s="50"/>
      <c r="V1135" s="51"/>
      <c r="W1135" s="52" t="e">
        <f t="shared" si="538"/>
        <v>#VALUE!</v>
      </c>
      <c r="X1135" s="53"/>
      <c r="Y1135" s="53"/>
      <c r="Z1135" s="53"/>
      <c r="AA1135" s="48" t="e">
        <f>INDEX([1]!VISITORS[INSECT ORDER], MATCH(X1135,[1]!VISITORS[NAME USED],0))</f>
        <v>#REF!</v>
      </c>
      <c r="AB1135" s="48" t="e">
        <f t="shared" si="539"/>
        <v>#REF!</v>
      </c>
      <c r="AC1135" s="54" t="e">
        <f t="shared" si="540"/>
        <v>#VALUE!</v>
      </c>
      <c r="AD1135" s="55" t="str">
        <f t="shared" si="541"/>
        <v/>
      </c>
      <c r="AE1135" s="55"/>
      <c r="AF1135" s="55"/>
      <c r="AG1135" s="56" t="str">
        <f t="shared" si="542"/>
        <v/>
      </c>
      <c r="AH1135" s="57" t="str">
        <f t="shared" si="543"/>
        <v/>
      </c>
      <c r="AI1135" s="56"/>
      <c r="AJ1135" s="57" t="str">
        <f t="shared" si="544"/>
        <v/>
      </c>
      <c r="AK1135" s="56"/>
      <c r="AL1135" s="57" t="str">
        <f t="shared" si="545"/>
        <v/>
      </c>
      <c r="AM1135" s="56"/>
      <c r="AN1135" s="57" t="str">
        <f t="shared" si="546"/>
        <v/>
      </c>
      <c r="AO1135" s="56"/>
      <c r="AP1135" s="57" t="str">
        <f t="shared" si="547"/>
        <v/>
      </c>
      <c r="AQ1135" s="56"/>
      <c r="AR1135" s="57" t="str">
        <f t="shared" si="548"/>
        <v/>
      </c>
      <c r="AS1135" s="56"/>
      <c r="AT1135" s="57" t="str">
        <f t="shared" si="549"/>
        <v/>
      </c>
      <c r="AU1135" s="58"/>
      <c r="AV1135" s="59"/>
      <c r="AW1135" s="59"/>
      <c r="AX1135" s="60"/>
      <c r="AY1135" s="61" t="str">
        <f t="shared" si="550"/>
        <v/>
      </c>
      <c r="AZ1135" s="62" t="str">
        <f t="shared" si="551"/>
        <v/>
      </c>
      <c r="BA1135" s="61" t="str">
        <f t="shared" si="552"/>
        <v/>
      </c>
      <c r="BB1135" s="62" t="str">
        <f t="shared" si="553"/>
        <v/>
      </c>
    </row>
    <row r="1136" spans="1:54" s="3" customFormat="1" hidden="1" x14ac:dyDescent="0.35">
      <c r="A1136" s="73">
        <f t="shared" si="530"/>
        <v>2019</v>
      </c>
      <c r="B1136" s="73" t="str">
        <f t="shared" si="531"/>
        <v>Nov</v>
      </c>
      <c r="C1136" s="74">
        <f t="shared" si="554"/>
        <v>17</v>
      </c>
      <c r="D1136" s="75">
        <f t="shared" si="532"/>
        <v>10</v>
      </c>
      <c r="E1136" s="76">
        <f t="shared" si="533"/>
        <v>10</v>
      </c>
      <c r="F1136" s="80"/>
      <c r="G1136" s="83"/>
      <c r="H1136" s="69" t="str">
        <f t="shared" si="555"/>
        <v>Senbur6_20191117_10_00</v>
      </c>
      <c r="I1136" s="70">
        <f t="shared" si="558"/>
        <v>1</v>
      </c>
      <c r="J1136" s="77" t="str">
        <f t="shared" si="558"/>
        <v>Senecio</v>
      </c>
      <c r="K1136" s="77" t="str">
        <f t="shared" si="558"/>
        <v>burtoni</v>
      </c>
      <c r="L1136" s="78">
        <f t="shared" si="558"/>
        <v>6</v>
      </c>
      <c r="M1136" s="78">
        <f t="shared" si="558"/>
        <v>12</v>
      </c>
      <c r="N1136" s="72">
        <f t="shared" si="558"/>
        <v>0</v>
      </c>
      <c r="O1136" s="45"/>
      <c r="P1136" s="46" t="str">
        <f t="shared" si="534"/>
        <v/>
      </c>
      <c r="Q1136" s="47" t="str">
        <f t="shared" si="535"/>
        <v/>
      </c>
      <c r="R1136" s="48" t="e">
        <f t="shared" si="536"/>
        <v>#VALUE!</v>
      </c>
      <c r="S1136" s="49" t="e">
        <f t="shared" si="529"/>
        <v>#VALUE!</v>
      </c>
      <c r="T1136" s="48" t="str">
        <f t="shared" si="537"/>
        <v/>
      </c>
      <c r="U1136" s="50"/>
      <c r="V1136" s="51"/>
      <c r="W1136" s="52" t="e">
        <f t="shared" si="538"/>
        <v>#VALUE!</v>
      </c>
      <c r="X1136" s="53"/>
      <c r="Y1136" s="53"/>
      <c r="Z1136" s="53"/>
      <c r="AA1136" s="48" t="e">
        <f>INDEX([1]!VISITORS[INSECT ORDER], MATCH(X1136,[1]!VISITORS[NAME USED],0))</f>
        <v>#REF!</v>
      </c>
      <c r="AB1136" s="48" t="e">
        <f t="shared" si="539"/>
        <v>#REF!</v>
      </c>
      <c r="AC1136" s="54" t="e">
        <f t="shared" si="540"/>
        <v>#VALUE!</v>
      </c>
      <c r="AD1136" s="55" t="str">
        <f t="shared" si="541"/>
        <v/>
      </c>
      <c r="AE1136" s="55"/>
      <c r="AF1136" s="55"/>
      <c r="AG1136" s="56" t="str">
        <f t="shared" si="542"/>
        <v/>
      </c>
      <c r="AH1136" s="57" t="str">
        <f t="shared" si="543"/>
        <v/>
      </c>
      <c r="AI1136" s="56"/>
      <c r="AJ1136" s="57" t="str">
        <f t="shared" si="544"/>
        <v/>
      </c>
      <c r="AK1136" s="56"/>
      <c r="AL1136" s="57" t="str">
        <f t="shared" si="545"/>
        <v/>
      </c>
      <c r="AM1136" s="56"/>
      <c r="AN1136" s="57" t="str">
        <f t="shared" si="546"/>
        <v/>
      </c>
      <c r="AO1136" s="56"/>
      <c r="AP1136" s="57" t="str">
        <f t="shared" si="547"/>
        <v/>
      </c>
      <c r="AQ1136" s="56"/>
      <c r="AR1136" s="57" t="str">
        <f t="shared" si="548"/>
        <v/>
      </c>
      <c r="AS1136" s="56"/>
      <c r="AT1136" s="57" t="str">
        <f t="shared" si="549"/>
        <v/>
      </c>
      <c r="AU1136" s="58"/>
      <c r="AV1136" s="59"/>
      <c r="AW1136" s="59"/>
      <c r="AX1136" s="60"/>
      <c r="AY1136" s="61" t="str">
        <f t="shared" si="550"/>
        <v/>
      </c>
      <c r="AZ1136" s="62" t="str">
        <f t="shared" si="551"/>
        <v/>
      </c>
      <c r="BA1136" s="61" t="str">
        <f t="shared" si="552"/>
        <v/>
      </c>
      <c r="BB1136" s="62" t="str">
        <f t="shared" si="553"/>
        <v/>
      </c>
    </row>
    <row r="1137" spans="1:54" s="3" customFormat="1" hidden="1" x14ac:dyDescent="0.35">
      <c r="A1137" s="73">
        <f t="shared" si="530"/>
        <v>2019</v>
      </c>
      <c r="B1137" s="73" t="str">
        <f t="shared" si="531"/>
        <v>Nov</v>
      </c>
      <c r="C1137" s="74">
        <f t="shared" si="554"/>
        <v>17</v>
      </c>
      <c r="D1137" s="75">
        <f t="shared" si="532"/>
        <v>10</v>
      </c>
      <c r="E1137" s="76">
        <f t="shared" si="533"/>
        <v>11</v>
      </c>
      <c r="F1137" s="80"/>
      <c r="G1137" s="83"/>
      <c r="H1137" s="69" t="str">
        <f t="shared" si="555"/>
        <v>Senbur6_20191117_10_00</v>
      </c>
      <c r="I1137" s="70">
        <f t="shared" si="558"/>
        <v>1</v>
      </c>
      <c r="J1137" s="77" t="str">
        <f t="shared" si="558"/>
        <v>Senecio</v>
      </c>
      <c r="K1137" s="77" t="str">
        <f t="shared" si="558"/>
        <v>burtoni</v>
      </c>
      <c r="L1137" s="78">
        <f t="shared" si="558"/>
        <v>6</v>
      </c>
      <c r="M1137" s="78">
        <f t="shared" si="558"/>
        <v>12</v>
      </c>
      <c r="N1137" s="72">
        <f t="shared" si="558"/>
        <v>0</v>
      </c>
      <c r="O1137" s="45"/>
      <c r="P1137" s="46" t="str">
        <f t="shared" si="534"/>
        <v/>
      </c>
      <c r="Q1137" s="47" t="str">
        <f t="shared" si="535"/>
        <v/>
      </c>
      <c r="R1137" s="48" t="e">
        <f t="shared" si="536"/>
        <v>#VALUE!</v>
      </c>
      <c r="S1137" s="49" t="e">
        <f t="shared" si="529"/>
        <v>#VALUE!</v>
      </c>
      <c r="T1137" s="48" t="str">
        <f t="shared" si="537"/>
        <v/>
      </c>
      <c r="U1137" s="50"/>
      <c r="V1137" s="51"/>
      <c r="W1137" s="52" t="e">
        <f t="shared" si="538"/>
        <v>#VALUE!</v>
      </c>
      <c r="X1137" s="53"/>
      <c r="Y1137" s="53"/>
      <c r="Z1137" s="53"/>
      <c r="AA1137" s="48" t="e">
        <f>INDEX([1]!VISITORS[INSECT ORDER], MATCH(X1137,[1]!VISITORS[NAME USED],0))</f>
        <v>#REF!</v>
      </c>
      <c r="AB1137" s="48" t="e">
        <f t="shared" si="539"/>
        <v>#REF!</v>
      </c>
      <c r="AC1137" s="54" t="e">
        <f t="shared" si="540"/>
        <v>#VALUE!</v>
      </c>
      <c r="AD1137" s="55" t="str">
        <f t="shared" si="541"/>
        <v/>
      </c>
      <c r="AE1137" s="55"/>
      <c r="AF1137" s="55"/>
      <c r="AG1137" s="56" t="str">
        <f t="shared" si="542"/>
        <v/>
      </c>
      <c r="AH1137" s="57" t="str">
        <f t="shared" si="543"/>
        <v/>
      </c>
      <c r="AI1137" s="56"/>
      <c r="AJ1137" s="57" t="str">
        <f t="shared" si="544"/>
        <v/>
      </c>
      <c r="AK1137" s="56"/>
      <c r="AL1137" s="57" t="str">
        <f t="shared" si="545"/>
        <v/>
      </c>
      <c r="AM1137" s="56"/>
      <c r="AN1137" s="57" t="str">
        <f t="shared" si="546"/>
        <v/>
      </c>
      <c r="AO1137" s="56"/>
      <c r="AP1137" s="57" t="str">
        <f t="shared" si="547"/>
        <v/>
      </c>
      <c r="AQ1137" s="56"/>
      <c r="AR1137" s="57" t="str">
        <f t="shared" si="548"/>
        <v/>
      </c>
      <c r="AS1137" s="56"/>
      <c r="AT1137" s="57" t="str">
        <f t="shared" si="549"/>
        <v/>
      </c>
      <c r="AU1137" s="58"/>
      <c r="AV1137" s="59"/>
      <c r="AW1137" s="59"/>
      <c r="AX1137" s="60"/>
      <c r="AY1137" s="61" t="str">
        <f t="shared" si="550"/>
        <v/>
      </c>
      <c r="AZ1137" s="62" t="str">
        <f t="shared" si="551"/>
        <v/>
      </c>
      <c r="BA1137" s="61" t="str">
        <f t="shared" si="552"/>
        <v/>
      </c>
      <c r="BB1137" s="62" t="str">
        <f t="shared" si="553"/>
        <v/>
      </c>
    </row>
    <row r="1138" spans="1:54" s="3" customFormat="1" hidden="1" x14ac:dyDescent="0.35">
      <c r="A1138" s="73">
        <f t="shared" si="530"/>
        <v>2019</v>
      </c>
      <c r="B1138" s="73" t="str">
        <f t="shared" si="531"/>
        <v>Nov</v>
      </c>
      <c r="C1138" s="74">
        <f t="shared" si="554"/>
        <v>17</v>
      </c>
      <c r="D1138" s="75">
        <f t="shared" si="532"/>
        <v>10</v>
      </c>
      <c r="E1138" s="76">
        <f t="shared" si="533"/>
        <v>12</v>
      </c>
      <c r="F1138" s="80"/>
      <c r="G1138" s="83"/>
      <c r="H1138" s="69" t="str">
        <f t="shared" si="555"/>
        <v>Senbur6_20191117_10_00</v>
      </c>
      <c r="I1138" s="70">
        <f t="shared" si="558"/>
        <v>1</v>
      </c>
      <c r="J1138" s="77" t="str">
        <f t="shared" si="558"/>
        <v>Senecio</v>
      </c>
      <c r="K1138" s="77" t="str">
        <f t="shared" si="558"/>
        <v>burtoni</v>
      </c>
      <c r="L1138" s="78">
        <f t="shared" si="558"/>
        <v>6</v>
      </c>
      <c r="M1138" s="78">
        <f t="shared" si="558"/>
        <v>12</v>
      </c>
      <c r="N1138" s="72">
        <f t="shared" si="558"/>
        <v>0</v>
      </c>
      <c r="O1138" s="45"/>
      <c r="P1138" s="46" t="str">
        <f t="shared" si="534"/>
        <v/>
      </c>
      <c r="Q1138" s="47" t="str">
        <f t="shared" si="535"/>
        <v/>
      </c>
      <c r="R1138" s="48" t="e">
        <f t="shared" si="536"/>
        <v>#VALUE!</v>
      </c>
      <c r="S1138" s="49" t="e">
        <f t="shared" si="529"/>
        <v>#VALUE!</v>
      </c>
      <c r="T1138" s="48" t="str">
        <f t="shared" si="537"/>
        <v/>
      </c>
      <c r="U1138" s="50"/>
      <c r="V1138" s="51"/>
      <c r="W1138" s="52" t="e">
        <f t="shared" si="538"/>
        <v>#VALUE!</v>
      </c>
      <c r="X1138" s="53"/>
      <c r="Y1138" s="53"/>
      <c r="Z1138" s="53"/>
      <c r="AA1138" s="48" t="e">
        <f>INDEX([1]!VISITORS[INSECT ORDER], MATCH(X1138,[1]!VISITORS[NAME USED],0))</f>
        <v>#REF!</v>
      </c>
      <c r="AB1138" s="48" t="e">
        <f t="shared" si="539"/>
        <v>#REF!</v>
      </c>
      <c r="AC1138" s="54" t="e">
        <f t="shared" si="540"/>
        <v>#VALUE!</v>
      </c>
      <c r="AD1138" s="55" t="str">
        <f t="shared" si="541"/>
        <v/>
      </c>
      <c r="AE1138" s="55"/>
      <c r="AF1138" s="55"/>
      <c r="AG1138" s="56" t="str">
        <f t="shared" si="542"/>
        <v/>
      </c>
      <c r="AH1138" s="57" t="str">
        <f t="shared" si="543"/>
        <v/>
      </c>
      <c r="AI1138" s="56"/>
      <c r="AJ1138" s="57" t="str">
        <f t="shared" si="544"/>
        <v/>
      </c>
      <c r="AK1138" s="56"/>
      <c r="AL1138" s="57" t="str">
        <f t="shared" si="545"/>
        <v/>
      </c>
      <c r="AM1138" s="56"/>
      <c r="AN1138" s="57" t="str">
        <f t="shared" si="546"/>
        <v/>
      </c>
      <c r="AO1138" s="56"/>
      <c r="AP1138" s="57" t="str">
        <f t="shared" si="547"/>
        <v/>
      </c>
      <c r="AQ1138" s="56"/>
      <c r="AR1138" s="57" t="str">
        <f t="shared" si="548"/>
        <v/>
      </c>
      <c r="AS1138" s="56"/>
      <c r="AT1138" s="57" t="str">
        <f t="shared" si="549"/>
        <v/>
      </c>
      <c r="AU1138" s="58"/>
      <c r="AV1138" s="59"/>
      <c r="AW1138" s="59"/>
      <c r="AX1138" s="60"/>
      <c r="AY1138" s="61" t="str">
        <f t="shared" si="550"/>
        <v/>
      </c>
      <c r="AZ1138" s="62" t="str">
        <f t="shared" si="551"/>
        <v/>
      </c>
      <c r="BA1138" s="61" t="str">
        <f t="shared" si="552"/>
        <v/>
      </c>
      <c r="BB1138" s="62" t="str">
        <f t="shared" si="553"/>
        <v/>
      </c>
    </row>
    <row r="1139" spans="1:54" s="3" customFormat="1" hidden="1" x14ac:dyDescent="0.35">
      <c r="A1139" s="73">
        <f t="shared" si="530"/>
        <v>2019</v>
      </c>
      <c r="B1139" s="73" t="str">
        <f t="shared" si="531"/>
        <v>Nov</v>
      </c>
      <c r="C1139" s="74">
        <f t="shared" si="554"/>
        <v>17</v>
      </c>
      <c r="D1139" s="75">
        <f t="shared" si="532"/>
        <v>10</v>
      </c>
      <c r="E1139" s="76">
        <f t="shared" si="533"/>
        <v>13</v>
      </c>
      <c r="F1139" s="80"/>
      <c r="G1139" s="83"/>
      <c r="H1139" s="69" t="str">
        <f t="shared" si="555"/>
        <v>Senbur6_20191117_10_00</v>
      </c>
      <c r="I1139" s="70">
        <f t="shared" si="558"/>
        <v>1</v>
      </c>
      <c r="J1139" s="77" t="str">
        <f t="shared" si="558"/>
        <v>Senecio</v>
      </c>
      <c r="K1139" s="77" t="str">
        <f t="shared" si="558"/>
        <v>burtoni</v>
      </c>
      <c r="L1139" s="78">
        <f t="shared" si="558"/>
        <v>6</v>
      </c>
      <c r="M1139" s="78">
        <f t="shared" si="558"/>
        <v>12</v>
      </c>
      <c r="N1139" s="72">
        <f t="shared" si="558"/>
        <v>0</v>
      </c>
      <c r="O1139" s="45"/>
      <c r="P1139" s="46" t="str">
        <f t="shared" si="534"/>
        <v/>
      </c>
      <c r="Q1139" s="47" t="str">
        <f t="shared" si="535"/>
        <v/>
      </c>
      <c r="R1139" s="48" t="e">
        <f t="shared" si="536"/>
        <v>#VALUE!</v>
      </c>
      <c r="S1139" s="49" t="e">
        <f t="shared" si="529"/>
        <v>#VALUE!</v>
      </c>
      <c r="T1139" s="48" t="str">
        <f t="shared" si="537"/>
        <v/>
      </c>
      <c r="U1139" s="50"/>
      <c r="V1139" s="51"/>
      <c r="W1139" s="52" t="e">
        <f t="shared" si="538"/>
        <v>#VALUE!</v>
      </c>
      <c r="X1139" s="53"/>
      <c r="Y1139" s="53"/>
      <c r="Z1139" s="53"/>
      <c r="AA1139" s="48" t="e">
        <f>INDEX([1]!VISITORS[INSECT ORDER], MATCH(X1139,[1]!VISITORS[NAME USED],0))</f>
        <v>#REF!</v>
      </c>
      <c r="AB1139" s="48" t="e">
        <f t="shared" si="539"/>
        <v>#REF!</v>
      </c>
      <c r="AC1139" s="54" t="e">
        <f t="shared" si="540"/>
        <v>#VALUE!</v>
      </c>
      <c r="AD1139" s="55" t="str">
        <f t="shared" si="541"/>
        <v/>
      </c>
      <c r="AE1139" s="55"/>
      <c r="AF1139" s="55"/>
      <c r="AG1139" s="56" t="str">
        <f t="shared" si="542"/>
        <v/>
      </c>
      <c r="AH1139" s="57" t="str">
        <f t="shared" si="543"/>
        <v/>
      </c>
      <c r="AI1139" s="56"/>
      <c r="AJ1139" s="57" t="str">
        <f t="shared" si="544"/>
        <v/>
      </c>
      <c r="AK1139" s="56"/>
      <c r="AL1139" s="57" t="str">
        <f t="shared" si="545"/>
        <v/>
      </c>
      <c r="AM1139" s="56"/>
      <c r="AN1139" s="57" t="str">
        <f t="shared" si="546"/>
        <v/>
      </c>
      <c r="AO1139" s="56"/>
      <c r="AP1139" s="57" t="str">
        <f t="shared" si="547"/>
        <v/>
      </c>
      <c r="AQ1139" s="56"/>
      <c r="AR1139" s="57" t="str">
        <f t="shared" si="548"/>
        <v/>
      </c>
      <c r="AS1139" s="56"/>
      <c r="AT1139" s="57" t="str">
        <f t="shared" si="549"/>
        <v/>
      </c>
      <c r="AU1139" s="58"/>
      <c r="AV1139" s="59"/>
      <c r="AW1139" s="59"/>
      <c r="AX1139" s="60"/>
      <c r="AY1139" s="61" t="str">
        <f t="shared" si="550"/>
        <v/>
      </c>
      <c r="AZ1139" s="62" t="str">
        <f t="shared" si="551"/>
        <v/>
      </c>
      <c r="BA1139" s="61" t="str">
        <f t="shared" si="552"/>
        <v/>
      </c>
      <c r="BB1139" s="62" t="str">
        <f t="shared" si="553"/>
        <v/>
      </c>
    </row>
    <row r="1140" spans="1:54" s="3" customFormat="1" hidden="1" x14ac:dyDescent="0.35">
      <c r="A1140" s="73">
        <f t="shared" si="530"/>
        <v>2019</v>
      </c>
      <c r="B1140" s="73" t="str">
        <f t="shared" si="531"/>
        <v>Nov</v>
      </c>
      <c r="C1140" s="74">
        <f t="shared" si="554"/>
        <v>17</v>
      </c>
      <c r="D1140" s="75">
        <f t="shared" si="532"/>
        <v>10</v>
      </c>
      <c r="E1140" s="76">
        <f t="shared" si="533"/>
        <v>14</v>
      </c>
      <c r="F1140" s="80"/>
      <c r="G1140" s="83"/>
      <c r="H1140" s="69" t="str">
        <f t="shared" si="555"/>
        <v>Senbur6_20191117_10_00</v>
      </c>
      <c r="I1140" s="70">
        <f t="shared" si="558"/>
        <v>1</v>
      </c>
      <c r="J1140" s="77" t="str">
        <f t="shared" si="558"/>
        <v>Senecio</v>
      </c>
      <c r="K1140" s="77" t="str">
        <f t="shared" si="558"/>
        <v>burtoni</v>
      </c>
      <c r="L1140" s="78">
        <f t="shared" si="558"/>
        <v>6</v>
      </c>
      <c r="M1140" s="78">
        <f t="shared" si="558"/>
        <v>12</v>
      </c>
      <c r="N1140" s="72">
        <f t="shared" si="558"/>
        <v>0</v>
      </c>
      <c r="O1140" s="45"/>
      <c r="P1140" s="46" t="str">
        <f t="shared" si="534"/>
        <v/>
      </c>
      <c r="Q1140" s="47" t="str">
        <f t="shared" si="535"/>
        <v/>
      </c>
      <c r="R1140" s="48" t="e">
        <f t="shared" si="536"/>
        <v>#VALUE!</v>
      </c>
      <c r="S1140" s="49" t="e">
        <f t="shared" si="529"/>
        <v>#VALUE!</v>
      </c>
      <c r="T1140" s="48" t="str">
        <f t="shared" si="537"/>
        <v/>
      </c>
      <c r="U1140" s="50"/>
      <c r="V1140" s="51"/>
      <c r="W1140" s="52" t="e">
        <f t="shared" si="538"/>
        <v>#VALUE!</v>
      </c>
      <c r="X1140" s="53"/>
      <c r="Y1140" s="53"/>
      <c r="Z1140" s="53"/>
      <c r="AA1140" s="48" t="e">
        <f>INDEX([1]!VISITORS[INSECT ORDER], MATCH(X1140,[1]!VISITORS[NAME USED],0))</f>
        <v>#REF!</v>
      </c>
      <c r="AB1140" s="48" t="e">
        <f t="shared" si="539"/>
        <v>#REF!</v>
      </c>
      <c r="AC1140" s="54" t="e">
        <f t="shared" si="540"/>
        <v>#VALUE!</v>
      </c>
      <c r="AD1140" s="55" t="str">
        <f t="shared" si="541"/>
        <v/>
      </c>
      <c r="AE1140" s="55"/>
      <c r="AF1140" s="55"/>
      <c r="AG1140" s="56" t="str">
        <f t="shared" si="542"/>
        <v/>
      </c>
      <c r="AH1140" s="57" t="str">
        <f t="shared" si="543"/>
        <v/>
      </c>
      <c r="AI1140" s="56"/>
      <c r="AJ1140" s="57" t="str">
        <f t="shared" si="544"/>
        <v/>
      </c>
      <c r="AK1140" s="56"/>
      <c r="AL1140" s="57" t="str">
        <f t="shared" si="545"/>
        <v/>
      </c>
      <c r="AM1140" s="56"/>
      <c r="AN1140" s="57" t="str">
        <f t="shared" si="546"/>
        <v/>
      </c>
      <c r="AO1140" s="56"/>
      <c r="AP1140" s="57" t="str">
        <f t="shared" si="547"/>
        <v/>
      </c>
      <c r="AQ1140" s="56"/>
      <c r="AR1140" s="57" t="str">
        <f t="shared" si="548"/>
        <v/>
      </c>
      <c r="AS1140" s="56"/>
      <c r="AT1140" s="57" t="str">
        <f t="shared" si="549"/>
        <v/>
      </c>
      <c r="AU1140" s="58"/>
      <c r="AV1140" s="59"/>
      <c r="AW1140" s="59"/>
      <c r="AX1140" s="60"/>
      <c r="AY1140" s="61" t="str">
        <f t="shared" si="550"/>
        <v/>
      </c>
      <c r="AZ1140" s="62" t="str">
        <f t="shared" si="551"/>
        <v/>
      </c>
      <c r="BA1140" s="61" t="str">
        <f t="shared" si="552"/>
        <v/>
      </c>
      <c r="BB1140" s="62" t="str">
        <f t="shared" si="553"/>
        <v/>
      </c>
    </row>
    <row r="1141" spans="1:54" s="3" customFormat="1" hidden="1" x14ac:dyDescent="0.35">
      <c r="A1141" s="73">
        <f t="shared" si="530"/>
        <v>2019</v>
      </c>
      <c r="B1141" s="73" t="str">
        <f t="shared" si="531"/>
        <v>Nov</v>
      </c>
      <c r="C1141" s="74">
        <f t="shared" si="554"/>
        <v>17</v>
      </c>
      <c r="D1141" s="75">
        <f t="shared" si="532"/>
        <v>10</v>
      </c>
      <c r="E1141" s="76">
        <f t="shared" si="533"/>
        <v>15</v>
      </c>
      <c r="F1141" s="80"/>
      <c r="G1141" s="83"/>
      <c r="H1141" s="69" t="str">
        <f t="shared" si="555"/>
        <v>Senbur6_20191117_10_00</v>
      </c>
      <c r="I1141" s="70">
        <f t="shared" ref="I1141:N1156" si="559">I1140</f>
        <v>1</v>
      </c>
      <c r="J1141" s="77" t="str">
        <f t="shared" si="559"/>
        <v>Senecio</v>
      </c>
      <c r="K1141" s="77" t="str">
        <f t="shared" si="559"/>
        <v>burtoni</v>
      </c>
      <c r="L1141" s="78">
        <f t="shared" si="559"/>
        <v>6</v>
      </c>
      <c r="M1141" s="78">
        <f t="shared" si="559"/>
        <v>12</v>
      </c>
      <c r="N1141" s="72">
        <f t="shared" si="559"/>
        <v>0</v>
      </c>
      <c r="O1141" s="45"/>
      <c r="P1141" s="46" t="str">
        <f t="shared" si="534"/>
        <v/>
      </c>
      <c r="Q1141" s="47" t="str">
        <f t="shared" si="535"/>
        <v/>
      </c>
      <c r="R1141" s="48" t="e">
        <f t="shared" si="536"/>
        <v>#VALUE!</v>
      </c>
      <c r="S1141" s="49" t="e">
        <f t="shared" si="529"/>
        <v>#VALUE!</v>
      </c>
      <c r="T1141" s="48" t="str">
        <f t="shared" si="537"/>
        <v/>
      </c>
      <c r="U1141" s="50"/>
      <c r="V1141" s="51"/>
      <c r="W1141" s="52" t="e">
        <f t="shared" si="538"/>
        <v>#VALUE!</v>
      </c>
      <c r="X1141" s="53"/>
      <c r="Y1141" s="53"/>
      <c r="Z1141" s="53"/>
      <c r="AA1141" s="48" t="e">
        <f>INDEX([1]!VISITORS[INSECT ORDER], MATCH(X1141,[1]!VISITORS[NAME USED],0))</f>
        <v>#REF!</v>
      </c>
      <c r="AB1141" s="48" t="e">
        <f t="shared" si="539"/>
        <v>#REF!</v>
      </c>
      <c r="AC1141" s="54" t="e">
        <f t="shared" si="540"/>
        <v>#VALUE!</v>
      </c>
      <c r="AD1141" s="55" t="str">
        <f t="shared" si="541"/>
        <v/>
      </c>
      <c r="AE1141" s="55"/>
      <c r="AF1141" s="55"/>
      <c r="AG1141" s="56" t="str">
        <f t="shared" si="542"/>
        <v/>
      </c>
      <c r="AH1141" s="57" t="str">
        <f t="shared" si="543"/>
        <v/>
      </c>
      <c r="AI1141" s="56"/>
      <c r="AJ1141" s="57" t="str">
        <f t="shared" si="544"/>
        <v/>
      </c>
      <c r="AK1141" s="56"/>
      <c r="AL1141" s="57" t="str">
        <f t="shared" si="545"/>
        <v/>
      </c>
      <c r="AM1141" s="56"/>
      <c r="AN1141" s="57" t="str">
        <f t="shared" si="546"/>
        <v/>
      </c>
      <c r="AO1141" s="56"/>
      <c r="AP1141" s="57" t="str">
        <f t="shared" si="547"/>
        <v/>
      </c>
      <c r="AQ1141" s="56"/>
      <c r="AR1141" s="57" t="str">
        <f t="shared" si="548"/>
        <v/>
      </c>
      <c r="AS1141" s="56"/>
      <c r="AT1141" s="57" t="str">
        <f t="shared" si="549"/>
        <v/>
      </c>
      <c r="AU1141" s="58"/>
      <c r="AV1141" s="59"/>
      <c r="AW1141" s="59"/>
      <c r="AX1141" s="60"/>
      <c r="AY1141" s="61" t="str">
        <f t="shared" si="550"/>
        <v/>
      </c>
      <c r="AZ1141" s="62" t="str">
        <f t="shared" si="551"/>
        <v/>
      </c>
      <c r="BA1141" s="61" t="str">
        <f t="shared" si="552"/>
        <v/>
      </c>
      <c r="BB1141" s="62" t="str">
        <f t="shared" si="553"/>
        <v/>
      </c>
    </row>
    <row r="1142" spans="1:54" s="3" customFormat="1" hidden="1" x14ac:dyDescent="0.35">
      <c r="A1142" s="73">
        <f t="shared" si="530"/>
        <v>2019</v>
      </c>
      <c r="B1142" s="73" t="str">
        <f t="shared" si="531"/>
        <v>Nov</v>
      </c>
      <c r="C1142" s="74">
        <f t="shared" si="554"/>
        <v>17</v>
      </c>
      <c r="D1142" s="75">
        <f t="shared" si="532"/>
        <v>10</v>
      </c>
      <c r="E1142" s="76">
        <f t="shared" si="533"/>
        <v>16</v>
      </c>
      <c r="F1142" s="80"/>
      <c r="G1142" s="83"/>
      <c r="H1142" s="69" t="str">
        <f t="shared" si="555"/>
        <v>Senbur6_20191117_10_00</v>
      </c>
      <c r="I1142" s="70">
        <f t="shared" si="559"/>
        <v>1</v>
      </c>
      <c r="J1142" s="77" t="str">
        <f t="shared" si="559"/>
        <v>Senecio</v>
      </c>
      <c r="K1142" s="77" t="str">
        <f t="shared" si="559"/>
        <v>burtoni</v>
      </c>
      <c r="L1142" s="78">
        <f t="shared" si="559"/>
        <v>6</v>
      </c>
      <c r="M1142" s="78">
        <f t="shared" si="559"/>
        <v>12</v>
      </c>
      <c r="N1142" s="72">
        <f t="shared" si="559"/>
        <v>0</v>
      </c>
      <c r="O1142" s="45"/>
      <c r="P1142" s="46" t="str">
        <f t="shared" si="534"/>
        <v/>
      </c>
      <c r="Q1142" s="47" t="str">
        <f t="shared" si="535"/>
        <v/>
      </c>
      <c r="R1142" s="48" t="e">
        <f t="shared" si="536"/>
        <v>#VALUE!</v>
      </c>
      <c r="S1142" s="49" t="e">
        <f t="shared" si="529"/>
        <v>#VALUE!</v>
      </c>
      <c r="T1142" s="48" t="str">
        <f t="shared" si="537"/>
        <v/>
      </c>
      <c r="U1142" s="50"/>
      <c r="V1142" s="51"/>
      <c r="W1142" s="52" t="e">
        <f t="shared" si="538"/>
        <v>#VALUE!</v>
      </c>
      <c r="X1142" s="53"/>
      <c r="Y1142" s="53"/>
      <c r="Z1142" s="53"/>
      <c r="AA1142" s="48" t="e">
        <f>INDEX([1]!VISITORS[INSECT ORDER], MATCH(X1142,[1]!VISITORS[NAME USED],0))</f>
        <v>#REF!</v>
      </c>
      <c r="AB1142" s="48" t="e">
        <f t="shared" si="539"/>
        <v>#REF!</v>
      </c>
      <c r="AC1142" s="54" t="e">
        <f t="shared" si="540"/>
        <v>#VALUE!</v>
      </c>
      <c r="AD1142" s="55" t="str">
        <f t="shared" si="541"/>
        <v/>
      </c>
      <c r="AE1142" s="55"/>
      <c r="AF1142" s="55"/>
      <c r="AG1142" s="56" t="str">
        <f t="shared" si="542"/>
        <v/>
      </c>
      <c r="AH1142" s="57" t="str">
        <f t="shared" si="543"/>
        <v/>
      </c>
      <c r="AI1142" s="56"/>
      <c r="AJ1142" s="57" t="str">
        <f t="shared" si="544"/>
        <v/>
      </c>
      <c r="AK1142" s="56"/>
      <c r="AL1142" s="57" t="str">
        <f t="shared" si="545"/>
        <v/>
      </c>
      <c r="AM1142" s="56"/>
      <c r="AN1142" s="57" t="str">
        <f t="shared" si="546"/>
        <v/>
      </c>
      <c r="AO1142" s="56"/>
      <c r="AP1142" s="57" t="str">
        <f t="shared" si="547"/>
        <v/>
      </c>
      <c r="AQ1142" s="56"/>
      <c r="AR1142" s="57" t="str">
        <f t="shared" si="548"/>
        <v/>
      </c>
      <c r="AS1142" s="56"/>
      <c r="AT1142" s="57" t="str">
        <f t="shared" si="549"/>
        <v/>
      </c>
      <c r="AU1142" s="58"/>
      <c r="AV1142" s="59"/>
      <c r="AW1142" s="59"/>
      <c r="AX1142" s="60"/>
      <c r="AY1142" s="61" t="str">
        <f t="shared" si="550"/>
        <v/>
      </c>
      <c r="AZ1142" s="62" t="str">
        <f t="shared" si="551"/>
        <v/>
      </c>
      <c r="BA1142" s="61" t="str">
        <f t="shared" si="552"/>
        <v/>
      </c>
      <c r="BB1142" s="62" t="str">
        <f t="shared" si="553"/>
        <v/>
      </c>
    </row>
    <row r="1143" spans="1:54" s="3" customFormat="1" hidden="1" x14ac:dyDescent="0.35">
      <c r="A1143" s="73">
        <f t="shared" si="530"/>
        <v>2019</v>
      </c>
      <c r="B1143" s="73" t="str">
        <f t="shared" si="531"/>
        <v>Nov</v>
      </c>
      <c r="C1143" s="74">
        <f t="shared" si="554"/>
        <v>17</v>
      </c>
      <c r="D1143" s="75">
        <f t="shared" si="532"/>
        <v>10</v>
      </c>
      <c r="E1143" s="76">
        <f t="shared" si="533"/>
        <v>17</v>
      </c>
      <c r="F1143" s="80"/>
      <c r="G1143" s="83"/>
      <c r="H1143" s="69" t="str">
        <f t="shared" si="555"/>
        <v>Senbur6_20191117_10_00</v>
      </c>
      <c r="I1143" s="70">
        <f t="shared" si="559"/>
        <v>1</v>
      </c>
      <c r="J1143" s="77" t="str">
        <f t="shared" si="559"/>
        <v>Senecio</v>
      </c>
      <c r="K1143" s="77" t="str">
        <f t="shared" si="559"/>
        <v>burtoni</v>
      </c>
      <c r="L1143" s="78">
        <f t="shared" si="559"/>
        <v>6</v>
      </c>
      <c r="M1143" s="78">
        <f t="shared" si="559"/>
        <v>12</v>
      </c>
      <c r="N1143" s="72">
        <f t="shared" si="559"/>
        <v>0</v>
      </c>
      <c r="O1143" s="45"/>
      <c r="P1143" s="46" t="str">
        <f t="shared" si="534"/>
        <v/>
      </c>
      <c r="Q1143" s="47" t="str">
        <f t="shared" si="535"/>
        <v/>
      </c>
      <c r="R1143" s="48" t="e">
        <f t="shared" si="536"/>
        <v>#VALUE!</v>
      </c>
      <c r="S1143" s="49" t="e">
        <f t="shared" si="529"/>
        <v>#VALUE!</v>
      </c>
      <c r="T1143" s="48" t="str">
        <f t="shared" si="537"/>
        <v/>
      </c>
      <c r="U1143" s="50"/>
      <c r="V1143" s="51"/>
      <c r="W1143" s="52" t="e">
        <f t="shared" si="538"/>
        <v>#VALUE!</v>
      </c>
      <c r="X1143" s="53"/>
      <c r="Y1143" s="53"/>
      <c r="Z1143" s="53"/>
      <c r="AA1143" s="48" t="e">
        <f>INDEX([1]!VISITORS[INSECT ORDER], MATCH(X1143,[1]!VISITORS[NAME USED],0))</f>
        <v>#REF!</v>
      </c>
      <c r="AB1143" s="48" t="e">
        <f t="shared" si="539"/>
        <v>#REF!</v>
      </c>
      <c r="AC1143" s="54" t="e">
        <f t="shared" si="540"/>
        <v>#VALUE!</v>
      </c>
      <c r="AD1143" s="55" t="str">
        <f t="shared" si="541"/>
        <v/>
      </c>
      <c r="AE1143" s="55"/>
      <c r="AF1143" s="55"/>
      <c r="AG1143" s="56" t="str">
        <f t="shared" si="542"/>
        <v/>
      </c>
      <c r="AH1143" s="57" t="str">
        <f t="shared" si="543"/>
        <v/>
      </c>
      <c r="AI1143" s="56"/>
      <c r="AJ1143" s="57" t="str">
        <f t="shared" si="544"/>
        <v/>
      </c>
      <c r="AK1143" s="56"/>
      <c r="AL1143" s="57" t="str">
        <f t="shared" si="545"/>
        <v/>
      </c>
      <c r="AM1143" s="56"/>
      <c r="AN1143" s="57" t="str">
        <f t="shared" si="546"/>
        <v/>
      </c>
      <c r="AO1143" s="56"/>
      <c r="AP1143" s="57" t="str">
        <f t="shared" si="547"/>
        <v/>
      </c>
      <c r="AQ1143" s="56"/>
      <c r="AR1143" s="57" t="str">
        <f t="shared" si="548"/>
        <v/>
      </c>
      <c r="AS1143" s="56"/>
      <c r="AT1143" s="57" t="str">
        <f t="shared" si="549"/>
        <v/>
      </c>
      <c r="AU1143" s="58"/>
      <c r="AV1143" s="59"/>
      <c r="AW1143" s="59"/>
      <c r="AX1143" s="60"/>
      <c r="AY1143" s="61" t="str">
        <f t="shared" si="550"/>
        <v/>
      </c>
      <c r="AZ1143" s="62" t="str">
        <f t="shared" si="551"/>
        <v/>
      </c>
      <c r="BA1143" s="61" t="str">
        <f t="shared" si="552"/>
        <v/>
      </c>
      <c r="BB1143" s="62" t="str">
        <f t="shared" si="553"/>
        <v/>
      </c>
    </row>
    <row r="1144" spans="1:54" s="3" customFormat="1" hidden="1" x14ac:dyDescent="0.35">
      <c r="A1144" s="73">
        <f t="shared" si="530"/>
        <v>2019</v>
      </c>
      <c r="B1144" s="73" t="str">
        <f t="shared" si="531"/>
        <v>Nov</v>
      </c>
      <c r="C1144" s="74">
        <f t="shared" si="554"/>
        <v>17</v>
      </c>
      <c r="D1144" s="75">
        <f t="shared" si="532"/>
        <v>10</v>
      </c>
      <c r="E1144" s="76">
        <f t="shared" si="533"/>
        <v>18</v>
      </c>
      <c r="F1144" s="80"/>
      <c r="G1144" s="83"/>
      <c r="H1144" s="69" t="str">
        <f t="shared" si="555"/>
        <v>Senbur6_20191117_10_00</v>
      </c>
      <c r="I1144" s="70">
        <f t="shared" si="559"/>
        <v>1</v>
      </c>
      <c r="J1144" s="77" t="str">
        <f t="shared" si="559"/>
        <v>Senecio</v>
      </c>
      <c r="K1144" s="77" t="str">
        <f t="shared" si="559"/>
        <v>burtoni</v>
      </c>
      <c r="L1144" s="78">
        <f t="shared" si="559"/>
        <v>6</v>
      </c>
      <c r="M1144" s="78">
        <f t="shared" si="559"/>
        <v>12</v>
      </c>
      <c r="N1144" s="72">
        <f t="shared" si="559"/>
        <v>0</v>
      </c>
      <c r="O1144" s="45"/>
      <c r="P1144" s="46" t="str">
        <f t="shared" si="534"/>
        <v/>
      </c>
      <c r="Q1144" s="47" t="str">
        <f t="shared" si="535"/>
        <v/>
      </c>
      <c r="R1144" s="48" t="e">
        <f t="shared" si="536"/>
        <v>#VALUE!</v>
      </c>
      <c r="S1144" s="49" t="e">
        <f t="shared" si="529"/>
        <v>#VALUE!</v>
      </c>
      <c r="T1144" s="48" t="str">
        <f t="shared" si="537"/>
        <v/>
      </c>
      <c r="U1144" s="50"/>
      <c r="V1144" s="51"/>
      <c r="W1144" s="52" t="e">
        <f t="shared" si="538"/>
        <v>#VALUE!</v>
      </c>
      <c r="X1144" s="53"/>
      <c r="Y1144" s="53"/>
      <c r="Z1144" s="53"/>
      <c r="AA1144" s="48" t="e">
        <f>INDEX([1]!VISITORS[INSECT ORDER], MATCH(X1144,[1]!VISITORS[NAME USED],0))</f>
        <v>#REF!</v>
      </c>
      <c r="AB1144" s="48" t="e">
        <f t="shared" si="539"/>
        <v>#REF!</v>
      </c>
      <c r="AC1144" s="54" t="e">
        <f t="shared" si="540"/>
        <v>#VALUE!</v>
      </c>
      <c r="AD1144" s="55" t="str">
        <f t="shared" si="541"/>
        <v/>
      </c>
      <c r="AE1144" s="55"/>
      <c r="AF1144" s="55"/>
      <c r="AG1144" s="56" t="str">
        <f t="shared" si="542"/>
        <v/>
      </c>
      <c r="AH1144" s="57" t="str">
        <f t="shared" si="543"/>
        <v/>
      </c>
      <c r="AI1144" s="56"/>
      <c r="AJ1144" s="57" t="str">
        <f t="shared" si="544"/>
        <v/>
      </c>
      <c r="AK1144" s="56"/>
      <c r="AL1144" s="57" t="str">
        <f t="shared" si="545"/>
        <v/>
      </c>
      <c r="AM1144" s="56"/>
      <c r="AN1144" s="57" t="str">
        <f t="shared" si="546"/>
        <v/>
      </c>
      <c r="AO1144" s="56"/>
      <c r="AP1144" s="57" t="str">
        <f t="shared" si="547"/>
        <v/>
      </c>
      <c r="AQ1144" s="56"/>
      <c r="AR1144" s="57" t="str">
        <f t="shared" si="548"/>
        <v/>
      </c>
      <c r="AS1144" s="56"/>
      <c r="AT1144" s="57" t="str">
        <f t="shared" si="549"/>
        <v/>
      </c>
      <c r="AU1144" s="58"/>
      <c r="AV1144" s="59"/>
      <c r="AW1144" s="59"/>
      <c r="AX1144" s="60"/>
      <c r="AY1144" s="61" t="str">
        <f t="shared" si="550"/>
        <v/>
      </c>
      <c r="AZ1144" s="62" t="str">
        <f t="shared" si="551"/>
        <v/>
      </c>
      <c r="BA1144" s="61" t="str">
        <f t="shared" si="552"/>
        <v/>
      </c>
      <c r="BB1144" s="62" t="str">
        <f t="shared" si="553"/>
        <v/>
      </c>
    </row>
    <row r="1145" spans="1:54" s="3" customFormat="1" hidden="1" x14ac:dyDescent="0.35">
      <c r="A1145" s="73">
        <f t="shared" si="530"/>
        <v>2019</v>
      </c>
      <c r="B1145" s="73" t="str">
        <f t="shared" si="531"/>
        <v>Nov</v>
      </c>
      <c r="C1145" s="74">
        <f t="shared" si="554"/>
        <v>17</v>
      </c>
      <c r="D1145" s="75">
        <f t="shared" si="532"/>
        <v>10</v>
      </c>
      <c r="E1145" s="76">
        <f t="shared" si="533"/>
        <v>19</v>
      </c>
      <c r="F1145" s="80"/>
      <c r="G1145" s="83"/>
      <c r="H1145" s="69" t="str">
        <f t="shared" si="555"/>
        <v>Senbur6_20191117_10_00</v>
      </c>
      <c r="I1145" s="70">
        <f t="shared" si="559"/>
        <v>1</v>
      </c>
      <c r="J1145" s="77" t="str">
        <f t="shared" si="559"/>
        <v>Senecio</v>
      </c>
      <c r="K1145" s="77" t="str">
        <f t="shared" si="559"/>
        <v>burtoni</v>
      </c>
      <c r="L1145" s="78">
        <f t="shared" si="559"/>
        <v>6</v>
      </c>
      <c r="M1145" s="78">
        <f t="shared" si="559"/>
        <v>12</v>
      </c>
      <c r="N1145" s="72">
        <f t="shared" si="559"/>
        <v>0</v>
      </c>
      <c r="O1145" s="45"/>
      <c r="P1145" s="46" t="str">
        <f t="shared" si="534"/>
        <v/>
      </c>
      <c r="Q1145" s="47" t="str">
        <f t="shared" si="535"/>
        <v/>
      </c>
      <c r="R1145" s="48" t="e">
        <f t="shared" si="536"/>
        <v>#VALUE!</v>
      </c>
      <c r="S1145" s="49" t="e">
        <f t="shared" si="529"/>
        <v>#VALUE!</v>
      </c>
      <c r="T1145" s="48" t="str">
        <f t="shared" si="537"/>
        <v/>
      </c>
      <c r="U1145" s="50"/>
      <c r="V1145" s="51"/>
      <c r="W1145" s="52" t="e">
        <f t="shared" si="538"/>
        <v>#VALUE!</v>
      </c>
      <c r="X1145" s="53"/>
      <c r="Y1145" s="53"/>
      <c r="Z1145" s="53"/>
      <c r="AA1145" s="48" t="e">
        <f>INDEX([1]!VISITORS[INSECT ORDER], MATCH(X1145,[1]!VISITORS[NAME USED],0))</f>
        <v>#REF!</v>
      </c>
      <c r="AB1145" s="48" t="e">
        <f t="shared" si="539"/>
        <v>#REF!</v>
      </c>
      <c r="AC1145" s="54" t="e">
        <f t="shared" si="540"/>
        <v>#VALUE!</v>
      </c>
      <c r="AD1145" s="55" t="str">
        <f t="shared" si="541"/>
        <v/>
      </c>
      <c r="AE1145" s="55"/>
      <c r="AF1145" s="55"/>
      <c r="AG1145" s="56" t="str">
        <f t="shared" si="542"/>
        <v/>
      </c>
      <c r="AH1145" s="57" t="str">
        <f t="shared" si="543"/>
        <v/>
      </c>
      <c r="AI1145" s="56"/>
      <c r="AJ1145" s="57" t="str">
        <f t="shared" si="544"/>
        <v/>
      </c>
      <c r="AK1145" s="56"/>
      <c r="AL1145" s="57" t="str">
        <f t="shared" si="545"/>
        <v/>
      </c>
      <c r="AM1145" s="56"/>
      <c r="AN1145" s="57" t="str">
        <f t="shared" si="546"/>
        <v/>
      </c>
      <c r="AO1145" s="56"/>
      <c r="AP1145" s="57" t="str">
        <f t="shared" si="547"/>
        <v/>
      </c>
      <c r="AQ1145" s="56"/>
      <c r="AR1145" s="57" t="str">
        <f t="shared" si="548"/>
        <v/>
      </c>
      <c r="AS1145" s="56"/>
      <c r="AT1145" s="57" t="str">
        <f t="shared" si="549"/>
        <v/>
      </c>
      <c r="AU1145" s="58"/>
      <c r="AV1145" s="59"/>
      <c r="AW1145" s="59"/>
      <c r="AX1145" s="60"/>
      <c r="AY1145" s="61" t="str">
        <f t="shared" si="550"/>
        <v/>
      </c>
      <c r="AZ1145" s="62" t="str">
        <f t="shared" si="551"/>
        <v/>
      </c>
      <c r="BA1145" s="61" t="str">
        <f t="shared" si="552"/>
        <v/>
      </c>
      <c r="BB1145" s="62" t="str">
        <f t="shared" si="553"/>
        <v/>
      </c>
    </row>
    <row r="1146" spans="1:54" s="3" customFormat="1" hidden="1" x14ac:dyDescent="0.35">
      <c r="A1146" s="73">
        <f t="shared" si="530"/>
        <v>2019</v>
      </c>
      <c r="B1146" s="73" t="str">
        <f t="shared" si="531"/>
        <v>Nov</v>
      </c>
      <c r="C1146" s="74">
        <f t="shared" si="554"/>
        <v>17</v>
      </c>
      <c r="D1146" s="75">
        <f t="shared" si="532"/>
        <v>10</v>
      </c>
      <c r="E1146" s="76">
        <f t="shared" si="533"/>
        <v>20</v>
      </c>
      <c r="F1146" s="80"/>
      <c r="G1146" s="83"/>
      <c r="H1146" s="69" t="str">
        <f t="shared" si="555"/>
        <v>Senbur6_20191117_10_00</v>
      </c>
      <c r="I1146" s="70">
        <f t="shared" si="559"/>
        <v>1</v>
      </c>
      <c r="J1146" s="77" t="str">
        <f t="shared" si="559"/>
        <v>Senecio</v>
      </c>
      <c r="K1146" s="77" t="str">
        <f t="shared" si="559"/>
        <v>burtoni</v>
      </c>
      <c r="L1146" s="78">
        <f t="shared" si="559"/>
        <v>6</v>
      </c>
      <c r="M1146" s="78">
        <f t="shared" si="559"/>
        <v>12</v>
      </c>
      <c r="N1146" s="72">
        <f t="shared" si="559"/>
        <v>0</v>
      </c>
      <c r="O1146" s="45"/>
      <c r="P1146" s="46" t="str">
        <f t="shared" si="534"/>
        <v/>
      </c>
      <c r="Q1146" s="47" t="str">
        <f t="shared" si="535"/>
        <v/>
      </c>
      <c r="R1146" s="48" t="e">
        <f t="shared" si="536"/>
        <v>#VALUE!</v>
      </c>
      <c r="S1146" s="49" t="e">
        <f t="shared" si="529"/>
        <v>#VALUE!</v>
      </c>
      <c r="T1146" s="48" t="str">
        <f t="shared" si="537"/>
        <v/>
      </c>
      <c r="U1146" s="50"/>
      <c r="V1146" s="51"/>
      <c r="W1146" s="52" t="e">
        <f t="shared" si="538"/>
        <v>#VALUE!</v>
      </c>
      <c r="X1146" s="53"/>
      <c r="Y1146" s="53"/>
      <c r="Z1146" s="53"/>
      <c r="AA1146" s="48" t="e">
        <f>INDEX([1]!VISITORS[INSECT ORDER], MATCH(X1146,[1]!VISITORS[NAME USED],0))</f>
        <v>#REF!</v>
      </c>
      <c r="AB1146" s="48" t="e">
        <f t="shared" si="539"/>
        <v>#REF!</v>
      </c>
      <c r="AC1146" s="54" t="e">
        <f t="shared" si="540"/>
        <v>#VALUE!</v>
      </c>
      <c r="AD1146" s="55" t="str">
        <f t="shared" si="541"/>
        <v/>
      </c>
      <c r="AE1146" s="55"/>
      <c r="AF1146" s="55"/>
      <c r="AG1146" s="56" t="str">
        <f t="shared" si="542"/>
        <v/>
      </c>
      <c r="AH1146" s="57" t="str">
        <f t="shared" si="543"/>
        <v/>
      </c>
      <c r="AI1146" s="56"/>
      <c r="AJ1146" s="57" t="str">
        <f t="shared" si="544"/>
        <v/>
      </c>
      <c r="AK1146" s="56"/>
      <c r="AL1146" s="57" t="str">
        <f t="shared" si="545"/>
        <v/>
      </c>
      <c r="AM1146" s="56"/>
      <c r="AN1146" s="57" t="str">
        <f t="shared" si="546"/>
        <v/>
      </c>
      <c r="AO1146" s="56"/>
      <c r="AP1146" s="57" t="str">
        <f t="shared" si="547"/>
        <v/>
      </c>
      <c r="AQ1146" s="56"/>
      <c r="AR1146" s="57" t="str">
        <f t="shared" si="548"/>
        <v/>
      </c>
      <c r="AS1146" s="56"/>
      <c r="AT1146" s="57" t="str">
        <f t="shared" si="549"/>
        <v/>
      </c>
      <c r="AU1146" s="58"/>
      <c r="AV1146" s="59"/>
      <c r="AW1146" s="59"/>
      <c r="AX1146" s="60"/>
      <c r="AY1146" s="61" t="str">
        <f t="shared" si="550"/>
        <v/>
      </c>
      <c r="AZ1146" s="62" t="str">
        <f t="shared" si="551"/>
        <v/>
      </c>
      <c r="BA1146" s="61" t="str">
        <f t="shared" si="552"/>
        <v/>
      </c>
      <c r="BB1146" s="62" t="str">
        <f t="shared" si="553"/>
        <v/>
      </c>
    </row>
    <row r="1147" spans="1:54" s="3" customFormat="1" hidden="1" x14ac:dyDescent="0.35">
      <c r="A1147" s="73">
        <f t="shared" si="530"/>
        <v>2019</v>
      </c>
      <c r="B1147" s="73" t="str">
        <f t="shared" si="531"/>
        <v>Nov</v>
      </c>
      <c r="C1147" s="74">
        <f t="shared" si="554"/>
        <v>17</v>
      </c>
      <c r="D1147" s="75">
        <f t="shared" si="532"/>
        <v>10</v>
      </c>
      <c r="E1147" s="76">
        <f t="shared" si="533"/>
        <v>21</v>
      </c>
      <c r="F1147" s="80"/>
      <c r="G1147" s="83"/>
      <c r="H1147" s="69" t="str">
        <f t="shared" si="555"/>
        <v>Senbur6_20191117_10_00</v>
      </c>
      <c r="I1147" s="70">
        <f t="shared" si="559"/>
        <v>1</v>
      </c>
      <c r="J1147" s="77" t="str">
        <f t="shared" si="559"/>
        <v>Senecio</v>
      </c>
      <c r="K1147" s="77" t="str">
        <f t="shared" si="559"/>
        <v>burtoni</v>
      </c>
      <c r="L1147" s="78">
        <f t="shared" si="559"/>
        <v>6</v>
      </c>
      <c r="M1147" s="78">
        <f t="shared" si="559"/>
        <v>12</v>
      </c>
      <c r="N1147" s="72">
        <f t="shared" si="559"/>
        <v>0</v>
      </c>
      <c r="O1147" s="45"/>
      <c r="P1147" s="46" t="str">
        <f t="shared" si="534"/>
        <v/>
      </c>
      <c r="Q1147" s="47" t="str">
        <f t="shared" si="535"/>
        <v/>
      </c>
      <c r="R1147" s="48" t="e">
        <f t="shared" si="536"/>
        <v>#VALUE!</v>
      </c>
      <c r="S1147" s="49" t="e">
        <f t="shared" si="529"/>
        <v>#VALUE!</v>
      </c>
      <c r="T1147" s="48" t="str">
        <f t="shared" si="537"/>
        <v/>
      </c>
      <c r="U1147" s="50"/>
      <c r="V1147" s="51"/>
      <c r="W1147" s="52" t="e">
        <f t="shared" si="538"/>
        <v>#VALUE!</v>
      </c>
      <c r="X1147" s="53"/>
      <c r="Y1147" s="53"/>
      <c r="Z1147" s="53"/>
      <c r="AA1147" s="48" t="e">
        <f>INDEX([1]!VISITORS[INSECT ORDER], MATCH(X1147,[1]!VISITORS[NAME USED],0))</f>
        <v>#REF!</v>
      </c>
      <c r="AB1147" s="48" t="e">
        <f t="shared" si="539"/>
        <v>#REF!</v>
      </c>
      <c r="AC1147" s="54" t="e">
        <f t="shared" si="540"/>
        <v>#VALUE!</v>
      </c>
      <c r="AD1147" s="55" t="str">
        <f t="shared" si="541"/>
        <v/>
      </c>
      <c r="AE1147" s="55"/>
      <c r="AF1147" s="55"/>
      <c r="AG1147" s="56" t="str">
        <f t="shared" si="542"/>
        <v/>
      </c>
      <c r="AH1147" s="57" t="str">
        <f t="shared" si="543"/>
        <v/>
      </c>
      <c r="AI1147" s="56"/>
      <c r="AJ1147" s="57" t="str">
        <f t="shared" si="544"/>
        <v/>
      </c>
      <c r="AK1147" s="56"/>
      <c r="AL1147" s="57" t="str">
        <f t="shared" si="545"/>
        <v/>
      </c>
      <c r="AM1147" s="56"/>
      <c r="AN1147" s="57" t="str">
        <f t="shared" si="546"/>
        <v/>
      </c>
      <c r="AO1147" s="56"/>
      <c r="AP1147" s="57" t="str">
        <f t="shared" si="547"/>
        <v/>
      </c>
      <c r="AQ1147" s="56"/>
      <c r="AR1147" s="57" t="str">
        <f t="shared" si="548"/>
        <v/>
      </c>
      <c r="AS1147" s="56"/>
      <c r="AT1147" s="57" t="str">
        <f t="shared" si="549"/>
        <v/>
      </c>
      <c r="AU1147" s="58"/>
      <c r="AV1147" s="59"/>
      <c r="AW1147" s="59"/>
      <c r="AX1147" s="60"/>
      <c r="AY1147" s="61" t="str">
        <f t="shared" si="550"/>
        <v/>
      </c>
      <c r="AZ1147" s="62" t="str">
        <f t="shared" si="551"/>
        <v/>
      </c>
      <c r="BA1147" s="61" t="str">
        <f t="shared" si="552"/>
        <v/>
      </c>
      <c r="BB1147" s="62" t="str">
        <f t="shared" si="553"/>
        <v/>
      </c>
    </row>
    <row r="1148" spans="1:54" s="3" customFormat="1" hidden="1" x14ac:dyDescent="0.35">
      <c r="A1148" s="73">
        <f t="shared" si="530"/>
        <v>2019</v>
      </c>
      <c r="B1148" s="73" t="str">
        <f t="shared" si="531"/>
        <v>Nov</v>
      </c>
      <c r="C1148" s="74">
        <f t="shared" si="554"/>
        <v>17</v>
      </c>
      <c r="D1148" s="75">
        <f t="shared" si="532"/>
        <v>10</v>
      </c>
      <c r="E1148" s="76">
        <f t="shared" si="533"/>
        <v>22</v>
      </c>
      <c r="F1148" s="80">
        <v>11</v>
      </c>
      <c r="G1148" s="83"/>
      <c r="H1148" s="69" t="str">
        <f t="shared" si="555"/>
        <v>Senbur6_20191117_10_00</v>
      </c>
      <c r="I1148" s="70">
        <f t="shared" si="559"/>
        <v>1</v>
      </c>
      <c r="J1148" s="77" t="str">
        <f t="shared" si="559"/>
        <v>Senecio</v>
      </c>
      <c r="K1148" s="77" t="str">
        <f t="shared" si="559"/>
        <v>burtoni</v>
      </c>
      <c r="L1148" s="78">
        <f t="shared" si="559"/>
        <v>6</v>
      </c>
      <c r="M1148" s="78">
        <f t="shared" si="559"/>
        <v>12</v>
      </c>
      <c r="N1148" s="72">
        <f t="shared" si="559"/>
        <v>0</v>
      </c>
      <c r="O1148" s="45"/>
      <c r="P1148" s="46">
        <f t="shared" si="534"/>
        <v>1</v>
      </c>
      <c r="Q1148" s="47" t="str">
        <f t="shared" si="535"/>
        <v>10:22:11</v>
      </c>
      <c r="R1148" s="48" t="str">
        <f t="shared" si="536"/>
        <v>22:11</v>
      </c>
      <c r="S1148" s="49">
        <f t="shared" si="529"/>
        <v>13</v>
      </c>
      <c r="T1148" s="48" t="str">
        <f t="shared" si="537"/>
        <v>10</v>
      </c>
      <c r="U1148" s="50">
        <v>22</v>
      </c>
      <c r="V1148" s="51">
        <v>24</v>
      </c>
      <c r="W1148" s="52" t="str">
        <f t="shared" si="538"/>
        <v>22:24</v>
      </c>
      <c r="X1148" s="53" t="s">
        <v>61</v>
      </c>
      <c r="Y1148" s="97" t="s">
        <v>96</v>
      </c>
      <c r="Z1148" s="97" t="s">
        <v>80</v>
      </c>
      <c r="AA1148" s="48" t="s">
        <v>60</v>
      </c>
      <c r="AB1148" s="48" t="str">
        <f t="shared" si="539"/>
        <v>NA</v>
      </c>
      <c r="AC1148" s="54">
        <f t="shared" si="540"/>
        <v>0</v>
      </c>
      <c r="AD1148" s="55">
        <f t="shared" si="541"/>
        <v>1</v>
      </c>
      <c r="AE1148" s="55"/>
      <c r="AF1148" s="55"/>
      <c r="AG1148" s="56">
        <v>1</v>
      </c>
      <c r="AH1148" s="57">
        <v>5</v>
      </c>
      <c r="AI1148" s="56"/>
      <c r="AJ1148" s="57" t="str">
        <f t="shared" si="544"/>
        <v/>
      </c>
      <c r="AK1148" s="56">
        <v>1</v>
      </c>
      <c r="AL1148" s="57">
        <v>8</v>
      </c>
      <c r="AM1148" s="56"/>
      <c r="AN1148" s="57" t="str">
        <f t="shared" si="546"/>
        <v/>
      </c>
      <c r="AO1148" s="56"/>
      <c r="AP1148" s="57" t="str">
        <f t="shared" si="547"/>
        <v/>
      </c>
      <c r="AQ1148" s="56"/>
      <c r="AR1148" s="57" t="str">
        <f t="shared" si="548"/>
        <v/>
      </c>
      <c r="AS1148" s="56"/>
      <c r="AT1148" s="57" t="str">
        <f t="shared" si="549"/>
        <v/>
      </c>
      <c r="AU1148" s="58"/>
      <c r="AV1148" s="59"/>
      <c r="AW1148" s="59"/>
      <c r="AX1148" s="60"/>
      <c r="AY1148" s="61">
        <v>1</v>
      </c>
      <c r="AZ1148" s="62">
        <f t="shared" si="551"/>
        <v>1</v>
      </c>
      <c r="BA1148" s="61">
        <f t="shared" si="552"/>
        <v>0</v>
      </c>
      <c r="BB1148" s="62" t="str">
        <f t="shared" si="553"/>
        <v/>
      </c>
    </row>
    <row r="1149" spans="1:54" s="3" customFormat="1" hidden="1" x14ac:dyDescent="0.35">
      <c r="A1149" s="73">
        <f t="shared" si="530"/>
        <v>2019</v>
      </c>
      <c r="B1149" s="73" t="str">
        <f t="shared" si="531"/>
        <v>Nov</v>
      </c>
      <c r="C1149" s="74">
        <f t="shared" si="554"/>
        <v>17</v>
      </c>
      <c r="D1149" s="75">
        <f t="shared" si="532"/>
        <v>10</v>
      </c>
      <c r="E1149" s="76">
        <v>22</v>
      </c>
      <c r="F1149" s="80">
        <v>21</v>
      </c>
      <c r="G1149" s="83"/>
      <c r="H1149" s="69" t="str">
        <f t="shared" si="555"/>
        <v>Senbur6_20191117_10_00</v>
      </c>
      <c r="I1149" s="70">
        <f t="shared" si="559"/>
        <v>1</v>
      </c>
      <c r="J1149" s="77" t="str">
        <f t="shared" si="559"/>
        <v>Senecio</v>
      </c>
      <c r="K1149" s="77" t="str">
        <f t="shared" si="559"/>
        <v>burtoni</v>
      </c>
      <c r="L1149" s="78">
        <f t="shared" si="559"/>
        <v>6</v>
      </c>
      <c r="M1149" s="78">
        <f t="shared" si="559"/>
        <v>12</v>
      </c>
      <c r="N1149" s="72">
        <f t="shared" si="559"/>
        <v>0</v>
      </c>
      <c r="O1149" s="45"/>
      <c r="P1149" s="46">
        <f t="shared" si="534"/>
        <v>1</v>
      </c>
      <c r="Q1149" s="47" t="str">
        <f t="shared" si="535"/>
        <v>10:22:21</v>
      </c>
      <c r="R1149" s="48" t="str">
        <f t="shared" si="536"/>
        <v>22:21</v>
      </c>
      <c r="S1149" s="49">
        <f t="shared" si="529"/>
        <v>76</v>
      </c>
      <c r="T1149" s="48" t="str">
        <f t="shared" si="537"/>
        <v>10</v>
      </c>
      <c r="U1149" s="50">
        <v>23</v>
      </c>
      <c r="V1149" s="51">
        <v>37</v>
      </c>
      <c r="W1149" s="52" t="str">
        <f t="shared" si="538"/>
        <v>23:37</v>
      </c>
      <c r="X1149" s="53" t="s">
        <v>59</v>
      </c>
      <c r="Y1149" s="97" t="s">
        <v>78</v>
      </c>
      <c r="Z1149" s="97"/>
      <c r="AA1149" s="48" t="s">
        <v>60</v>
      </c>
      <c r="AB1149" s="48" t="str">
        <f t="shared" si="539"/>
        <v>NA</v>
      </c>
      <c r="AC1149" s="54">
        <f t="shared" si="540"/>
        <v>0</v>
      </c>
      <c r="AD1149" s="55">
        <v>2</v>
      </c>
      <c r="AE1149" s="55"/>
      <c r="AF1149" s="55"/>
      <c r="AG1149" s="56">
        <v>1</v>
      </c>
      <c r="AH1149" s="57">
        <v>12</v>
      </c>
      <c r="AI1149" s="56"/>
      <c r="AJ1149" s="57" t="str">
        <f t="shared" si="544"/>
        <v/>
      </c>
      <c r="AK1149" s="56">
        <v>1</v>
      </c>
      <c r="AL1149" s="57">
        <v>64</v>
      </c>
      <c r="AM1149" s="56"/>
      <c r="AN1149" s="57" t="str">
        <f t="shared" si="546"/>
        <v/>
      </c>
      <c r="AO1149" s="56"/>
      <c r="AP1149" s="57" t="str">
        <f t="shared" si="547"/>
        <v/>
      </c>
      <c r="AQ1149" s="56"/>
      <c r="AR1149" s="57" t="str">
        <f t="shared" si="548"/>
        <v/>
      </c>
      <c r="AS1149" s="56"/>
      <c r="AT1149" s="57" t="str">
        <f t="shared" si="549"/>
        <v/>
      </c>
      <c r="AU1149" s="58"/>
      <c r="AV1149" s="59"/>
      <c r="AW1149" s="59"/>
      <c r="AX1149" s="60"/>
      <c r="AY1149" s="61">
        <v>1</v>
      </c>
      <c r="AZ1149" s="62">
        <v>1</v>
      </c>
      <c r="BA1149" s="61">
        <f t="shared" si="552"/>
        <v>0</v>
      </c>
      <c r="BB1149" s="62" t="str">
        <f t="shared" si="553"/>
        <v/>
      </c>
    </row>
    <row r="1150" spans="1:54" s="3" customFormat="1" hidden="1" x14ac:dyDescent="0.35">
      <c r="A1150" s="73">
        <f t="shared" si="530"/>
        <v>2019</v>
      </c>
      <c r="B1150" s="73" t="str">
        <f t="shared" si="531"/>
        <v>Nov</v>
      </c>
      <c r="C1150" s="74">
        <f t="shared" si="554"/>
        <v>17</v>
      </c>
      <c r="D1150" s="75">
        <f t="shared" si="532"/>
        <v>10</v>
      </c>
      <c r="E1150" s="76">
        <f t="shared" si="533"/>
        <v>23</v>
      </c>
      <c r="F1150" s="80"/>
      <c r="G1150" s="83"/>
      <c r="H1150" s="69" t="str">
        <f t="shared" si="555"/>
        <v>Senbur6_20191117_10_00</v>
      </c>
      <c r="I1150" s="70">
        <f t="shared" si="559"/>
        <v>1</v>
      </c>
      <c r="J1150" s="77" t="str">
        <f t="shared" si="559"/>
        <v>Senecio</v>
      </c>
      <c r="K1150" s="77" t="str">
        <f t="shared" si="559"/>
        <v>burtoni</v>
      </c>
      <c r="L1150" s="78">
        <f t="shared" si="559"/>
        <v>6</v>
      </c>
      <c r="M1150" s="78">
        <f t="shared" si="559"/>
        <v>12</v>
      </c>
      <c r="N1150" s="72">
        <f t="shared" si="559"/>
        <v>0</v>
      </c>
      <c r="O1150" s="45"/>
      <c r="P1150" s="46" t="str">
        <f t="shared" si="534"/>
        <v/>
      </c>
      <c r="Q1150" s="47" t="str">
        <f t="shared" si="535"/>
        <v/>
      </c>
      <c r="R1150" s="48" t="e">
        <f t="shared" si="536"/>
        <v>#VALUE!</v>
      </c>
      <c r="S1150" s="49" t="e">
        <f t="shared" si="529"/>
        <v>#VALUE!</v>
      </c>
      <c r="T1150" s="48" t="str">
        <f t="shared" si="537"/>
        <v/>
      </c>
      <c r="U1150" s="50"/>
      <c r="V1150" s="51"/>
      <c r="W1150" s="52" t="e">
        <f t="shared" si="538"/>
        <v>#VALUE!</v>
      </c>
      <c r="X1150" s="53"/>
      <c r="Y1150" s="53"/>
      <c r="Z1150" s="53"/>
      <c r="AA1150" s="48" t="e">
        <f>INDEX([1]!VISITORS[INSECT ORDER], MATCH(X1150,[1]!VISITORS[NAME USED],0))</f>
        <v>#REF!</v>
      </c>
      <c r="AB1150" s="48" t="e">
        <f t="shared" si="539"/>
        <v>#REF!</v>
      </c>
      <c r="AC1150" s="54" t="e">
        <f t="shared" si="540"/>
        <v>#VALUE!</v>
      </c>
      <c r="AD1150" s="55" t="str">
        <f t="shared" si="541"/>
        <v/>
      </c>
      <c r="AE1150" s="55"/>
      <c r="AF1150" s="55"/>
      <c r="AG1150" s="56" t="str">
        <f t="shared" si="542"/>
        <v/>
      </c>
      <c r="AH1150" s="57" t="str">
        <f t="shared" si="543"/>
        <v/>
      </c>
      <c r="AI1150" s="56"/>
      <c r="AJ1150" s="57" t="str">
        <f t="shared" si="544"/>
        <v/>
      </c>
      <c r="AK1150" s="56"/>
      <c r="AL1150" s="57" t="str">
        <f t="shared" si="545"/>
        <v/>
      </c>
      <c r="AM1150" s="56"/>
      <c r="AN1150" s="57" t="str">
        <f t="shared" si="546"/>
        <v/>
      </c>
      <c r="AO1150" s="56"/>
      <c r="AP1150" s="57" t="str">
        <f t="shared" si="547"/>
        <v/>
      </c>
      <c r="AQ1150" s="56"/>
      <c r="AR1150" s="57" t="str">
        <f t="shared" si="548"/>
        <v/>
      </c>
      <c r="AS1150" s="56"/>
      <c r="AT1150" s="57" t="str">
        <f t="shared" si="549"/>
        <v/>
      </c>
      <c r="AU1150" s="58"/>
      <c r="AV1150" s="59"/>
      <c r="AW1150" s="59"/>
      <c r="AX1150" s="60"/>
      <c r="AY1150" s="61" t="str">
        <f t="shared" si="550"/>
        <v/>
      </c>
      <c r="AZ1150" s="62" t="str">
        <f t="shared" si="551"/>
        <v/>
      </c>
      <c r="BA1150" s="61" t="str">
        <f t="shared" si="552"/>
        <v/>
      </c>
      <c r="BB1150" s="62" t="str">
        <f t="shared" si="553"/>
        <v/>
      </c>
    </row>
    <row r="1151" spans="1:54" s="3" customFormat="1" hidden="1" x14ac:dyDescent="0.35">
      <c r="A1151" s="73">
        <f t="shared" si="530"/>
        <v>2019</v>
      </c>
      <c r="B1151" s="73" t="str">
        <f t="shared" si="531"/>
        <v>Nov</v>
      </c>
      <c r="C1151" s="74">
        <f t="shared" si="554"/>
        <v>17</v>
      </c>
      <c r="D1151" s="75">
        <f t="shared" si="532"/>
        <v>10</v>
      </c>
      <c r="E1151" s="76">
        <f t="shared" si="533"/>
        <v>24</v>
      </c>
      <c r="F1151" s="80">
        <v>15</v>
      </c>
      <c r="G1151" s="83"/>
      <c r="H1151" s="69" t="str">
        <f t="shared" si="555"/>
        <v>Senbur6_20191117_10_00</v>
      </c>
      <c r="I1151" s="70">
        <f t="shared" si="559"/>
        <v>1</v>
      </c>
      <c r="J1151" s="77" t="str">
        <f t="shared" si="559"/>
        <v>Senecio</v>
      </c>
      <c r="K1151" s="77" t="str">
        <f t="shared" si="559"/>
        <v>burtoni</v>
      </c>
      <c r="L1151" s="78">
        <f t="shared" si="559"/>
        <v>6</v>
      </c>
      <c r="M1151" s="78">
        <f t="shared" si="559"/>
        <v>12</v>
      </c>
      <c r="N1151" s="72">
        <f t="shared" si="559"/>
        <v>0</v>
      </c>
      <c r="O1151" s="45"/>
      <c r="P1151" s="46">
        <f t="shared" si="534"/>
        <v>1</v>
      </c>
      <c r="Q1151" s="47" t="str">
        <f t="shared" si="535"/>
        <v>10:24:15</v>
      </c>
      <c r="R1151" s="48" t="str">
        <f t="shared" si="536"/>
        <v>24:15</v>
      </c>
      <c r="S1151" s="49">
        <f t="shared" si="529"/>
        <v>51</v>
      </c>
      <c r="T1151" s="48" t="str">
        <f t="shared" si="537"/>
        <v>10</v>
      </c>
      <c r="U1151" s="50">
        <v>25</v>
      </c>
      <c r="V1151" s="51">
        <v>6</v>
      </c>
      <c r="W1151" s="52" t="str">
        <f t="shared" si="538"/>
        <v>25:06</v>
      </c>
      <c r="X1151" s="53" t="s">
        <v>61</v>
      </c>
      <c r="Y1151" s="97" t="s">
        <v>96</v>
      </c>
      <c r="Z1151" s="97" t="s">
        <v>80</v>
      </c>
      <c r="AA1151" s="48" t="s">
        <v>60</v>
      </c>
      <c r="AB1151" s="48" t="str">
        <f t="shared" si="539"/>
        <v>NA</v>
      </c>
      <c r="AC1151" s="54">
        <f t="shared" si="540"/>
        <v>0</v>
      </c>
      <c r="AD1151" s="55">
        <v>2</v>
      </c>
      <c r="AE1151" s="55"/>
      <c r="AF1151" s="55"/>
      <c r="AG1151" s="56">
        <v>1</v>
      </c>
      <c r="AH1151" s="57">
        <v>7</v>
      </c>
      <c r="AI1151" s="56">
        <v>1</v>
      </c>
      <c r="AJ1151" s="57">
        <v>1</v>
      </c>
      <c r="AK1151" s="56">
        <v>1</v>
      </c>
      <c r="AL1151" s="57">
        <v>43</v>
      </c>
      <c r="AM1151" s="56"/>
      <c r="AN1151" s="57" t="str">
        <f t="shared" si="546"/>
        <v/>
      </c>
      <c r="AO1151" s="56"/>
      <c r="AP1151" s="57" t="str">
        <f t="shared" si="547"/>
        <v/>
      </c>
      <c r="AQ1151" s="56"/>
      <c r="AR1151" s="57" t="str">
        <f t="shared" si="548"/>
        <v/>
      </c>
      <c r="AS1151" s="56"/>
      <c r="AT1151" s="57" t="str">
        <f t="shared" si="549"/>
        <v/>
      </c>
      <c r="AU1151" s="58"/>
      <c r="AV1151" s="59"/>
      <c r="AW1151" s="59"/>
      <c r="AX1151" s="60"/>
      <c r="AY1151" s="61">
        <v>1</v>
      </c>
      <c r="AZ1151" s="62">
        <f t="shared" si="551"/>
        <v>2</v>
      </c>
      <c r="BA1151" s="61">
        <f t="shared" si="552"/>
        <v>0</v>
      </c>
      <c r="BB1151" s="62" t="str">
        <f t="shared" si="553"/>
        <v/>
      </c>
    </row>
    <row r="1152" spans="1:54" s="3" customFormat="1" hidden="1" x14ac:dyDescent="0.35">
      <c r="A1152" s="73">
        <f t="shared" si="530"/>
        <v>2019</v>
      </c>
      <c r="B1152" s="73" t="str">
        <f t="shared" si="531"/>
        <v>Nov</v>
      </c>
      <c r="C1152" s="74">
        <f t="shared" si="554"/>
        <v>17</v>
      </c>
      <c r="D1152" s="75">
        <f t="shared" si="532"/>
        <v>10</v>
      </c>
      <c r="E1152" s="76">
        <f t="shared" si="533"/>
        <v>25</v>
      </c>
      <c r="F1152" s="80"/>
      <c r="G1152" s="83"/>
      <c r="H1152" s="69" t="str">
        <f t="shared" si="555"/>
        <v>Senbur6_20191117_10_00</v>
      </c>
      <c r="I1152" s="70">
        <f t="shared" si="559"/>
        <v>1</v>
      </c>
      <c r="J1152" s="77" t="str">
        <f t="shared" si="559"/>
        <v>Senecio</v>
      </c>
      <c r="K1152" s="77" t="str">
        <f t="shared" si="559"/>
        <v>burtoni</v>
      </c>
      <c r="L1152" s="78">
        <f t="shared" si="559"/>
        <v>6</v>
      </c>
      <c r="M1152" s="78">
        <f t="shared" si="559"/>
        <v>12</v>
      </c>
      <c r="N1152" s="72">
        <f t="shared" si="559"/>
        <v>0</v>
      </c>
      <c r="O1152" s="45"/>
      <c r="P1152" s="46" t="str">
        <f t="shared" si="534"/>
        <v/>
      </c>
      <c r="Q1152" s="47" t="str">
        <f t="shared" si="535"/>
        <v/>
      </c>
      <c r="R1152" s="48" t="e">
        <f t="shared" si="536"/>
        <v>#VALUE!</v>
      </c>
      <c r="S1152" s="49" t="e">
        <f t="shared" si="529"/>
        <v>#VALUE!</v>
      </c>
      <c r="T1152" s="48" t="str">
        <f t="shared" si="537"/>
        <v/>
      </c>
      <c r="U1152" s="50"/>
      <c r="V1152" s="51"/>
      <c r="W1152" s="52" t="e">
        <f t="shared" si="538"/>
        <v>#VALUE!</v>
      </c>
      <c r="X1152" s="53"/>
      <c r="Y1152" s="53"/>
      <c r="Z1152" s="53"/>
      <c r="AA1152" s="48" t="e">
        <f>INDEX([1]!VISITORS[INSECT ORDER], MATCH(X1152,[1]!VISITORS[NAME USED],0))</f>
        <v>#REF!</v>
      </c>
      <c r="AB1152" s="48" t="e">
        <f t="shared" si="539"/>
        <v>#REF!</v>
      </c>
      <c r="AC1152" s="54" t="e">
        <f t="shared" si="540"/>
        <v>#VALUE!</v>
      </c>
      <c r="AD1152" s="55" t="str">
        <f t="shared" si="541"/>
        <v/>
      </c>
      <c r="AE1152" s="55"/>
      <c r="AF1152" s="55"/>
      <c r="AG1152" s="56" t="str">
        <f t="shared" si="542"/>
        <v/>
      </c>
      <c r="AH1152" s="57" t="str">
        <f t="shared" si="543"/>
        <v/>
      </c>
      <c r="AI1152" s="56"/>
      <c r="AJ1152" s="57" t="str">
        <f t="shared" si="544"/>
        <v/>
      </c>
      <c r="AK1152" s="56"/>
      <c r="AL1152" s="57" t="str">
        <f t="shared" si="545"/>
        <v/>
      </c>
      <c r="AM1152" s="56"/>
      <c r="AN1152" s="57" t="str">
        <f t="shared" si="546"/>
        <v/>
      </c>
      <c r="AO1152" s="56"/>
      <c r="AP1152" s="57" t="str">
        <f t="shared" si="547"/>
        <v/>
      </c>
      <c r="AQ1152" s="56"/>
      <c r="AR1152" s="57" t="str">
        <f t="shared" si="548"/>
        <v/>
      </c>
      <c r="AS1152" s="56"/>
      <c r="AT1152" s="57" t="str">
        <f t="shared" si="549"/>
        <v/>
      </c>
      <c r="AU1152" s="58"/>
      <c r="AV1152" s="59"/>
      <c r="AW1152" s="59"/>
      <c r="AX1152" s="60"/>
      <c r="AY1152" s="61" t="str">
        <f t="shared" si="550"/>
        <v/>
      </c>
      <c r="AZ1152" s="62" t="str">
        <f t="shared" si="551"/>
        <v/>
      </c>
      <c r="BA1152" s="61" t="str">
        <f t="shared" si="552"/>
        <v/>
      </c>
      <c r="BB1152" s="62" t="str">
        <f t="shared" si="553"/>
        <v/>
      </c>
    </row>
    <row r="1153" spans="1:54" s="3" customFormat="1" hidden="1" x14ac:dyDescent="0.35">
      <c r="A1153" s="73">
        <f t="shared" si="530"/>
        <v>2019</v>
      </c>
      <c r="B1153" s="73" t="str">
        <f t="shared" si="531"/>
        <v>Nov</v>
      </c>
      <c r="C1153" s="74">
        <f t="shared" si="554"/>
        <v>17</v>
      </c>
      <c r="D1153" s="75">
        <f t="shared" si="532"/>
        <v>10</v>
      </c>
      <c r="E1153" s="76">
        <f t="shared" si="533"/>
        <v>26</v>
      </c>
      <c r="F1153" s="80">
        <v>21</v>
      </c>
      <c r="G1153" s="83"/>
      <c r="H1153" s="69" t="str">
        <f t="shared" si="555"/>
        <v>Senbur6_20191117_10_00</v>
      </c>
      <c r="I1153" s="70">
        <f t="shared" si="559"/>
        <v>1</v>
      </c>
      <c r="J1153" s="77" t="str">
        <f t="shared" si="559"/>
        <v>Senecio</v>
      </c>
      <c r="K1153" s="77" t="str">
        <f t="shared" si="559"/>
        <v>burtoni</v>
      </c>
      <c r="L1153" s="78">
        <f t="shared" si="559"/>
        <v>6</v>
      </c>
      <c r="M1153" s="78">
        <f t="shared" si="559"/>
        <v>12</v>
      </c>
      <c r="N1153" s="72">
        <f t="shared" si="559"/>
        <v>0</v>
      </c>
      <c r="O1153" s="45"/>
      <c r="P1153" s="46">
        <f t="shared" si="534"/>
        <v>1</v>
      </c>
      <c r="Q1153" s="47" t="str">
        <f t="shared" si="535"/>
        <v>10:26:21</v>
      </c>
      <c r="R1153" s="48" t="str">
        <f t="shared" si="536"/>
        <v>26:21</v>
      </c>
      <c r="S1153" s="49">
        <f t="shared" si="529"/>
        <v>255</v>
      </c>
      <c r="T1153" s="48" t="str">
        <f t="shared" si="537"/>
        <v>10</v>
      </c>
      <c r="U1153" s="50">
        <v>30</v>
      </c>
      <c r="V1153" s="51">
        <v>36</v>
      </c>
      <c r="W1153" s="52" t="str">
        <f t="shared" si="538"/>
        <v>30:36</v>
      </c>
      <c r="X1153" s="53" t="s">
        <v>59</v>
      </c>
      <c r="Y1153" s="97" t="s">
        <v>84</v>
      </c>
      <c r="Z1153" s="97" t="s">
        <v>80</v>
      </c>
      <c r="AA1153" s="48" t="s">
        <v>60</v>
      </c>
      <c r="AB1153" s="48" t="str">
        <f t="shared" si="539"/>
        <v>NA</v>
      </c>
      <c r="AC1153" s="54">
        <f t="shared" si="540"/>
        <v>0</v>
      </c>
      <c r="AD1153" s="55">
        <v>7</v>
      </c>
      <c r="AE1153" s="55"/>
      <c r="AF1153" s="55"/>
      <c r="AG1153" s="56">
        <v>1</v>
      </c>
      <c r="AH1153" s="57">
        <v>16</v>
      </c>
      <c r="AI1153" s="56">
        <v>1</v>
      </c>
      <c r="AJ1153" s="57">
        <v>3</v>
      </c>
      <c r="AK1153" s="56">
        <v>1</v>
      </c>
      <c r="AL1153" s="57">
        <v>236</v>
      </c>
      <c r="AM1153" s="56"/>
      <c r="AN1153" s="57" t="str">
        <f t="shared" si="546"/>
        <v/>
      </c>
      <c r="AO1153" s="56"/>
      <c r="AP1153" s="57" t="str">
        <f t="shared" si="547"/>
        <v/>
      </c>
      <c r="AQ1153" s="56"/>
      <c r="AR1153" s="57" t="str">
        <f t="shared" si="548"/>
        <v/>
      </c>
      <c r="AS1153" s="56"/>
      <c r="AT1153" s="57" t="str">
        <f t="shared" si="549"/>
        <v/>
      </c>
      <c r="AU1153" s="58"/>
      <c r="AV1153" s="59"/>
      <c r="AW1153" s="59"/>
      <c r="AX1153" s="60"/>
      <c r="AY1153" s="61">
        <v>1</v>
      </c>
      <c r="AZ1153" s="62">
        <v>5</v>
      </c>
      <c r="BA1153" s="61">
        <f t="shared" si="552"/>
        <v>0</v>
      </c>
      <c r="BB1153" s="62" t="str">
        <f t="shared" si="553"/>
        <v/>
      </c>
    </row>
    <row r="1154" spans="1:54" s="3" customFormat="1" hidden="1" x14ac:dyDescent="0.35">
      <c r="A1154" s="73">
        <f t="shared" si="530"/>
        <v>2019</v>
      </c>
      <c r="B1154" s="73" t="str">
        <f t="shared" si="531"/>
        <v>Nov</v>
      </c>
      <c r="C1154" s="74">
        <f t="shared" si="554"/>
        <v>17</v>
      </c>
      <c r="D1154" s="75">
        <f t="shared" si="532"/>
        <v>10</v>
      </c>
      <c r="E1154" s="76">
        <f t="shared" si="533"/>
        <v>27</v>
      </c>
      <c r="F1154" s="80">
        <v>20</v>
      </c>
      <c r="G1154" s="83"/>
      <c r="H1154" s="69" t="str">
        <f t="shared" si="555"/>
        <v>Senbur6_20191117_10_00</v>
      </c>
      <c r="I1154" s="70">
        <f t="shared" si="559"/>
        <v>1</v>
      </c>
      <c r="J1154" s="77" t="str">
        <f t="shared" si="559"/>
        <v>Senecio</v>
      </c>
      <c r="K1154" s="77" t="str">
        <f t="shared" si="559"/>
        <v>burtoni</v>
      </c>
      <c r="L1154" s="78">
        <f t="shared" si="559"/>
        <v>6</v>
      </c>
      <c r="M1154" s="78">
        <f t="shared" si="559"/>
        <v>12</v>
      </c>
      <c r="N1154" s="72">
        <f t="shared" si="559"/>
        <v>0</v>
      </c>
      <c r="O1154" s="45"/>
      <c r="P1154" s="46">
        <f t="shared" si="534"/>
        <v>1</v>
      </c>
      <c r="Q1154" s="47" t="str">
        <f t="shared" si="535"/>
        <v>10:27:20</v>
      </c>
      <c r="R1154" s="48" t="str">
        <f t="shared" si="536"/>
        <v>27:20</v>
      </c>
      <c r="S1154" s="49">
        <f t="shared" si="529"/>
        <v>36</v>
      </c>
      <c r="T1154" s="48" t="str">
        <f t="shared" si="537"/>
        <v>10</v>
      </c>
      <c r="U1154" s="50">
        <v>27</v>
      </c>
      <c r="V1154" s="51">
        <v>56</v>
      </c>
      <c r="W1154" s="52" t="str">
        <f t="shared" si="538"/>
        <v>27:56</v>
      </c>
      <c r="X1154" s="53" t="s">
        <v>71</v>
      </c>
      <c r="Y1154" s="97" t="s">
        <v>89</v>
      </c>
      <c r="Z1154" s="97" t="s">
        <v>80</v>
      </c>
      <c r="AA1154" s="48" t="s">
        <v>63</v>
      </c>
      <c r="AB1154" s="48" t="str">
        <f t="shared" si="539"/>
        <v>NA</v>
      </c>
      <c r="AC1154" s="54">
        <f t="shared" si="540"/>
        <v>0</v>
      </c>
      <c r="AD1154" s="55">
        <v>3</v>
      </c>
      <c r="AE1154" s="55"/>
      <c r="AF1154" s="55"/>
      <c r="AG1154" s="56">
        <v>1</v>
      </c>
      <c r="AH1154" s="57">
        <v>3</v>
      </c>
      <c r="AI1154" s="56">
        <v>1</v>
      </c>
      <c r="AJ1154" s="57">
        <v>2</v>
      </c>
      <c r="AK1154" s="56">
        <v>1</v>
      </c>
      <c r="AL1154" s="57">
        <v>31</v>
      </c>
      <c r="AM1154" s="56"/>
      <c r="AN1154" s="57" t="str">
        <f t="shared" si="546"/>
        <v/>
      </c>
      <c r="AO1154" s="56"/>
      <c r="AP1154" s="57" t="str">
        <f t="shared" si="547"/>
        <v/>
      </c>
      <c r="AQ1154" s="56"/>
      <c r="AR1154" s="57" t="str">
        <f t="shared" si="548"/>
        <v/>
      </c>
      <c r="AS1154" s="56"/>
      <c r="AT1154" s="57" t="str">
        <f t="shared" si="549"/>
        <v/>
      </c>
      <c r="AU1154" s="58"/>
      <c r="AV1154" s="59"/>
      <c r="AW1154" s="59"/>
      <c r="AX1154" s="60"/>
      <c r="AY1154" s="61">
        <v>1</v>
      </c>
      <c r="AZ1154" s="62">
        <f t="shared" si="551"/>
        <v>3</v>
      </c>
      <c r="BA1154" s="61">
        <f t="shared" si="552"/>
        <v>0</v>
      </c>
      <c r="BB1154" s="62" t="str">
        <f t="shared" si="553"/>
        <v/>
      </c>
    </row>
    <row r="1155" spans="1:54" s="3" customFormat="1" hidden="1" x14ac:dyDescent="0.35">
      <c r="A1155" s="73">
        <f t="shared" si="530"/>
        <v>2019</v>
      </c>
      <c r="B1155" s="73" t="str">
        <f t="shared" si="531"/>
        <v>Nov</v>
      </c>
      <c r="C1155" s="74">
        <f t="shared" si="554"/>
        <v>17</v>
      </c>
      <c r="D1155" s="75">
        <f t="shared" si="532"/>
        <v>10</v>
      </c>
      <c r="E1155" s="76">
        <v>27</v>
      </c>
      <c r="F1155" s="80">
        <v>41</v>
      </c>
      <c r="G1155" s="83"/>
      <c r="H1155" s="69" t="str">
        <f t="shared" si="555"/>
        <v>Senbur6_20191117_10_00</v>
      </c>
      <c r="I1155" s="70">
        <f t="shared" si="559"/>
        <v>1</v>
      </c>
      <c r="J1155" s="77" t="str">
        <f t="shared" si="559"/>
        <v>Senecio</v>
      </c>
      <c r="K1155" s="77" t="str">
        <f t="shared" si="559"/>
        <v>burtoni</v>
      </c>
      <c r="L1155" s="78">
        <f t="shared" si="559"/>
        <v>6</v>
      </c>
      <c r="M1155" s="78">
        <f t="shared" si="559"/>
        <v>12</v>
      </c>
      <c r="N1155" s="72">
        <f t="shared" si="559"/>
        <v>0</v>
      </c>
      <c r="O1155" s="45"/>
      <c r="P1155" s="46">
        <f t="shared" si="534"/>
        <v>1</v>
      </c>
      <c r="Q1155" s="47" t="str">
        <f t="shared" si="535"/>
        <v>10:27:41</v>
      </c>
      <c r="R1155" s="48" t="str">
        <f t="shared" si="536"/>
        <v>27:41</v>
      </c>
      <c r="S1155" s="49">
        <f t="shared" ref="S1155:S1218" si="560">IF(T1155&lt;D1155, (T1155*3600+U1155*60+V1155)+((23*3600+59*60+60)-(D1155*3600+E1155*60+LEFT(F1155,2))), (T1155*3600+U1155*60+V1155)-(D1155*3600+E1155*60+LEFT(F1155,2)))</f>
        <v>7</v>
      </c>
      <c r="T1155" s="48" t="str">
        <f t="shared" si="537"/>
        <v>10</v>
      </c>
      <c r="U1155" s="50">
        <v>27</v>
      </c>
      <c r="V1155" s="51">
        <v>48</v>
      </c>
      <c r="W1155" s="52" t="str">
        <f t="shared" si="538"/>
        <v>27:48</v>
      </c>
      <c r="X1155" s="53" t="s">
        <v>71</v>
      </c>
      <c r="Y1155" s="97" t="s">
        <v>89</v>
      </c>
      <c r="Z1155" s="97" t="s">
        <v>80</v>
      </c>
      <c r="AA1155" s="48" t="s">
        <v>63</v>
      </c>
      <c r="AB1155" s="48" t="str">
        <f t="shared" si="539"/>
        <v>NA</v>
      </c>
      <c r="AC1155" s="54">
        <f t="shared" si="540"/>
        <v>0</v>
      </c>
      <c r="AD1155" s="55">
        <f t="shared" si="541"/>
        <v>1</v>
      </c>
      <c r="AE1155" s="55"/>
      <c r="AF1155" s="55"/>
      <c r="AG1155" s="56">
        <v>1</v>
      </c>
      <c r="AH1155" s="57">
        <v>7</v>
      </c>
      <c r="AI1155" s="56"/>
      <c r="AJ1155" s="57" t="str">
        <f t="shared" si="544"/>
        <v/>
      </c>
      <c r="AK1155" s="56"/>
      <c r="AL1155" s="57" t="str">
        <f t="shared" si="545"/>
        <v/>
      </c>
      <c r="AM1155" s="56"/>
      <c r="AN1155" s="57" t="str">
        <f t="shared" si="546"/>
        <v/>
      </c>
      <c r="AO1155" s="56"/>
      <c r="AP1155" s="57" t="str">
        <f t="shared" si="547"/>
        <v/>
      </c>
      <c r="AQ1155" s="56"/>
      <c r="AR1155" s="57" t="str">
        <f t="shared" si="548"/>
        <v/>
      </c>
      <c r="AS1155" s="56"/>
      <c r="AT1155" s="57" t="str">
        <f t="shared" si="549"/>
        <v/>
      </c>
      <c r="AU1155" s="58"/>
      <c r="AV1155" s="59"/>
      <c r="AW1155" s="59"/>
      <c r="AX1155" s="60"/>
      <c r="AY1155" s="61">
        <f t="shared" si="550"/>
        <v>0</v>
      </c>
      <c r="AZ1155" s="62" t="str">
        <f t="shared" si="551"/>
        <v/>
      </c>
      <c r="BA1155" s="61">
        <f t="shared" si="552"/>
        <v>0</v>
      </c>
      <c r="BB1155" s="62" t="str">
        <f t="shared" si="553"/>
        <v/>
      </c>
    </row>
    <row r="1156" spans="1:54" s="3" customFormat="1" hidden="1" x14ac:dyDescent="0.35">
      <c r="A1156" s="73">
        <f t="shared" ref="A1156:A1219" si="561">A1155</f>
        <v>2019</v>
      </c>
      <c r="B1156" s="73" t="str">
        <f t="shared" ref="B1156:B1219" si="562">IF(C1155-C1156&gt;0, TEXT(DATE(2016,(MONTH(DATEVALUE(B1155&amp;"1"))+1),1),"mmm"), B1155)</f>
        <v>Nov</v>
      </c>
      <c r="C1156" s="74">
        <f t="shared" si="554"/>
        <v>17</v>
      </c>
      <c r="D1156" s="75">
        <f t="shared" ref="D1156:D1219" si="563">IF(IF(E1155=59,D1155+1,D1155)=24,0,IF(E1155=59,D1155+1,D1155))</f>
        <v>10</v>
      </c>
      <c r="E1156" s="76">
        <f t="shared" ref="E1156:E1219" si="564">IF(E1155&lt;59,E1155+1,0)</f>
        <v>28</v>
      </c>
      <c r="F1156" s="80">
        <v>23</v>
      </c>
      <c r="G1156" s="83"/>
      <c r="H1156" s="69" t="str">
        <f t="shared" si="555"/>
        <v>Senbur6_20191117_10_00</v>
      </c>
      <c r="I1156" s="70">
        <f t="shared" si="559"/>
        <v>1</v>
      </c>
      <c r="J1156" s="77" t="str">
        <f t="shared" si="559"/>
        <v>Senecio</v>
      </c>
      <c r="K1156" s="77" t="str">
        <f t="shared" si="559"/>
        <v>burtoni</v>
      </c>
      <c r="L1156" s="78">
        <f t="shared" si="559"/>
        <v>6</v>
      </c>
      <c r="M1156" s="78">
        <f t="shared" si="559"/>
        <v>12</v>
      </c>
      <c r="N1156" s="72">
        <f t="shared" si="559"/>
        <v>0</v>
      </c>
      <c r="O1156" s="45"/>
      <c r="P1156" s="46">
        <f t="shared" ref="P1156:P1219" si="565">IF(F1156="","",1)</f>
        <v>1</v>
      </c>
      <c r="Q1156" s="47" t="str">
        <f t="shared" ref="Q1156:Q1219" si="566">TEXT(IF(P1156=1,CONCATENATE($D1156,":",$E1156,":",(LEFT($F1156,2))),""),"hh:mm:ss")</f>
        <v>10:28:23</v>
      </c>
      <c r="R1156" s="48" t="str">
        <f t="shared" ref="R1156:R1219" si="567">TEXT(Q1156-TIME(0,RIGHT($H1156,2),$G$9)+(Q1156&gt;TIME(0,RIGHT($H1156,2),$G$9)),"mm:ss")</f>
        <v>28:23</v>
      </c>
      <c r="S1156" s="49">
        <f t="shared" si="560"/>
        <v>174</v>
      </c>
      <c r="T1156" s="48" t="str">
        <f t="shared" ref="T1156:T1219" si="568">TEXT(IF(P1156=1,D1156,""),"00")</f>
        <v>10</v>
      </c>
      <c r="U1156" s="50">
        <v>31</v>
      </c>
      <c r="V1156" s="51">
        <v>17</v>
      </c>
      <c r="W1156" s="52" t="str">
        <f t="shared" ref="W1156:W1219" si="569">IF(O1156=0,TEXT(TIME(T1156,U1156,V1156)-TIME(D1156,E1156,RIGHT(F1156,2))+TIME(0,LEFT(R1156,2),RIGHT(R1156,2)),"mm:ss"),TEXT(TIME(T1156,U1156,V1156)-TIME(D1156,E1156,RIGHT(F1156,2))+TIME(0,LEFT(R1156,2),RIGHT(R1156,2))-TIME(0,($G$10*O1156),0),"mm:ss"))</f>
        <v>31:17</v>
      </c>
      <c r="X1156" s="53" t="s">
        <v>59</v>
      </c>
      <c r="Y1156" s="97" t="s">
        <v>84</v>
      </c>
      <c r="Z1156" s="97" t="s">
        <v>80</v>
      </c>
      <c r="AA1156" s="48" t="s">
        <v>72</v>
      </c>
      <c r="AB1156" s="48" t="str">
        <f t="shared" ref="AB1156:AB1219" si="570">IF(AA1156&lt;&gt;0,"NA","")</f>
        <v>NA</v>
      </c>
      <c r="AC1156" s="54">
        <f t="shared" ref="AC1156:AC1219" si="571">IF(SUM(AH1156,AJ1156,AL1156,AN1156,AP1156,AR1156,AT1156)=S1156,,"")</f>
        <v>0</v>
      </c>
      <c r="AD1156" s="55">
        <v>3</v>
      </c>
      <c r="AE1156" s="55"/>
      <c r="AF1156" s="55"/>
      <c r="AG1156" s="56">
        <v>1</v>
      </c>
      <c r="AH1156" s="57">
        <v>7</v>
      </c>
      <c r="AI1156" s="56">
        <v>1</v>
      </c>
      <c r="AJ1156" s="57">
        <v>2</v>
      </c>
      <c r="AK1156" s="56">
        <v>1</v>
      </c>
      <c r="AL1156" s="57">
        <v>165</v>
      </c>
      <c r="AM1156" s="56"/>
      <c r="AN1156" s="57" t="str">
        <f t="shared" ref="AN1156:AN1219" si="572">IF(AM1156=1,$S1156,"")</f>
        <v/>
      </c>
      <c r="AO1156" s="56"/>
      <c r="AP1156" s="57" t="str">
        <f t="shared" ref="AP1156:AP1219" si="573">IF(AO1156=1,$S1156,"")</f>
        <v/>
      </c>
      <c r="AQ1156" s="56"/>
      <c r="AR1156" s="57" t="str">
        <f t="shared" ref="AR1156:AR1219" si="574">IF(AQ1156=1,$S1156,"")</f>
        <v/>
      </c>
      <c r="AS1156" s="56"/>
      <c r="AT1156" s="57" t="str">
        <f t="shared" ref="AT1156:AT1219" si="575">IF(AS1156=1,$S1156,"")</f>
        <v/>
      </c>
      <c r="AU1156" s="58"/>
      <c r="AV1156" s="59"/>
      <c r="AW1156" s="59"/>
      <c r="AX1156" s="60"/>
      <c r="AY1156" s="61">
        <v>1</v>
      </c>
      <c r="AZ1156" s="62">
        <f t="shared" ref="AZ1156:AZ1219" si="576">IF(AY1156=1,AD1156,"")</f>
        <v>3</v>
      </c>
      <c r="BA1156" s="61">
        <f t="shared" ref="BA1156:BA1219" si="577">IF(P1156=1,0,"")</f>
        <v>0</v>
      </c>
      <c r="BB1156" s="62" t="str">
        <f t="shared" ref="BB1156:BB1219" si="578">IF(BA1156=1,AD1156,"")</f>
        <v/>
      </c>
    </row>
    <row r="1157" spans="1:54" s="3" customFormat="1" hidden="1" x14ac:dyDescent="0.35">
      <c r="A1157" s="73">
        <f t="shared" si="561"/>
        <v>2019</v>
      </c>
      <c r="B1157" s="73" t="str">
        <f t="shared" si="562"/>
        <v>Nov</v>
      </c>
      <c r="C1157" s="74">
        <f t="shared" ref="C1157:C1220" si="579">IF(AND(D1157=0, E1157=0), IF(TEXT(C1156,"dd")=TEXT(EOMONTH(DATE(A1156,MONTH(DATEVALUE(B1156&amp;"1")),C1156),0), "dd"), 1, C1156+1), C1156)</f>
        <v>17</v>
      </c>
      <c r="D1157" s="75">
        <f t="shared" si="563"/>
        <v>10</v>
      </c>
      <c r="E1157" s="76">
        <f t="shared" si="564"/>
        <v>29</v>
      </c>
      <c r="F1157" s="80">
        <v>30</v>
      </c>
      <c r="G1157" s="83"/>
      <c r="H1157" s="69" t="str">
        <f t="shared" ref="H1157:H1220" si="580">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Senbur6_20191117_10_00</v>
      </c>
      <c r="I1157" s="70">
        <f t="shared" ref="I1157:N1172" si="581">I1156</f>
        <v>1</v>
      </c>
      <c r="J1157" s="77" t="str">
        <f t="shared" si="581"/>
        <v>Senecio</v>
      </c>
      <c r="K1157" s="77" t="str">
        <f t="shared" si="581"/>
        <v>burtoni</v>
      </c>
      <c r="L1157" s="78">
        <f t="shared" si="581"/>
        <v>6</v>
      </c>
      <c r="M1157" s="78">
        <f t="shared" si="581"/>
        <v>12</v>
      </c>
      <c r="N1157" s="72">
        <f t="shared" si="581"/>
        <v>0</v>
      </c>
      <c r="O1157" s="45"/>
      <c r="P1157" s="46">
        <f t="shared" si="565"/>
        <v>1</v>
      </c>
      <c r="Q1157" s="47" t="str">
        <f t="shared" si="566"/>
        <v>10:29:30</v>
      </c>
      <c r="R1157" s="48" t="str">
        <f t="shared" si="567"/>
        <v>29:30</v>
      </c>
      <c r="S1157" s="49">
        <f t="shared" si="560"/>
        <v>6</v>
      </c>
      <c r="T1157" s="48" t="str">
        <f t="shared" si="568"/>
        <v>10</v>
      </c>
      <c r="U1157" s="50">
        <v>29</v>
      </c>
      <c r="V1157" s="51">
        <v>36</v>
      </c>
      <c r="W1157" s="52" t="str">
        <f t="shared" si="569"/>
        <v>29:36</v>
      </c>
      <c r="X1157" s="53" t="s">
        <v>61</v>
      </c>
      <c r="Y1157" s="97" t="s">
        <v>79</v>
      </c>
      <c r="Z1157" s="97" t="s">
        <v>80</v>
      </c>
      <c r="AA1157" s="48" t="s">
        <v>60</v>
      </c>
      <c r="AB1157" s="48" t="str">
        <f t="shared" si="570"/>
        <v>NA</v>
      </c>
      <c r="AC1157" s="54">
        <f t="shared" si="571"/>
        <v>0</v>
      </c>
      <c r="AD1157" s="55">
        <v>3</v>
      </c>
      <c r="AE1157" s="55"/>
      <c r="AF1157" s="55"/>
      <c r="AG1157" s="56">
        <v>1</v>
      </c>
      <c r="AH1157" s="57">
        <f t="shared" ref="AH1157:AH1219" si="582">IF(AG1157=1,$S1157,"")</f>
        <v>6</v>
      </c>
      <c r="AI1157" s="56"/>
      <c r="AJ1157" s="57" t="str">
        <f t="shared" ref="AJ1157:AJ1219" si="583">IF(AI1157=1,$S1157,"")</f>
        <v/>
      </c>
      <c r="AK1157" s="56"/>
      <c r="AL1157" s="57" t="str">
        <f t="shared" ref="AL1157:AL1219" si="584">IF(AK1157=1,$S1157,"")</f>
        <v/>
      </c>
      <c r="AM1157" s="56"/>
      <c r="AN1157" s="57" t="str">
        <f t="shared" si="572"/>
        <v/>
      </c>
      <c r="AO1157" s="56"/>
      <c r="AP1157" s="57" t="str">
        <f t="shared" si="573"/>
        <v/>
      </c>
      <c r="AQ1157" s="56"/>
      <c r="AR1157" s="57" t="str">
        <f t="shared" si="574"/>
        <v/>
      </c>
      <c r="AS1157" s="56"/>
      <c r="AT1157" s="57" t="str">
        <f t="shared" si="575"/>
        <v/>
      </c>
      <c r="AU1157" s="58"/>
      <c r="AV1157" s="59"/>
      <c r="AW1157" s="59"/>
      <c r="AX1157" s="60"/>
      <c r="AY1157" s="61">
        <f t="shared" ref="AY1157:AY1219" si="585">IF(P1157=1,0,"")</f>
        <v>0</v>
      </c>
      <c r="AZ1157" s="62" t="str">
        <f t="shared" si="576"/>
        <v/>
      </c>
      <c r="BA1157" s="61">
        <f t="shared" si="577"/>
        <v>0</v>
      </c>
      <c r="BB1157" s="62" t="str">
        <f t="shared" si="578"/>
        <v/>
      </c>
    </row>
    <row r="1158" spans="1:54" s="3" customFormat="1" hidden="1" x14ac:dyDescent="0.35">
      <c r="A1158" s="73">
        <f t="shared" si="561"/>
        <v>2019</v>
      </c>
      <c r="B1158" s="73" t="str">
        <f t="shared" si="562"/>
        <v>Nov</v>
      </c>
      <c r="C1158" s="74">
        <f t="shared" si="579"/>
        <v>17</v>
      </c>
      <c r="D1158" s="75">
        <f t="shared" si="563"/>
        <v>10</v>
      </c>
      <c r="E1158" s="76">
        <f t="shared" si="564"/>
        <v>30</v>
      </c>
      <c r="F1158" s="80">
        <v>9</v>
      </c>
      <c r="G1158" s="83"/>
      <c r="H1158" s="69" t="str">
        <f t="shared" si="580"/>
        <v>Senbur6_20191117_10_00</v>
      </c>
      <c r="I1158" s="70">
        <f t="shared" si="581"/>
        <v>1</v>
      </c>
      <c r="J1158" s="77" t="str">
        <f t="shared" si="581"/>
        <v>Senecio</v>
      </c>
      <c r="K1158" s="77" t="str">
        <f t="shared" si="581"/>
        <v>burtoni</v>
      </c>
      <c r="L1158" s="78">
        <f t="shared" si="581"/>
        <v>6</v>
      </c>
      <c r="M1158" s="78">
        <f t="shared" si="581"/>
        <v>12</v>
      </c>
      <c r="N1158" s="72">
        <f t="shared" si="581"/>
        <v>0</v>
      </c>
      <c r="O1158" s="45"/>
      <c r="P1158" s="46">
        <f t="shared" si="565"/>
        <v>1</v>
      </c>
      <c r="Q1158" s="47" t="str">
        <f t="shared" si="566"/>
        <v>10:30:09</v>
      </c>
      <c r="R1158" s="48" t="str">
        <f t="shared" si="567"/>
        <v>30:09</v>
      </c>
      <c r="S1158" s="49">
        <f t="shared" si="560"/>
        <v>9</v>
      </c>
      <c r="T1158" s="48" t="str">
        <f t="shared" si="568"/>
        <v>10</v>
      </c>
      <c r="U1158" s="50">
        <v>30</v>
      </c>
      <c r="V1158" s="51">
        <v>18</v>
      </c>
      <c r="W1158" s="52" t="str">
        <f t="shared" si="569"/>
        <v>30:18</v>
      </c>
      <c r="X1158" s="53" t="s">
        <v>61</v>
      </c>
      <c r="Y1158" s="97" t="s">
        <v>96</v>
      </c>
      <c r="Z1158" s="97" t="s">
        <v>80</v>
      </c>
      <c r="AA1158" s="48" t="s">
        <v>60</v>
      </c>
      <c r="AB1158" s="48" t="str">
        <f t="shared" si="570"/>
        <v>NA</v>
      </c>
      <c r="AC1158" s="54">
        <f t="shared" si="571"/>
        <v>0</v>
      </c>
      <c r="AD1158" s="55">
        <f t="shared" ref="AD1158:AD1219" si="586">IF(P1158=1,1,"")</f>
        <v>1</v>
      </c>
      <c r="AE1158" s="55"/>
      <c r="AF1158" s="55"/>
      <c r="AG1158" s="56">
        <v>1</v>
      </c>
      <c r="AH1158" s="57">
        <v>3</v>
      </c>
      <c r="AI1158" s="56"/>
      <c r="AJ1158" s="57" t="str">
        <f t="shared" si="583"/>
        <v/>
      </c>
      <c r="AK1158" s="56">
        <v>1</v>
      </c>
      <c r="AL1158" s="57">
        <v>6</v>
      </c>
      <c r="AM1158" s="56"/>
      <c r="AN1158" s="57" t="str">
        <f t="shared" si="572"/>
        <v/>
      </c>
      <c r="AO1158" s="56"/>
      <c r="AP1158" s="57" t="str">
        <f t="shared" si="573"/>
        <v/>
      </c>
      <c r="AQ1158" s="56"/>
      <c r="AR1158" s="57" t="str">
        <f t="shared" si="574"/>
        <v/>
      </c>
      <c r="AS1158" s="56"/>
      <c r="AT1158" s="57" t="str">
        <f t="shared" si="575"/>
        <v/>
      </c>
      <c r="AU1158" s="58"/>
      <c r="AV1158" s="59"/>
      <c r="AW1158" s="59"/>
      <c r="AX1158" s="60"/>
      <c r="AY1158" s="61">
        <v>1</v>
      </c>
      <c r="AZ1158" s="62">
        <f t="shared" si="576"/>
        <v>1</v>
      </c>
      <c r="BA1158" s="61">
        <f t="shared" si="577"/>
        <v>0</v>
      </c>
      <c r="BB1158" s="62" t="str">
        <f t="shared" si="578"/>
        <v/>
      </c>
    </row>
    <row r="1159" spans="1:54" s="3" customFormat="1" hidden="1" x14ac:dyDescent="0.35">
      <c r="A1159" s="73">
        <f t="shared" si="561"/>
        <v>2019</v>
      </c>
      <c r="B1159" s="73" t="str">
        <f t="shared" si="562"/>
        <v>Nov</v>
      </c>
      <c r="C1159" s="74">
        <f t="shared" si="579"/>
        <v>17</v>
      </c>
      <c r="D1159" s="75">
        <f t="shared" si="563"/>
        <v>10</v>
      </c>
      <c r="E1159" s="76">
        <f t="shared" si="564"/>
        <v>31</v>
      </c>
      <c r="F1159" s="80"/>
      <c r="G1159" s="83"/>
      <c r="H1159" s="69" t="str">
        <f t="shared" si="580"/>
        <v>Senbur6_20191117_10_00</v>
      </c>
      <c r="I1159" s="70">
        <f t="shared" si="581"/>
        <v>1</v>
      </c>
      <c r="J1159" s="77" t="str">
        <f t="shared" si="581"/>
        <v>Senecio</v>
      </c>
      <c r="K1159" s="77" t="str">
        <f t="shared" si="581"/>
        <v>burtoni</v>
      </c>
      <c r="L1159" s="78">
        <f t="shared" si="581"/>
        <v>6</v>
      </c>
      <c r="M1159" s="78">
        <f t="shared" si="581"/>
        <v>12</v>
      </c>
      <c r="N1159" s="72">
        <f t="shared" si="581"/>
        <v>0</v>
      </c>
      <c r="O1159" s="45"/>
      <c r="P1159" s="46" t="str">
        <f t="shared" si="565"/>
        <v/>
      </c>
      <c r="Q1159" s="47" t="str">
        <f t="shared" si="566"/>
        <v/>
      </c>
      <c r="R1159" s="48" t="e">
        <f t="shared" si="567"/>
        <v>#VALUE!</v>
      </c>
      <c r="S1159" s="49" t="e">
        <f t="shared" si="560"/>
        <v>#VALUE!</v>
      </c>
      <c r="T1159" s="48" t="str">
        <f t="shared" si="568"/>
        <v/>
      </c>
      <c r="U1159" s="50"/>
      <c r="V1159" s="51"/>
      <c r="W1159" s="52" t="e">
        <f t="shared" si="569"/>
        <v>#VALUE!</v>
      </c>
      <c r="X1159" s="53"/>
      <c r="Y1159" s="53"/>
      <c r="Z1159" s="53"/>
      <c r="AA1159" s="48" t="e">
        <f>INDEX([1]!VISITORS[INSECT ORDER], MATCH(X1159,[1]!VISITORS[NAME USED],0))</f>
        <v>#REF!</v>
      </c>
      <c r="AB1159" s="48" t="e">
        <f t="shared" si="570"/>
        <v>#REF!</v>
      </c>
      <c r="AC1159" s="54" t="e">
        <f t="shared" si="571"/>
        <v>#VALUE!</v>
      </c>
      <c r="AD1159" s="55" t="str">
        <f t="shared" si="586"/>
        <v/>
      </c>
      <c r="AE1159" s="55"/>
      <c r="AF1159" s="55"/>
      <c r="AG1159" s="56" t="str">
        <f t="shared" ref="AG1159:AG1219" si="587">IF(OR(X1159="Something small"),1,"")</f>
        <v/>
      </c>
      <c r="AH1159" s="57" t="str">
        <f t="shared" si="582"/>
        <v/>
      </c>
      <c r="AI1159" s="56"/>
      <c r="AJ1159" s="57" t="str">
        <f t="shared" si="583"/>
        <v/>
      </c>
      <c r="AK1159" s="56"/>
      <c r="AL1159" s="57" t="str">
        <f t="shared" si="584"/>
        <v/>
      </c>
      <c r="AM1159" s="56"/>
      <c r="AN1159" s="57" t="str">
        <f t="shared" si="572"/>
        <v/>
      </c>
      <c r="AO1159" s="56"/>
      <c r="AP1159" s="57" t="str">
        <f t="shared" si="573"/>
        <v/>
      </c>
      <c r="AQ1159" s="56"/>
      <c r="AR1159" s="57" t="str">
        <f t="shared" si="574"/>
        <v/>
      </c>
      <c r="AS1159" s="56"/>
      <c r="AT1159" s="57" t="str">
        <f t="shared" si="575"/>
        <v/>
      </c>
      <c r="AU1159" s="58"/>
      <c r="AV1159" s="59"/>
      <c r="AW1159" s="59"/>
      <c r="AX1159" s="60"/>
      <c r="AY1159" s="61" t="str">
        <f t="shared" si="585"/>
        <v/>
      </c>
      <c r="AZ1159" s="62" t="str">
        <f t="shared" si="576"/>
        <v/>
      </c>
      <c r="BA1159" s="61" t="str">
        <f t="shared" si="577"/>
        <v/>
      </c>
      <c r="BB1159" s="62" t="str">
        <f t="shared" si="578"/>
        <v/>
      </c>
    </row>
    <row r="1160" spans="1:54" s="3" customFormat="1" hidden="1" x14ac:dyDescent="0.35">
      <c r="A1160" s="73">
        <f t="shared" si="561"/>
        <v>2019</v>
      </c>
      <c r="B1160" s="73" t="str">
        <f t="shared" si="562"/>
        <v>Nov</v>
      </c>
      <c r="C1160" s="74">
        <f t="shared" si="579"/>
        <v>17</v>
      </c>
      <c r="D1160" s="75">
        <f t="shared" si="563"/>
        <v>10</v>
      </c>
      <c r="E1160" s="76">
        <f t="shared" si="564"/>
        <v>32</v>
      </c>
      <c r="F1160" s="80">
        <v>57</v>
      </c>
      <c r="G1160" s="83"/>
      <c r="H1160" s="69" t="str">
        <f t="shared" si="580"/>
        <v>Senbur6_20191117_10_00</v>
      </c>
      <c r="I1160" s="70">
        <f t="shared" si="581"/>
        <v>1</v>
      </c>
      <c r="J1160" s="77" t="str">
        <f t="shared" si="581"/>
        <v>Senecio</v>
      </c>
      <c r="K1160" s="77" t="str">
        <f t="shared" si="581"/>
        <v>burtoni</v>
      </c>
      <c r="L1160" s="78">
        <f t="shared" si="581"/>
        <v>6</v>
      </c>
      <c r="M1160" s="78">
        <f t="shared" si="581"/>
        <v>12</v>
      </c>
      <c r="N1160" s="72">
        <f t="shared" si="581"/>
        <v>0</v>
      </c>
      <c r="O1160" s="45"/>
      <c r="P1160" s="46">
        <f t="shared" si="565"/>
        <v>1</v>
      </c>
      <c r="Q1160" s="47" t="str">
        <f t="shared" si="566"/>
        <v>10:32:57</v>
      </c>
      <c r="R1160" s="48" t="str">
        <f t="shared" si="567"/>
        <v>32:57</v>
      </c>
      <c r="S1160" s="49">
        <f t="shared" si="560"/>
        <v>46</v>
      </c>
      <c r="T1160" s="48" t="str">
        <f t="shared" si="568"/>
        <v>10</v>
      </c>
      <c r="U1160" s="50">
        <v>33</v>
      </c>
      <c r="V1160" s="51">
        <v>43</v>
      </c>
      <c r="W1160" s="52" t="str">
        <f t="shared" si="569"/>
        <v>33:43</v>
      </c>
      <c r="X1160" s="53" t="s">
        <v>59</v>
      </c>
      <c r="Y1160" s="97" t="s">
        <v>88</v>
      </c>
      <c r="Z1160" s="97" t="s">
        <v>80</v>
      </c>
      <c r="AA1160" s="48" t="s">
        <v>60</v>
      </c>
      <c r="AB1160" s="48" t="str">
        <f t="shared" si="570"/>
        <v>NA</v>
      </c>
      <c r="AC1160" s="54">
        <f t="shared" si="571"/>
        <v>0</v>
      </c>
      <c r="AD1160" s="55">
        <v>2</v>
      </c>
      <c r="AE1160" s="55"/>
      <c r="AF1160" s="55"/>
      <c r="AG1160" s="56">
        <v>1</v>
      </c>
      <c r="AH1160" s="57">
        <v>31</v>
      </c>
      <c r="AI1160" s="56">
        <v>1</v>
      </c>
      <c r="AJ1160" s="57">
        <v>1</v>
      </c>
      <c r="AK1160" s="56">
        <v>1</v>
      </c>
      <c r="AL1160" s="57">
        <v>14</v>
      </c>
      <c r="AM1160" s="56"/>
      <c r="AN1160" s="57" t="str">
        <f t="shared" si="572"/>
        <v/>
      </c>
      <c r="AO1160" s="56"/>
      <c r="AP1160" s="57" t="str">
        <f t="shared" si="573"/>
        <v/>
      </c>
      <c r="AQ1160" s="56"/>
      <c r="AR1160" s="57" t="str">
        <f t="shared" si="574"/>
        <v/>
      </c>
      <c r="AS1160" s="56"/>
      <c r="AT1160" s="57" t="str">
        <f t="shared" si="575"/>
        <v/>
      </c>
      <c r="AU1160" s="58"/>
      <c r="AV1160" s="59"/>
      <c r="AW1160" s="59"/>
      <c r="AX1160" s="60"/>
      <c r="AY1160" s="61">
        <v>1</v>
      </c>
      <c r="AZ1160" s="62">
        <f t="shared" si="576"/>
        <v>2</v>
      </c>
      <c r="BA1160" s="61">
        <f t="shared" si="577"/>
        <v>0</v>
      </c>
      <c r="BB1160" s="62" t="str">
        <f t="shared" si="578"/>
        <v/>
      </c>
    </row>
    <row r="1161" spans="1:54" s="3" customFormat="1" hidden="1" x14ac:dyDescent="0.35">
      <c r="A1161" s="73">
        <f t="shared" si="561"/>
        <v>2019</v>
      </c>
      <c r="B1161" s="73" t="str">
        <f t="shared" si="562"/>
        <v>Nov</v>
      </c>
      <c r="C1161" s="74">
        <f t="shared" si="579"/>
        <v>17</v>
      </c>
      <c r="D1161" s="75">
        <f t="shared" si="563"/>
        <v>10</v>
      </c>
      <c r="E1161" s="76">
        <f t="shared" si="564"/>
        <v>33</v>
      </c>
      <c r="F1161" s="80"/>
      <c r="G1161" s="83"/>
      <c r="H1161" s="69" t="str">
        <f t="shared" si="580"/>
        <v>Senbur6_20191117_10_00</v>
      </c>
      <c r="I1161" s="70">
        <f t="shared" si="581"/>
        <v>1</v>
      </c>
      <c r="J1161" s="77" t="str">
        <f t="shared" si="581"/>
        <v>Senecio</v>
      </c>
      <c r="K1161" s="77" t="str">
        <f t="shared" si="581"/>
        <v>burtoni</v>
      </c>
      <c r="L1161" s="78">
        <f t="shared" si="581"/>
        <v>6</v>
      </c>
      <c r="M1161" s="78">
        <f t="shared" si="581"/>
        <v>12</v>
      </c>
      <c r="N1161" s="72">
        <f t="shared" si="581"/>
        <v>0</v>
      </c>
      <c r="O1161" s="45"/>
      <c r="P1161" s="46" t="str">
        <f t="shared" si="565"/>
        <v/>
      </c>
      <c r="Q1161" s="47" t="str">
        <f t="shared" si="566"/>
        <v/>
      </c>
      <c r="R1161" s="48" t="e">
        <f t="shared" si="567"/>
        <v>#VALUE!</v>
      </c>
      <c r="S1161" s="49" t="e">
        <f t="shared" si="560"/>
        <v>#VALUE!</v>
      </c>
      <c r="T1161" s="48" t="str">
        <f t="shared" si="568"/>
        <v/>
      </c>
      <c r="U1161" s="50"/>
      <c r="V1161" s="51"/>
      <c r="W1161" s="52" t="e">
        <f t="shared" si="569"/>
        <v>#VALUE!</v>
      </c>
      <c r="X1161" s="53"/>
      <c r="Y1161" s="53"/>
      <c r="Z1161" s="53"/>
      <c r="AA1161" s="48" t="e">
        <f>INDEX([1]!VISITORS[INSECT ORDER], MATCH(X1161,[1]!VISITORS[NAME USED],0))</f>
        <v>#REF!</v>
      </c>
      <c r="AB1161" s="48" t="e">
        <f t="shared" si="570"/>
        <v>#REF!</v>
      </c>
      <c r="AC1161" s="54" t="e">
        <f t="shared" si="571"/>
        <v>#VALUE!</v>
      </c>
      <c r="AD1161" s="55" t="str">
        <f t="shared" si="586"/>
        <v/>
      </c>
      <c r="AE1161" s="55"/>
      <c r="AF1161" s="55"/>
      <c r="AG1161" s="56" t="str">
        <f t="shared" si="587"/>
        <v/>
      </c>
      <c r="AH1161" s="57" t="str">
        <f t="shared" si="582"/>
        <v/>
      </c>
      <c r="AI1161" s="56"/>
      <c r="AJ1161" s="57" t="str">
        <f t="shared" si="583"/>
        <v/>
      </c>
      <c r="AK1161" s="56"/>
      <c r="AL1161" s="57" t="str">
        <f t="shared" si="584"/>
        <v/>
      </c>
      <c r="AM1161" s="56"/>
      <c r="AN1161" s="57" t="str">
        <f t="shared" si="572"/>
        <v/>
      </c>
      <c r="AO1161" s="56"/>
      <c r="AP1161" s="57" t="str">
        <f t="shared" si="573"/>
        <v/>
      </c>
      <c r="AQ1161" s="56"/>
      <c r="AR1161" s="57" t="str">
        <f t="shared" si="574"/>
        <v/>
      </c>
      <c r="AS1161" s="56"/>
      <c r="AT1161" s="57" t="str">
        <f t="shared" si="575"/>
        <v/>
      </c>
      <c r="AU1161" s="58"/>
      <c r="AV1161" s="59"/>
      <c r="AW1161" s="59"/>
      <c r="AX1161" s="60"/>
      <c r="AY1161" s="61" t="str">
        <f t="shared" si="585"/>
        <v/>
      </c>
      <c r="AZ1161" s="62" t="str">
        <f t="shared" si="576"/>
        <v/>
      </c>
      <c r="BA1161" s="61" t="str">
        <f t="shared" si="577"/>
        <v/>
      </c>
      <c r="BB1161" s="62" t="str">
        <f t="shared" si="578"/>
        <v/>
      </c>
    </row>
    <row r="1162" spans="1:54" s="3" customFormat="1" hidden="1" x14ac:dyDescent="0.35">
      <c r="A1162" s="73">
        <f t="shared" si="561"/>
        <v>2019</v>
      </c>
      <c r="B1162" s="73" t="str">
        <f t="shared" si="562"/>
        <v>Nov</v>
      </c>
      <c r="C1162" s="74">
        <f t="shared" si="579"/>
        <v>17</v>
      </c>
      <c r="D1162" s="75">
        <f t="shared" si="563"/>
        <v>10</v>
      </c>
      <c r="E1162" s="76">
        <f t="shared" si="564"/>
        <v>34</v>
      </c>
      <c r="F1162" s="80"/>
      <c r="G1162" s="83"/>
      <c r="H1162" s="69" t="str">
        <f t="shared" si="580"/>
        <v>Senbur6_20191117_10_00</v>
      </c>
      <c r="I1162" s="70">
        <f t="shared" si="581"/>
        <v>1</v>
      </c>
      <c r="J1162" s="77" t="str">
        <f t="shared" si="581"/>
        <v>Senecio</v>
      </c>
      <c r="K1162" s="77" t="str">
        <f t="shared" si="581"/>
        <v>burtoni</v>
      </c>
      <c r="L1162" s="78">
        <f t="shared" si="581"/>
        <v>6</v>
      </c>
      <c r="M1162" s="78">
        <f t="shared" si="581"/>
        <v>12</v>
      </c>
      <c r="N1162" s="72">
        <f t="shared" si="581"/>
        <v>0</v>
      </c>
      <c r="O1162" s="45"/>
      <c r="P1162" s="46" t="str">
        <f t="shared" si="565"/>
        <v/>
      </c>
      <c r="Q1162" s="47" t="str">
        <f t="shared" si="566"/>
        <v/>
      </c>
      <c r="R1162" s="48" t="e">
        <f t="shared" si="567"/>
        <v>#VALUE!</v>
      </c>
      <c r="S1162" s="49" t="e">
        <f t="shared" si="560"/>
        <v>#VALUE!</v>
      </c>
      <c r="T1162" s="48" t="str">
        <f t="shared" si="568"/>
        <v/>
      </c>
      <c r="U1162" s="50"/>
      <c r="V1162" s="51"/>
      <c r="W1162" s="52" t="e">
        <f t="shared" si="569"/>
        <v>#VALUE!</v>
      </c>
      <c r="X1162" s="53"/>
      <c r="Y1162" s="53"/>
      <c r="Z1162" s="53"/>
      <c r="AA1162" s="48" t="e">
        <f>INDEX([1]!VISITORS[INSECT ORDER], MATCH(X1162,[1]!VISITORS[NAME USED],0))</f>
        <v>#REF!</v>
      </c>
      <c r="AB1162" s="48" t="e">
        <f t="shared" si="570"/>
        <v>#REF!</v>
      </c>
      <c r="AC1162" s="54" t="e">
        <f t="shared" si="571"/>
        <v>#VALUE!</v>
      </c>
      <c r="AD1162" s="55" t="str">
        <f t="shared" si="586"/>
        <v/>
      </c>
      <c r="AE1162" s="55"/>
      <c r="AF1162" s="55"/>
      <c r="AG1162" s="56" t="str">
        <f t="shared" si="587"/>
        <v/>
      </c>
      <c r="AH1162" s="57" t="str">
        <f t="shared" si="582"/>
        <v/>
      </c>
      <c r="AI1162" s="56"/>
      <c r="AJ1162" s="57" t="str">
        <f t="shared" si="583"/>
        <v/>
      </c>
      <c r="AK1162" s="56"/>
      <c r="AL1162" s="57" t="str">
        <f t="shared" si="584"/>
        <v/>
      </c>
      <c r="AM1162" s="56"/>
      <c r="AN1162" s="57" t="str">
        <f t="shared" si="572"/>
        <v/>
      </c>
      <c r="AO1162" s="56"/>
      <c r="AP1162" s="57" t="str">
        <f t="shared" si="573"/>
        <v/>
      </c>
      <c r="AQ1162" s="56"/>
      <c r="AR1162" s="57" t="str">
        <f t="shared" si="574"/>
        <v/>
      </c>
      <c r="AS1162" s="56"/>
      <c r="AT1162" s="57" t="str">
        <f t="shared" si="575"/>
        <v/>
      </c>
      <c r="AU1162" s="58"/>
      <c r="AV1162" s="59"/>
      <c r="AW1162" s="59"/>
      <c r="AX1162" s="60"/>
      <c r="AY1162" s="61" t="str">
        <f t="shared" si="585"/>
        <v/>
      </c>
      <c r="AZ1162" s="62" t="str">
        <f t="shared" si="576"/>
        <v/>
      </c>
      <c r="BA1162" s="61" t="str">
        <f t="shared" si="577"/>
        <v/>
      </c>
      <c r="BB1162" s="62" t="str">
        <f t="shared" si="578"/>
        <v/>
      </c>
    </row>
    <row r="1163" spans="1:54" s="3" customFormat="1" hidden="1" x14ac:dyDescent="0.35">
      <c r="A1163" s="73">
        <f t="shared" si="561"/>
        <v>2019</v>
      </c>
      <c r="B1163" s="73" t="str">
        <f t="shared" si="562"/>
        <v>Nov</v>
      </c>
      <c r="C1163" s="74">
        <f t="shared" si="579"/>
        <v>17</v>
      </c>
      <c r="D1163" s="75">
        <f t="shared" si="563"/>
        <v>10</v>
      </c>
      <c r="E1163" s="76">
        <f t="shared" si="564"/>
        <v>35</v>
      </c>
      <c r="F1163" s="80"/>
      <c r="G1163" s="83"/>
      <c r="H1163" s="69" t="str">
        <f t="shared" si="580"/>
        <v>Senbur6_20191117_10_00</v>
      </c>
      <c r="I1163" s="70">
        <f t="shared" si="581"/>
        <v>1</v>
      </c>
      <c r="J1163" s="77" t="str">
        <f t="shared" si="581"/>
        <v>Senecio</v>
      </c>
      <c r="K1163" s="77" t="str">
        <f t="shared" si="581"/>
        <v>burtoni</v>
      </c>
      <c r="L1163" s="78">
        <f t="shared" si="581"/>
        <v>6</v>
      </c>
      <c r="M1163" s="78">
        <f t="shared" si="581"/>
        <v>12</v>
      </c>
      <c r="N1163" s="72">
        <f t="shared" si="581"/>
        <v>0</v>
      </c>
      <c r="O1163" s="45"/>
      <c r="P1163" s="46" t="str">
        <f t="shared" si="565"/>
        <v/>
      </c>
      <c r="Q1163" s="47" t="str">
        <f t="shared" si="566"/>
        <v/>
      </c>
      <c r="R1163" s="48" t="e">
        <f t="shared" si="567"/>
        <v>#VALUE!</v>
      </c>
      <c r="S1163" s="49" t="e">
        <f t="shared" si="560"/>
        <v>#VALUE!</v>
      </c>
      <c r="T1163" s="48" t="str">
        <f t="shared" si="568"/>
        <v/>
      </c>
      <c r="U1163" s="50"/>
      <c r="V1163" s="51"/>
      <c r="W1163" s="52" t="e">
        <f t="shared" si="569"/>
        <v>#VALUE!</v>
      </c>
      <c r="X1163" s="53"/>
      <c r="Y1163" s="53"/>
      <c r="Z1163" s="53"/>
      <c r="AA1163" s="48" t="e">
        <f>INDEX([1]!VISITORS[INSECT ORDER], MATCH(X1163,[1]!VISITORS[NAME USED],0))</f>
        <v>#REF!</v>
      </c>
      <c r="AB1163" s="48" t="e">
        <f t="shared" si="570"/>
        <v>#REF!</v>
      </c>
      <c r="AC1163" s="54" t="e">
        <f t="shared" si="571"/>
        <v>#VALUE!</v>
      </c>
      <c r="AD1163" s="55" t="str">
        <f t="shared" si="586"/>
        <v/>
      </c>
      <c r="AE1163" s="55"/>
      <c r="AF1163" s="55"/>
      <c r="AG1163" s="56" t="str">
        <f t="shared" si="587"/>
        <v/>
      </c>
      <c r="AH1163" s="57" t="str">
        <f t="shared" si="582"/>
        <v/>
      </c>
      <c r="AI1163" s="56"/>
      <c r="AJ1163" s="57" t="str">
        <f t="shared" si="583"/>
        <v/>
      </c>
      <c r="AK1163" s="56"/>
      <c r="AL1163" s="57" t="str">
        <f t="shared" si="584"/>
        <v/>
      </c>
      <c r="AM1163" s="56"/>
      <c r="AN1163" s="57" t="str">
        <f t="shared" si="572"/>
        <v/>
      </c>
      <c r="AO1163" s="56"/>
      <c r="AP1163" s="57" t="str">
        <f t="shared" si="573"/>
        <v/>
      </c>
      <c r="AQ1163" s="56"/>
      <c r="AR1163" s="57" t="str">
        <f t="shared" si="574"/>
        <v/>
      </c>
      <c r="AS1163" s="56"/>
      <c r="AT1163" s="57" t="str">
        <f t="shared" si="575"/>
        <v/>
      </c>
      <c r="AU1163" s="58"/>
      <c r="AV1163" s="59"/>
      <c r="AW1163" s="59"/>
      <c r="AX1163" s="60"/>
      <c r="AY1163" s="61" t="str">
        <f t="shared" si="585"/>
        <v/>
      </c>
      <c r="AZ1163" s="62" t="str">
        <f t="shared" si="576"/>
        <v/>
      </c>
      <c r="BA1163" s="61" t="str">
        <f t="shared" si="577"/>
        <v/>
      </c>
      <c r="BB1163" s="62" t="str">
        <f t="shared" si="578"/>
        <v/>
      </c>
    </row>
    <row r="1164" spans="1:54" s="3" customFormat="1" hidden="1" x14ac:dyDescent="0.35">
      <c r="A1164" s="73">
        <f t="shared" si="561"/>
        <v>2019</v>
      </c>
      <c r="B1164" s="73" t="str">
        <f t="shared" si="562"/>
        <v>Nov</v>
      </c>
      <c r="C1164" s="74">
        <f t="shared" si="579"/>
        <v>17</v>
      </c>
      <c r="D1164" s="75">
        <f t="shared" si="563"/>
        <v>10</v>
      </c>
      <c r="E1164" s="76">
        <f t="shared" si="564"/>
        <v>36</v>
      </c>
      <c r="F1164" s="80"/>
      <c r="G1164" s="83"/>
      <c r="H1164" s="69" t="str">
        <f t="shared" si="580"/>
        <v>Senbur6_20191117_10_00</v>
      </c>
      <c r="I1164" s="70">
        <f t="shared" si="581"/>
        <v>1</v>
      </c>
      <c r="J1164" s="77" t="str">
        <f t="shared" si="581"/>
        <v>Senecio</v>
      </c>
      <c r="K1164" s="77" t="str">
        <f t="shared" si="581"/>
        <v>burtoni</v>
      </c>
      <c r="L1164" s="78">
        <f t="shared" si="581"/>
        <v>6</v>
      </c>
      <c r="M1164" s="78">
        <f t="shared" si="581"/>
        <v>12</v>
      </c>
      <c r="N1164" s="72">
        <f t="shared" si="581"/>
        <v>0</v>
      </c>
      <c r="O1164" s="45"/>
      <c r="P1164" s="46" t="str">
        <f t="shared" si="565"/>
        <v/>
      </c>
      <c r="Q1164" s="47" t="str">
        <f t="shared" si="566"/>
        <v/>
      </c>
      <c r="R1164" s="48" t="e">
        <f t="shared" si="567"/>
        <v>#VALUE!</v>
      </c>
      <c r="S1164" s="49" t="e">
        <f t="shared" si="560"/>
        <v>#VALUE!</v>
      </c>
      <c r="T1164" s="48" t="str">
        <f t="shared" si="568"/>
        <v/>
      </c>
      <c r="U1164" s="50"/>
      <c r="V1164" s="51"/>
      <c r="W1164" s="52" t="e">
        <f t="shared" si="569"/>
        <v>#VALUE!</v>
      </c>
      <c r="X1164" s="53"/>
      <c r="Y1164" s="53"/>
      <c r="Z1164" s="53"/>
      <c r="AA1164" s="48" t="e">
        <f>INDEX([1]!VISITORS[INSECT ORDER], MATCH(X1164,[1]!VISITORS[NAME USED],0))</f>
        <v>#REF!</v>
      </c>
      <c r="AB1164" s="48" t="e">
        <f t="shared" si="570"/>
        <v>#REF!</v>
      </c>
      <c r="AC1164" s="54" t="e">
        <f t="shared" si="571"/>
        <v>#VALUE!</v>
      </c>
      <c r="AD1164" s="55" t="str">
        <f t="shared" si="586"/>
        <v/>
      </c>
      <c r="AE1164" s="55"/>
      <c r="AF1164" s="55"/>
      <c r="AG1164" s="56" t="str">
        <f t="shared" si="587"/>
        <v/>
      </c>
      <c r="AH1164" s="57" t="str">
        <f t="shared" si="582"/>
        <v/>
      </c>
      <c r="AI1164" s="56"/>
      <c r="AJ1164" s="57" t="str">
        <f t="shared" si="583"/>
        <v/>
      </c>
      <c r="AK1164" s="56"/>
      <c r="AL1164" s="57" t="str">
        <f t="shared" si="584"/>
        <v/>
      </c>
      <c r="AM1164" s="56"/>
      <c r="AN1164" s="57" t="str">
        <f t="shared" si="572"/>
        <v/>
      </c>
      <c r="AO1164" s="56"/>
      <c r="AP1164" s="57" t="str">
        <f t="shared" si="573"/>
        <v/>
      </c>
      <c r="AQ1164" s="56"/>
      <c r="AR1164" s="57" t="str">
        <f t="shared" si="574"/>
        <v/>
      </c>
      <c r="AS1164" s="56"/>
      <c r="AT1164" s="57" t="str">
        <f t="shared" si="575"/>
        <v/>
      </c>
      <c r="AU1164" s="58"/>
      <c r="AV1164" s="59"/>
      <c r="AW1164" s="59"/>
      <c r="AX1164" s="60"/>
      <c r="AY1164" s="61" t="str">
        <f t="shared" si="585"/>
        <v/>
      </c>
      <c r="AZ1164" s="62" t="str">
        <f t="shared" si="576"/>
        <v/>
      </c>
      <c r="BA1164" s="61" t="str">
        <f t="shared" si="577"/>
        <v/>
      </c>
      <c r="BB1164" s="62" t="str">
        <f t="shared" si="578"/>
        <v/>
      </c>
    </row>
    <row r="1165" spans="1:54" s="3" customFormat="1" hidden="1" x14ac:dyDescent="0.35">
      <c r="A1165" s="73">
        <f t="shared" si="561"/>
        <v>2019</v>
      </c>
      <c r="B1165" s="73" t="str">
        <f t="shared" si="562"/>
        <v>Nov</v>
      </c>
      <c r="C1165" s="74">
        <f t="shared" si="579"/>
        <v>17</v>
      </c>
      <c r="D1165" s="75">
        <f t="shared" si="563"/>
        <v>10</v>
      </c>
      <c r="E1165" s="76">
        <f t="shared" si="564"/>
        <v>37</v>
      </c>
      <c r="F1165" s="80"/>
      <c r="G1165" s="83"/>
      <c r="H1165" s="69" t="str">
        <f t="shared" si="580"/>
        <v>Senbur6_20191117_10_00</v>
      </c>
      <c r="I1165" s="70">
        <f t="shared" si="581"/>
        <v>1</v>
      </c>
      <c r="J1165" s="77" t="str">
        <f t="shared" si="581"/>
        <v>Senecio</v>
      </c>
      <c r="K1165" s="77" t="str">
        <f t="shared" si="581"/>
        <v>burtoni</v>
      </c>
      <c r="L1165" s="78">
        <f t="shared" si="581"/>
        <v>6</v>
      </c>
      <c r="M1165" s="78">
        <f t="shared" si="581"/>
        <v>12</v>
      </c>
      <c r="N1165" s="72">
        <f t="shared" si="581"/>
        <v>0</v>
      </c>
      <c r="O1165" s="45"/>
      <c r="P1165" s="46" t="str">
        <f t="shared" si="565"/>
        <v/>
      </c>
      <c r="Q1165" s="47" t="str">
        <f t="shared" si="566"/>
        <v/>
      </c>
      <c r="R1165" s="48" t="e">
        <f t="shared" si="567"/>
        <v>#VALUE!</v>
      </c>
      <c r="S1165" s="49" t="e">
        <f t="shared" si="560"/>
        <v>#VALUE!</v>
      </c>
      <c r="T1165" s="48" t="str">
        <f t="shared" si="568"/>
        <v/>
      </c>
      <c r="U1165" s="50"/>
      <c r="V1165" s="51"/>
      <c r="W1165" s="52" t="e">
        <f t="shared" si="569"/>
        <v>#VALUE!</v>
      </c>
      <c r="X1165" s="53"/>
      <c r="Y1165" s="53"/>
      <c r="Z1165" s="53"/>
      <c r="AA1165" s="48" t="e">
        <f>INDEX([1]!VISITORS[INSECT ORDER], MATCH(X1165,[1]!VISITORS[NAME USED],0))</f>
        <v>#REF!</v>
      </c>
      <c r="AB1165" s="48" t="e">
        <f t="shared" si="570"/>
        <v>#REF!</v>
      </c>
      <c r="AC1165" s="54" t="e">
        <f t="shared" si="571"/>
        <v>#VALUE!</v>
      </c>
      <c r="AD1165" s="55" t="str">
        <f t="shared" si="586"/>
        <v/>
      </c>
      <c r="AE1165" s="55"/>
      <c r="AF1165" s="55"/>
      <c r="AG1165" s="56" t="str">
        <f t="shared" si="587"/>
        <v/>
      </c>
      <c r="AH1165" s="57" t="str">
        <f t="shared" si="582"/>
        <v/>
      </c>
      <c r="AI1165" s="56"/>
      <c r="AJ1165" s="57" t="str">
        <f t="shared" si="583"/>
        <v/>
      </c>
      <c r="AK1165" s="56"/>
      <c r="AL1165" s="57" t="str">
        <f t="shared" si="584"/>
        <v/>
      </c>
      <c r="AM1165" s="56"/>
      <c r="AN1165" s="57" t="str">
        <f t="shared" si="572"/>
        <v/>
      </c>
      <c r="AO1165" s="56"/>
      <c r="AP1165" s="57" t="str">
        <f t="shared" si="573"/>
        <v/>
      </c>
      <c r="AQ1165" s="56"/>
      <c r="AR1165" s="57" t="str">
        <f t="shared" si="574"/>
        <v/>
      </c>
      <c r="AS1165" s="56"/>
      <c r="AT1165" s="57" t="str">
        <f t="shared" si="575"/>
        <v/>
      </c>
      <c r="AU1165" s="58"/>
      <c r="AV1165" s="59"/>
      <c r="AW1165" s="59"/>
      <c r="AX1165" s="60"/>
      <c r="AY1165" s="61" t="str">
        <f t="shared" si="585"/>
        <v/>
      </c>
      <c r="AZ1165" s="62" t="str">
        <f t="shared" si="576"/>
        <v/>
      </c>
      <c r="BA1165" s="61" t="str">
        <f t="shared" si="577"/>
        <v/>
      </c>
      <c r="BB1165" s="62" t="str">
        <f t="shared" si="578"/>
        <v/>
      </c>
    </row>
    <row r="1166" spans="1:54" s="3" customFormat="1" hidden="1" x14ac:dyDescent="0.35">
      <c r="A1166" s="73">
        <f t="shared" si="561"/>
        <v>2019</v>
      </c>
      <c r="B1166" s="73" t="str">
        <f t="shared" si="562"/>
        <v>Nov</v>
      </c>
      <c r="C1166" s="74">
        <f t="shared" si="579"/>
        <v>17</v>
      </c>
      <c r="D1166" s="75">
        <f t="shared" si="563"/>
        <v>10</v>
      </c>
      <c r="E1166" s="76">
        <f t="shared" si="564"/>
        <v>38</v>
      </c>
      <c r="F1166" s="80">
        <v>24</v>
      </c>
      <c r="G1166" s="83"/>
      <c r="H1166" s="69" t="str">
        <f t="shared" si="580"/>
        <v>Senbur6_20191117_10_00</v>
      </c>
      <c r="I1166" s="70">
        <f t="shared" si="581"/>
        <v>1</v>
      </c>
      <c r="J1166" s="77" t="str">
        <f t="shared" si="581"/>
        <v>Senecio</v>
      </c>
      <c r="K1166" s="77" t="str">
        <f t="shared" si="581"/>
        <v>burtoni</v>
      </c>
      <c r="L1166" s="78">
        <f t="shared" si="581"/>
        <v>6</v>
      </c>
      <c r="M1166" s="78">
        <f t="shared" si="581"/>
        <v>12</v>
      </c>
      <c r="N1166" s="72">
        <f t="shared" si="581"/>
        <v>0</v>
      </c>
      <c r="O1166" s="45"/>
      <c r="P1166" s="46">
        <f t="shared" si="565"/>
        <v>1</v>
      </c>
      <c r="Q1166" s="47" t="str">
        <f t="shared" si="566"/>
        <v>10:38:24</v>
      </c>
      <c r="R1166" s="48" t="str">
        <f t="shared" si="567"/>
        <v>38:24</v>
      </c>
      <c r="S1166" s="49">
        <f t="shared" si="560"/>
        <v>7</v>
      </c>
      <c r="T1166" s="48" t="str">
        <f t="shared" si="568"/>
        <v>10</v>
      </c>
      <c r="U1166" s="50">
        <v>38</v>
      </c>
      <c r="V1166" s="51">
        <v>31</v>
      </c>
      <c r="W1166" s="52" t="str">
        <f t="shared" si="569"/>
        <v>38:31</v>
      </c>
      <c r="X1166" s="53" t="s">
        <v>61</v>
      </c>
      <c r="Y1166" s="97" t="s">
        <v>96</v>
      </c>
      <c r="Z1166" s="97" t="s">
        <v>80</v>
      </c>
      <c r="AA1166" s="48" t="s">
        <v>60</v>
      </c>
      <c r="AB1166" s="48" t="str">
        <f t="shared" si="570"/>
        <v>NA</v>
      </c>
      <c r="AC1166" s="54">
        <f t="shared" si="571"/>
        <v>0</v>
      </c>
      <c r="AD1166" s="55">
        <v>2</v>
      </c>
      <c r="AE1166" s="55"/>
      <c r="AF1166" s="55"/>
      <c r="AG1166" s="56">
        <v>1</v>
      </c>
      <c r="AH1166" s="57">
        <v>1</v>
      </c>
      <c r="AI1166" s="56"/>
      <c r="AJ1166" s="57" t="str">
        <f t="shared" si="583"/>
        <v/>
      </c>
      <c r="AK1166" s="56">
        <v>1</v>
      </c>
      <c r="AL1166" s="57">
        <v>6</v>
      </c>
      <c r="AM1166" s="56"/>
      <c r="AN1166" s="57" t="str">
        <f t="shared" si="572"/>
        <v/>
      </c>
      <c r="AO1166" s="56"/>
      <c r="AP1166" s="57" t="str">
        <f t="shared" si="573"/>
        <v/>
      </c>
      <c r="AQ1166" s="56"/>
      <c r="AR1166" s="57" t="str">
        <f t="shared" si="574"/>
        <v/>
      </c>
      <c r="AS1166" s="56"/>
      <c r="AT1166" s="57" t="str">
        <f t="shared" si="575"/>
        <v/>
      </c>
      <c r="AU1166" s="58"/>
      <c r="AV1166" s="59"/>
      <c r="AW1166" s="59"/>
      <c r="AX1166" s="60"/>
      <c r="AY1166" s="61">
        <v>1</v>
      </c>
      <c r="AZ1166" s="62">
        <f t="shared" si="576"/>
        <v>2</v>
      </c>
      <c r="BA1166" s="61">
        <f t="shared" si="577"/>
        <v>0</v>
      </c>
      <c r="BB1166" s="62" t="str">
        <f t="shared" si="578"/>
        <v/>
      </c>
    </row>
    <row r="1167" spans="1:54" s="3" customFormat="1" hidden="1" x14ac:dyDescent="0.35">
      <c r="A1167" s="73">
        <f t="shared" si="561"/>
        <v>2019</v>
      </c>
      <c r="B1167" s="73" t="str">
        <f t="shared" si="562"/>
        <v>Nov</v>
      </c>
      <c r="C1167" s="74">
        <f t="shared" si="579"/>
        <v>17</v>
      </c>
      <c r="D1167" s="75">
        <f t="shared" si="563"/>
        <v>10</v>
      </c>
      <c r="E1167" s="76">
        <f t="shared" si="564"/>
        <v>39</v>
      </c>
      <c r="F1167" s="80"/>
      <c r="G1167" s="83"/>
      <c r="H1167" s="69" t="str">
        <f t="shared" si="580"/>
        <v>Senbur6_20191117_10_00</v>
      </c>
      <c r="I1167" s="70">
        <f t="shared" si="581"/>
        <v>1</v>
      </c>
      <c r="J1167" s="77" t="str">
        <f t="shared" si="581"/>
        <v>Senecio</v>
      </c>
      <c r="K1167" s="77" t="str">
        <f t="shared" si="581"/>
        <v>burtoni</v>
      </c>
      <c r="L1167" s="78">
        <f t="shared" si="581"/>
        <v>6</v>
      </c>
      <c r="M1167" s="78">
        <f t="shared" si="581"/>
        <v>12</v>
      </c>
      <c r="N1167" s="72">
        <f t="shared" si="581"/>
        <v>0</v>
      </c>
      <c r="O1167" s="45"/>
      <c r="P1167" s="46" t="str">
        <f t="shared" si="565"/>
        <v/>
      </c>
      <c r="Q1167" s="47" t="str">
        <f t="shared" si="566"/>
        <v/>
      </c>
      <c r="R1167" s="48" t="e">
        <f t="shared" si="567"/>
        <v>#VALUE!</v>
      </c>
      <c r="S1167" s="49" t="e">
        <f t="shared" si="560"/>
        <v>#VALUE!</v>
      </c>
      <c r="T1167" s="48" t="str">
        <f t="shared" si="568"/>
        <v/>
      </c>
      <c r="U1167" s="50"/>
      <c r="V1167" s="51"/>
      <c r="W1167" s="52" t="e">
        <f t="shared" si="569"/>
        <v>#VALUE!</v>
      </c>
      <c r="X1167" s="53"/>
      <c r="Y1167" s="53"/>
      <c r="Z1167" s="53"/>
      <c r="AA1167" s="48" t="e">
        <f>INDEX([1]!VISITORS[INSECT ORDER], MATCH(X1167,[1]!VISITORS[NAME USED],0))</f>
        <v>#REF!</v>
      </c>
      <c r="AB1167" s="48" t="e">
        <f t="shared" si="570"/>
        <v>#REF!</v>
      </c>
      <c r="AC1167" s="54" t="e">
        <f t="shared" si="571"/>
        <v>#VALUE!</v>
      </c>
      <c r="AD1167" s="55" t="str">
        <f t="shared" si="586"/>
        <v/>
      </c>
      <c r="AE1167" s="55"/>
      <c r="AF1167" s="55"/>
      <c r="AG1167" s="56" t="str">
        <f t="shared" si="587"/>
        <v/>
      </c>
      <c r="AH1167" s="57" t="str">
        <f t="shared" si="582"/>
        <v/>
      </c>
      <c r="AI1167" s="56"/>
      <c r="AJ1167" s="57" t="str">
        <f t="shared" si="583"/>
        <v/>
      </c>
      <c r="AK1167" s="56"/>
      <c r="AL1167" s="57" t="str">
        <f t="shared" si="584"/>
        <v/>
      </c>
      <c r="AM1167" s="56"/>
      <c r="AN1167" s="57" t="str">
        <f t="shared" si="572"/>
        <v/>
      </c>
      <c r="AO1167" s="56"/>
      <c r="AP1167" s="57" t="str">
        <f t="shared" si="573"/>
        <v/>
      </c>
      <c r="AQ1167" s="56"/>
      <c r="AR1167" s="57" t="str">
        <f t="shared" si="574"/>
        <v/>
      </c>
      <c r="AS1167" s="56"/>
      <c r="AT1167" s="57" t="str">
        <f t="shared" si="575"/>
        <v/>
      </c>
      <c r="AU1167" s="58"/>
      <c r="AV1167" s="59"/>
      <c r="AW1167" s="59"/>
      <c r="AX1167" s="60"/>
      <c r="AY1167" s="61" t="str">
        <f t="shared" si="585"/>
        <v/>
      </c>
      <c r="AZ1167" s="62" t="str">
        <f t="shared" si="576"/>
        <v/>
      </c>
      <c r="BA1167" s="61" t="str">
        <f t="shared" si="577"/>
        <v/>
      </c>
      <c r="BB1167" s="62" t="str">
        <f t="shared" si="578"/>
        <v/>
      </c>
    </row>
    <row r="1168" spans="1:54" s="3" customFormat="1" hidden="1" x14ac:dyDescent="0.35">
      <c r="A1168" s="73">
        <f t="shared" si="561"/>
        <v>2019</v>
      </c>
      <c r="B1168" s="73" t="str">
        <f t="shared" si="562"/>
        <v>Nov</v>
      </c>
      <c r="C1168" s="74">
        <f t="shared" si="579"/>
        <v>17</v>
      </c>
      <c r="D1168" s="75">
        <f t="shared" si="563"/>
        <v>10</v>
      </c>
      <c r="E1168" s="76">
        <f t="shared" si="564"/>
        <v>40</v>
      </c>
      <c r="F1168" s="80"/>
      <c r="G1168" s="83"/>
      <c r="H1168" s="69" t="str">
        <f t="shared" si="580"/>
        <v>Senbur6_20191117_10_00</v>
      </c>
      <c r="I1168" s="70">
        <f t="shared" si="581"/>
        <v>1</v>
      </c>
      <c r="J1168" s="77" t="str">
        <f t="shared" si="581"/>
        <v>Senecio</v>
      </c>
      <c r="K1168" s="77" t="str">
        <f t="shared" si="581"/>
        <v>burtoni</v>
      </c>
      <c r="L1168" s="78">
        <f t="shared" si="581"/>
        <v>6</v>
      </c>
      <c r="M1168" s="78">
        <f t="shared" si="581"/>
        <v>12</v>
      </c>
      <c r="N1168" s="72">
        <f t="shared" si="581"/>
        <v>0</v>
      </c>
      <c r="O1168" s="45"/>
      <c r="P1168" s="46" t="str">
        <f t="shared" si="565"/>
        <v/>
      </c>
      <c r="Q1168" s="47" t="str">
        <f t="shared" si="566"/>
        <v/>
      </c>
      <c r="R1168" s="48" t="e">
        <f t="shared" si="567"/>
        <v>#VALUE!</v>
      </c>
      <c r="S1168" s="49" t="e">
        <f t="shared" si="560"/>
        <v>#VALUE!</v>
      </c>
      <c r="T1168" s="48" t="str">
        <f t="shared" si="568"/>
        <v/>
      </c>
      <c r="U1168" s="50"/>
      <c r="V1168" s="51"/>
      <c r="W1168" s="52" t="e">
        <f t="shared" si="569"/>
        <v>#VALUE!</v>
      </c>
      <c r="X1168" s="53"/>
      <c r="Y1168" s="53"/>
      <c r="Z1168" s="53"/>
      <c r="AA1168" s="48" t="e">
        <f>INDEX([1]!VISITORS[INSECT ORDER], MATCH(X1168,[1]!VISITORS[NAME USED],0))</f>
        <v>#REF!</v>
      </c>
      <c r="AB1168" s="48" t="e">
        <f t="shared" si="570"/>
        <v>#REF!</v>
      </c>
      <c r="AC1168" s="54" t="e">
        <f t="shared" si="571"/>
        <v>#VALUE!</v>
      </c>
      <c r="AD1168" s="55" t="str">
        <f t="shared" si="586"/>
        <v/>
      </c>
      <c r="AE1168" s="55"/>
      <c r="AF1168" s="55"/>
      <c r="AG1168" s="56" t="str">
        <f t="shared" si="587"/>
        <v/>
      </c>
      <c r="AH1168" s="57" t="str">
        <f t="shared" si="582"/>
        <v/>
      </c>
      <c r="AI1168" s="56"/>
      <c r="AJ1168" s="57" t="str">
        <f t="shared" si="583"/>
        <v/>
      </c>
      <c r="AK1168" s="56"/>
      <c r="AL1168" s="57" t="str">
        <f t="shared" si="584"/>
        <v/>
      </c>
      <c r="AM1168" s="56"/>
      <c r="AN1168" s="57" t="str">
        <f t="shared" si="572"/>
        <v/>
      </c>
      <c r="AO1168" s="56"/>
      <c r="AP1168" s="57" t="str">
        <f t="shared" si="573"/>
        <v/>
      </c>
      <c r="AQ1168" s="56"/>
      <c r="AR1168" s="57" t="str">
        <f t="shared" si="574"/>
        <v/>
      </c>
      <c r="AS1168" s="56"/>
      <c r="AT1168" s="57" t="str">
        <f t="shared" si="575"/>
        <v/>
      </c>
      <c r="AU1168" s="58"/>
      <c r="AV1168" s="59"/>
      <c r="AW1168" s="59"/>
      <c r="AX1168" s="60"/>
      <c r="AY1168" s="61" t="str">
        <f t="shared" si="585"/>
        <v/>
      </c>
      <c r="AZ1168" s="62" t="str">
        <f t="shared" si="576"/>
        <v/>
      </c>
      <c r="BA1168" s="61" t="str">
        <f t="shared" si="577"/>
        <v/>
      </c>
      <c r="BB1168" s="62" t="str">
        <f t="shared" si="578"/>
        <v/>
      </c>
    </row>
    <row r="1169" spans="1:54" s="3" customFormat="1" hidden="1" x14ac:dyDescent="0.35">
      <c r="A1169" s="73">
        <f t="shared" si="561"/>
        <v>2019</v>
      </c>
      <c r="B1169" s="73" t="str">
        <f t="shared" si="562"/>
        <v>Nov</v>
      </c>
      <c r="C1169" s="74">
        <f t="shared" si="579"/>
        <v>17</v>
      </c>
      <c r="D1169" s="75">
        <f t="shared" si="563"/>
        <v>10</v>
      </c>
      <c r="E1169" s="76">
        <f t="shared" si="564"/>
        <v>41</v>
      </c>
      <c r="F1169" s="80"/>
      <c r="G1169" s="83"/>
      <c r="H1169" s="69" t="str">
        <f t="shared" si="580"/>
        <v>Senbur6_20191117_10_00</v>
      </c>
      <c r="I1169" s="70">
        <f t="shared" si="581"/>
        <v>1</v>
      </c>
      <c r="J1169" s="77" t="str">
        <f t="shared" si="581"/>
        <v>Senecio</v>
      </c>
      <c r="K1169" s="77" t="str">
        <f t="shared" si="581"/>
        <v>burtoni</v>
      </c>
      <c r="L1169" s="78">
        <f t="shared" si="581"/>
        <v>6</v>
      </c>
      <c r="M1169" s="78">
        <f t="shared" si="581"/>
        <v>12</v>
      </c>
      <c r="N1169" s="72">
        <f t="shared" si="581"/>
        <v>0</v>
      </c>
      <c r="O1169" s="45"/>
      <c r="P1169" s="46" t="str">
        <f t="shared" si="565"/>
        <v/>
      </c>
      <c r="Q1169" s="47" t="str">
        <f t="shared" si="566"/>
        <v/>
      </c>
      <c r="R1169" s="48" t="e">
        <f t="shared" si="567"/>
        <v>#VALUE!</v>
      </c>
      <c r="S1169" s="49" t="e">
        <f t="shared" si="560"/>
        <v>#VALUE!</v>
      </c>
      <c r="T1169" s="48" t="str">
        <f t="shared" si="568"/>
        <v/>
      </c>
      <c r="U1169" s="50"/>
      <c r="V1169" s="51"/>
      <c r="W1169" s="52" t="e">
        <f t="shared" si="569"/>
        <v>#VALUE!</v>
      </c>
      <c r="X1169" s="53"/>
      <c r="Y1169" s="53"/>
      <c r="Z1169" s="53"/>
      <c r="AA1169" s="48" t="e">
        <f>INDEX([1]!VISITORS[INSECT ORDER], MATCH(X1169,[1]!VISITORS[NAME USED],0))</f>
        <v>#REF!</v>
      </c>
      <c r="AB1169" s="48" t="e">
        <f t="shared" si="570"/>
        <v>#REF!</v>
      </c>
      <c r="AC1169" s="54" t="e">
        <f t="shared" si="571"/>
        <v>#VALUE!</v>
      </c>
      <c r="AD1169" s="55" t="str">
        <f t="shared" si="586"/>
        <v/>
      </c>
      <c r="AE1169" s="55"/>
      <c r="AF1169" s="55"/>
      <c r="AG1169" s="56" t="str">
        <f t="shared" si="587"/>
        <v/>
      </c>
      <c r="AH1169" s="57" t="str">
        <f t="shared" si="582"/>
        <v/>
      </c>
      <c r="AI1169" s="56"/>
      <c r="AJ1169" s="57" t="str">
        <f t="shared" si="583"/>
        <v/>
      </c>
      <c r="AK1169" s="56"/>
      <c r="AL1169" s="57" t="str">
        <f t="shared" si="584"/>
        <v/>
      </c>
      <c r="AM1169" s="56"/>
      <c r="AN1169" s="57" t="str">
        <f t="shared" si="572"/>
        <v/>
      </c>
      <c r="AO1169" s="56"/>
      <c r="AP1169" s="57" t="str">
        <f t="shared" si="573"/>
        <v/>
      </c>
      <c r="AQ1169" s="56"/>
      <c r="AR1169" s="57" t="str">
        <f t="shared" si="574"/>
        <v/>
      </c>
      <c r="AS1169" s="56"/>
      <c r="AT1169" s="57" t="str">
        <f t="shared" si="575"/>
        <v/>
      </c>
      <c r="AU1169" s="58"/>
      <c r="AV1169" s="59"/>
      <c r="AW1169" s="59"/>
      <c r="AX1169" s="60"/>
      <c r="AY1169" s="61" t="str">
        <f t="shared" si="585"/>
        <v/>
      </c>
      <c r="AZ1169" s="62" t="str">
        <f t="shared" si="576"/>
        <v/>
      </c>
      <c r="BA1169" s="61" t="str">
        <f t="shared" si="577"/>
        <v/>
      </c>
      <c r="BB1169" s="62" t="str">
        <f t="shared" si="578"/>
        <v/>
      </c>
    </row>
    <row r="1170" spans="1:54" s="3" customFormat="1" hidden="1" x14ac:dyDescent="0.35">
      <c r="A1170" s="73">
        <f t="shared" si="561"/>
        <v>2019</v>
      </c>
      <c r="B1170" s="73" t="str">
        <f t="shared" si="562"/>
        <v>Nov</v>
      </c>
      <c r="C1170" s="74">
        <f t="shared" si="579"/>
        <v>17</v>
      </c>
      <c r="D1170" s="75">
        <f t="shared" si="563"/>
        <v>10</v>
      </c>
      <c r="E1170" s="76">
        <f t="shared" si="564"/>
        <v>42</v>
      </c>
      <c r="F1170" s="80"/>
      <c r="G1170" s="83"/>
      <c r="H1170" s="69" t="str">
        <f t="shared" si="580"/>
        <v>Senbur6_20191117_10_00</v>
      </c>
      <c r="I1170" s="70">
        <f t="shared" si="581"/>
        <v>1</v>
      </c>
      <c r="J1170" s="77" t="str">
        <f t="shared" si="581"/>
        <v>Senecio</v>
      </c>
      <c r="K1170" s="77" t="str">
        <f t="shared" si="581"/>
        <v>burtoni</v>
      </c>
      <c r="L1170" s="78">
        <f t="shared" si="581"/>
        <v>6</v>
      </c>
      <c r="M1170" s="78">
        <f t="shared" si="581"/>
        <v>12</v>
      </c>
      <c r="N1170" s="72">
        <f t="shared" si="581"/>
        <v>0</v>
      </c>
      <c r="O1170" s="45"/>
      <c r="P1170" s="46" t="str">
        <f t="shared" si="565"/>
        <v/>
      </c>
      <c r="Q1170" s="47" t="str">
        <f t="shared" si="566"/>
        <v/>
      </c>
      <c r="R1170" s="48" t="e">
        <f t="shared" si="567"/>
        <v>#VALUE!</v>
      </c>
      <c r="S1170" s="49" t="e">
        <f t="shared" si="560"/>
        <v>#VALUE!</v>
      </c>
      <c r="T1170" s="48" t="str">
        <f t="shared" si="568"/>
        <v/>
      </c>
      <c r="U1170" s="50"/>
      <c r="V1170" s="51"/>
      <c r="W1170" s="52" t="e">
        <f t="shared" si="569"/>
        <v>#VALUE!</v>
      </c>
      <c r="X1170" s="53"/>
      <c r="Y1170" s="53"/>
      <c r="Z1170" s="53"/>
      <c r="AA1170" s="48" t="e">
        <f>INDEX([1]!VISITORS[INSECT ORDER], MATCH(X1170,[1]!VISITORS[NAME USED],0))</f>
        <v>#REF!</v>
      </c>
      <c r="AB1170" s="48" t="e">
        <f t="shared" si="570"/>
        <v>#REF!</v>
      </c>
      <c r="AC1170" s="54" t="e">
        <f t="shared" si="571"/>
        <v>#VALUE!</v>
      </c>
      <c r="AD1170" s="55" t="str">
        <f t="shared" si="586"/>
        <v/>
      </c>
      <c r="AE1170" s="55"/>
      <c r="AF1170" s="55"/>
      <c r="AG1170" s="56" t="str">
        <f t="shared" si="587"/>
        <v/>
      </c>
      <c r="AH1170" s="57" t="str">
        <f t="shared" si="582"/>
        <v/>
      </c>
      <c r="AI1170" s="56"/>
      <c r="AJ1170" s="57" t="str">
        <f t="shared" si="583"/>
        <v/>
      </c>
      <c r="AK1170" s="56"/>
      <c r="AL1170" s="57" t="str">
        <f t="shared" si="584"/>
        <v/>
      </c>
      <c r="AM1170" s="56"/>
      <c r="AN1170" s="57" t="str">
        <f t="shared" si="572"/>
        <v/>
      </c>
      <c r="AO1170" s="56"/>
      <c r="AP1170" s="57" t="str">
        <f t="shared" si="573"/>
        <v/>
      </c>
      <c r="AQ1170" s="56"/>
      <c r="AR1170" s="57" t="str">
        <f t="shared" si="574"/>
        <v/>
      </c>
      <c r="AS1170" s="56"/>
      <c r="AT1170" s="57" t="str">
        <f t="shared" si="575"/>
        <v/>
      </c>
      <c r="AU1170" s="58"/>
      <c r="AV1170" s="59"/>
      <c r="AW1170" s="59"/>
      <c r="AX1170" s="60"/>
      <c r="AY1170" s="61" t="str">
        <f t="shared" si="585"/>
        <v/>
      </c>
      <c r="AZ1170" s="62" t="str">
        <f t="shared" si="576"/>
        <v/>
      </c>
      <c r="BA1170" s="61" t="str">
        <f t="shared" si="577"/>
        <v/>
      </c>
      <c r="BB1170" s="62" t="str">
        <f t="shared" si="578"/>
        <v/>
      </c>
    </row>
    <row r="1171" spans="1:54" s="3" customFormat="1" hidden="1" x14ac:dyDescent="0.35">
      <c r="A1171" s="73">
        <f t="shared" si="561"/>
        <v>2019</v>
      </c>
      <c r="B1171" s="73" t="str">
        <f t="shared" si="562"/>
        <v>Nov</v>
      </c>
      <c r="C1171" s="74">
        <f t="shared" si="579"/>
        <v>17</v>
      </c>
      <c r="D1171" s="75">
        <f t="shared" si="563"/>
        <v>10</v>
      </c>
      <c r="E1171" s="76">
        <f t="shared" si="564"/>
        <v>43</v>
      </c>
      <c r="F1171" s="80">
        <v>1</v>
      </c>
      <c r="G1171" s="83"/>
      <c r="H1171" s="69" t="str">
        <f t="shared" si="580"/>
        <v>Senbur6_20191117_10_00</v>
      </c>
      <c r="I1171" s="70">
        <f t="shared" si="581"/>
        <v>1</v>
      </c>
      <c r="J1171" s="77" t="str">
        <f t="shared" si="581"/>
        <v>Senecio</v>
      </c>
      <c r="K1171" s="77" t="str">
        <f t="shared" si="581"/>
        <v>burtoni</v>
      </c>
      <c r="L1171" s="78">
        <f t="shared" si="581"/>
        <v>6</v>
      </c>
      <c r="M1171" s="78">
        <f t="shared" si="581"/>
        <v>12</v>
      </c>
      <c r="N1171" s="72">
        <f t="shared" si="581"/>
        <v>0</v>
      </c>
      <c r="O1171" s="45"/>
      <c r="P1171" s="46">
        <f t="shared" si="565"/>
        <v>1</v>
      </c>
      <c r="Q1171" s="47" t="str">
        <f t="shared" si="566"/>
        <v>10:43:01</v>
      </c>
      <c r="R1171" s="48" t="str">
        <f t="shared" si="567"/>
        <v>43:01</v>
      </c>
      <c r="S1171" s="49">
        <f t="shared" si="560"/>
        <v>28</v>
      </c>
      <c r="T1171" s="48" t="str">
        <f t="shared" si="568"/>
        <v>10</v>
      </c>
      <c r="U1171" s="50">
        <v>43</v>
      </c>
      <c r="V1171" s="51">
        <v>29</v>
      </c>
      <c r="W1171" s="52" t="str">
        <f t="shared" si="569"/>
        <v>43:29</v>
      </c>
      <c r="X1171" s="53" t="s">
        <v>61</v>
      </c>
      <c r="Y1171" s="97" t="s">
        <v>96</v>
      </c>
      <c r="Z1171" s="97" t="s">
        <v>80</v>
      </c>
      <c r="AA1171" s="48" t="s">
        <v>60</v>
      </c>
      <c r="AB1171" s="48" t="str">
        <f t="shared" si="570"/>
        <v>NA</v>
      </c>
      <c r="AC1171" s="54">
        <f t="shared" si="571"/>
        <v>0</v>
      </c>
      <c r="AD1171" s="55">
        <v>2</v>
      </c>
      <c r="AE1171" s="55"/>
      <c r="AF1171" s="55"/>
      <c r="AG1171" s="56">
        <v>1</v>
      </c>
      <c r="AH1171" s="57">
        <v>2</v>
      </c>
      <c r="AI1171" s="56">
        <v>1</v>
      </c>
      <c r="AJ1171" s="57">
        <v>1</v>
      </c>
      <c r="AK1171" s="56">
        <v>1</v>
      </c>
      <c r="AL1171" s="57">
        <v>25</v>
      </c>
      <c r="AM1171" s="56"/>
      <c r="AN1171" s="57" t="str">
        <f t="shared" si="572"/>
        <v/>
      </c>
      <c r="AO1171" s="56"/>
      <c r="AP1171" s="57" t="str">
        <f t="shared" si="573"/>
        <v/>
      </c>
      <c r="AQ1171" s="56"/>
      <c r="AR1171" s="57" t="str">
        <f t="shared" si="574"/>
        <v/>
      </c>
      <c r="AS1171" s="56"/>
      <c r="AT1171" s="57" t="str">
        <f t="shared" si="575"/>
        <v/>
      </c>
      <c r="AU1171" s="58"/>
      <c r="AV1171" s="59"/>
      <c r="AW1171" s="59"/>
      <c r="AX1171" s="60"/>
      <c r="AY1171" s="61">
        <v>1</v>
      </c>
      <c r="AZ1171" s="62">
        <f t="shared" si="576"/>
        <v>2</v>
      </c>
      <c r="BA1171" s="61">
        <f t="shared" si="577"/>
        <v>0</v>
      </c>
      <c r="BB1171" s="62" t="str">
        <f t="shared" si="578"/>
        <v/>
      </c>
    </row>
    <row r="1172" spans="1:54" s="3" customFormat="1" hidden="1" x14ac:dyDescent="0.35">
      <c r="A1172" s="73">
        <f t="shared" si="561"/>
        <v>2019</v>
      </c>
      <c r="B1172" s="73" t="str">
        <f t="shared" si="562"/>
        <v>Nov</v>
      </c>
      <c r="C1172" s="74">
        <f t="shared" si="579"/>
        <v>17</v>
      </c>
      <c r="D1172" s="75">
        <f t="shared" si="563"/>
        <v>10</v>
      </c>
      <c r="E1172" s="76">
        <f t="shared" si="564"/>
        <v>44</v>
      </c>
      <c r="F1172" s="80"/>
      <c r="G1172" s="83"/>
      <c r="H1172" s="69" t="str">
        <f t="shared" si="580"/>
        <v>Senbur6_20191117_10_00</v>
      </c>
      <c r="I1172" s="70">
        <f t="shared" si="581"/>
        <v>1</v>
      </c>
      <c r="J1172" s="77" t="str">
        <f t="shared" si="581"/>
        <v>Senecio</v>
      </c>
      <c r="K1172" s="77" t="str">
        <f t="shared" si="581"/>
        <v>burtoni</v>
      </c>
      <c r="L1172" s="78">
        <f t="shared" si="581"/>
        <v>6</v>
      </c>
      <c r="M1172" s="78">
        <f t="shared" si="581"/>
        <v>12</v>
      </c>
      <c r="N1172" s="72">
        <f t="shared" si="581"/>
        <v>0</v>
      </c>
      <c r="O1172" s="45"/>
      <c r="P1172" s="46" t="str">
        <f t="shared" si="565"/>
        <v/>
      </c>
      <c r="Q1172" s="47" t="str">
        <f t="shared" si="566"/>
        <v/>
      </c>
      <c r="R1172" s="48" t="e">
        <f t="shared" si="567"/>
        <v>#VALUE!</v>
      </c>
      <c r="S1172" s="49" t="e">
        <f t="shared" si="560"/>
        <v>#VALUE!</v>
      </c>
      <c r="T1172" s="48" t="str">
        <f t="shared" si="568"/>
        <v/>
      </c>
      <c r="U1172" s="50"/>
      <c r="V1172" s="51"/>
      <c r="W1172" s="52" t="e">
        <f t="shared" si="569"/>
        <v>#VALUE!</v>
      </c>
      <c r="X1172" s="53"/>
      <c r="Y1172" s="53"/>
      <c r="Z1172" s="53"/>
      <c r="AA1172" s="48" t="e">
        <f>INDEX([1]!VISITORS[INSECT ORDER], MATCH(X1172,[1]!VISITORS[NAME USED],0))</f>
        <v>#REF!</v>
      </c>
      <c r="AB1172" s="48" t="e">
        <f t="shared" si="570"/>
        <v>#REF!</v>
      </c>
      <c r="AC1172" s="54" t="e">
        <f t="shared" si="571"/>
        <v>#VALUE!</v>
      </c>
      <c r="AD1172" s="55" t="str">
        <f t="shared" si="586"/>
        <v/>
      </c>
      <c r="AE1172" s="55"/>
      <c r="AF1172" s="55"/>
      <c r="AG1172" s="56" t="str">
        <f t="shared" si="587"/>
        <v/>
      </c>
      <c r="AH1172" s="57" t="str">
        <f t="shared" si="582"/>
        <v/>
      </c>
      <c r="AI1172" s="56"/>
      <c r="AJ1172" s="57" t="str">
        <f t="shared" si="583"/>
        <v/>
      </c>
      <c r="AK1172" s="56"/>
      <c r="AL1172" s="57" t="str">
        <f t="shared" si="584"/>
        <v/>
      </c>
      <c r="AM1172" s="56"/>
      <c r="AN1172" s="57" t="str">
        <f t="shared" si="572"/>
        <v/>
      </c>
      <c r="AO1172" s="56"/>
      <c r="AP1172" s="57" t="str">
        <f t="shared" si="573"/>
        <v/>
      </c>
      <c r="AQ1172" s="56"/>
      <c r="AR1172" s="57" t="str">
        <f t="shared" si="574"/>
        <v/>
      </c>
      <c r="AS1172" s="56"/>
      <c r="AT1172" s="57" t="str">
        <f t="shared" si="575"/>
        <v/>
      </c>
      <c r="AU1172" s="58"/>
      <c r="AV1172" s="59"/>
      <c r="AW1172" s="59"/>
      <c r="AX1172" s="60"/>
      <c r="AY1172" s="61" t="str">
        <f t="shared" si="585"/>
        <v/>
      </c>
      <c r="AZ1172" s="62" t="str">
        <f t="shared" si="576"/>
        <v/>
      </c>
      <c r="BA1172" s="61" t="str">
        <f t="shared" si="577"/>
        <v/>
      </c>
      <c r="BB1172" s="62" t="str">
        <f t="shared" si="578"/>
        <v/>
      </c>
    </row>
    <row r="1173" spans="1:54" s="3" customFormat="1" hidden="1" x14ac:dyDescent="0.35">
      <c r="A1173" s="73">
        <f t="shared" si="561"/>
        <v>2019</v>
      </c>
      <c r="B1173" s="73" t="str">
        <f t="shared" si="562"/>
        <v>Nov</v>
      </c>
      <c r="C1173" s="74">
        <f t="shared" si="579"/>
        <v>17</v>
      </c>
      <c r="D1173" s="75">
        <f t="shared" si="563"/>
        <v>10</v>
      </c>
      <c r="E1173" s="76">
        <f t="shared" si="564"/>
        <v>45</v>
      </c>
      <c r="F1173" s="80"/>
      <c r="G1173" s="83"/>
      <c r="H1173" s="69" t="str">
        <f t="shared" si="580"/>
        <v>Senbur6_20191117_10_00</v>
      </c>
      <c r="I1173" s="70">
        <f t="shared" ref="I1173:N1188" si="588">I1172</f>
        <v>1</v>
      </c>
      <c r="J1173" s="77" t="str">
        <f t="shared" si="588"/>
        <v>Senecio</v>
      </c>
      <c r="K1173" s="77" t="str">
        <f t="shared" si="588"/>
        <v>burtoni</v>
      </c>
      <c r="L1173" s="78">
        <f t="shared" si="588"/>
        <v>6</v>
      </c>
      <c r="M1173" s="78">
        <f t="shared" si="588"/>
        <v>12</v>
      </c>
      <c r="N1173" s="72">
        <f t="shared" si="588"/>
        <v>0</v>
      </c>
      <c r="O1173" s="45"/>
      <c r="P1173" s="46" t="str">
        <f t="shared" si="565"/>
        <v/>
      </c>
      <c r="Q1173" s="47" t="str">
        <f t="shared" si="566"/>
        <v/>
      </c>
      <c r="R1173" s="48" t="e">
        <f t="shared" si="567"/>
        <v>#VALUE!</v>
      </c>
      <c r="S1173" s="49" t="e">
        <f t="shared" si="560"/>
        <v>#VALUE!</v>
      </c>
      <c r="T1173" s="48" t="str">
        <f t="shared" si="568"/>
        <v/>
      </c>
      <c r="U1173" s="50"/>
      <c r="V1173" s="51"/>
      <c r="W1173" s="52" t="e">
        <f t="shared" si="569"/>
        <v>#VALUE!</v>
      </c>
      <c r="X1173" s="53"/>
      <c r="Y1173" s="53"/>
      <c r="Z1173" s="53"/>
      <c r="AA1173" s="48" t="e">
        <f>INDEX([1]!VISITORS[INSECT ORDER], MATCH(X1173,[1]!VISITORS[NAME USED],0))</f>
        <v>#REF!</v>
      </c>
      <c r="AB1173" s="48" t="e">
        <f t="shared" si="570"/>
        <v>#REF!</v>
      </c>
      <c r="AC1173" s="54" t="e">
        <f t="shared" si="571"/>
        <v>#VALUE!</v>
      </c>
      <c r="AD1173" s="55" t="str">
        <f t="shared" si="586"/>
        <v/>
      </c>
      <c r="AE1173" s="55"/>
      <c r="AF1173" s="55"/>
      <c r="AG1173" s="56" t="str">
        <f t="shared" si="587"/>
        <v/>
      </c>
      <c r="AH1173" s="57" t="str">
        <f t="shared" si="582"/>
        <v/>
      </c>
      <c r="AI1173" s="56"/>
      <c r="AJ1173" s="57" t="str">
        <f t="shared" si="583"/>
        <v/>
      </c>
      <c r="AK1173" s="56"/>
      <c r="AL1173" s="57" t="str">
        <f t="shared" si="584"/>
        <v/>
      </c>
      <c r="AM1173" s="56"/>
      <c r="AN1173" s="57" t="str">
        <f t="shared" si="572"/>
        <v/>
      </c>
      <c r="AO1173" s="56"/>
      <c r="AP1173" s="57" t="str">
        <f t="shared" si="573"/>
        <v/>
      </c>
      <c r="AQ1173" s="56"/>
      <c r="AR1173" s="57" t="str">
        <f t="shared" si="574"/>
        <v/>
      </c>
      <c r="AS1173" s="56"/>
      <c r="AT1173" s="57" t="str">
        <f t="shared" si="575"/>
        <v/>
      </c>
      <c r="AU1173" s="58"/>
      <c r="AV1173" s="59"/>
      <c r="AW1173" s="59"/>
      <c r="AX1173" s="60"/>
      <c r="AY1173" s="61" t="str">
        <f t="shared" si="585"/>
        <v/>
      </c>
      <c r="AZ1173" s="62" t="str">
        <f t="shared" si="576"/>
        <v/>
      </c>
      <c r="BA1173" s="61" t="str">
        <f t="shared" si="577"/>
        <v/>
      </c>
      <c r="BB1173" s="62" t="str">
        <f t="shared" si="578"/>
        <v/>
      </c>
    </row>
    <row r="1174" spans="1:54" s="3" customFormat="1" hidden="1" x14ac:dyDescent="0.35">
      <c r="A1174" s="73">
        <f t="shared" si="561"/>
        <v>2019</v>
      </c>
      <c r="B1174" s="73" t="str">
        <f t="shared" si="562"/>
        <v>Nov</v>
      </c>
      <c r="C1174" s="74">
        <f t="shared" si="579"/>
        <v>17</v>
      </c>
      <c r="D1174" s="75">
        <f t="shared" si="563"/>
        <v>10</v>
      </c>
      <c r="E1174" s="76">
        <f t="shared" si="564"/>
        <v>46</v>
      </c>
      <c r="F1174" s="80"/>
      <c r="G1174" s="83"/>
      <c r="H1174" s="69" t="str">
        <f t="shared" si="580"/>
        <v>Senbur6_20191117_10_00</v>
      </c>
      <c r="I1174" s="70">
        <f t="shared" si="588"/>
        <v>1</v>
      </c>
      <c r="J1174" s="77" t="str">
        <f t="shared" si="588"/>
        <v>Senecio</v>
      </c>
      <c r="K1174" s="77" t="str">
        <f t="shared" si="588"/>
        <v>burtoni</v>
      </c>
      <c r="L1174" s="78">
        <f t="shared" si="588"/>
        <v>6</v>
      </c>
      <c r="M1174" s="78">
        <f t="shared" si="588"/>
        <v>12</v>
      </c>
      <c r="N1174" s="72">
        <f t="shared" si="588"/>
        <v>0</v>
      </c>
      <c r="O1174" s="45"/>
      <c r="P1174" s="46" t="str">
        <f t="shared" si="565"/>
        <v/>
      </c>
      <c r="Q1174" s="47" t="str">
        <f t="shared" si="566"/>
        <v/>
      </c>
      <c r="R1174" s="48" t="e">
        <f t="shared" si="567"/>
        <v>#VALUE!</v>
      </c>
      <c r="S1174" s="49" t="e">
        <f t="shared" si="560"/>
        <v>#VALUE!</v>
      </c>
      <c r="T1174" s="48" t="str">
        <f t="shared" si="568"/>
        <v/>
      </c>
      <c r="U1174" s="50"/>
      <c r="V1174" s="51"/>
      <c r="W1174" s="52" t="e">
        <f t="shared" si="569"/>
        <v>#VALUE!</v>
      </c>
      <c r="X1174" s="53"/>
      <c r="Y1174" s="53"/>
      <c r="Z1174" s="53"/>
      <c r="AA1174" s="48" t="e">
        <f>INDEX([1]!VISITORS[INSECT ORDER], MATCH(X1174,[1]!VISITORS[NAME USED],0))</f>
        <v>#REF!</v>
      </c>
      <c r="AB1174" s="48" t="e">
        <f t="shared" si="570"/>
        <v>#REF!</v>
      </c>
      <c r="AC1174" s="54" t="e">
        <f t="shared" si="571"/>
        <v>#VALUE!</v>
      </c>
      <c r="AD1174" s="55" t="str">
        <f t="shared" si="586"/>
        <v/>
      </c>
      <c r="AE1174" s="55"/>
      <c r="AF1174" s="55"/>
      <c r="AG1174" s="56" t="str">
        <f t="shared" si="587"/>
        <v/>
      </c>
      <c r="AH1174" s="57" t="str">
        <f t="shared" si="582"/>
        <v/>
      </c>
      <c r="AI1174" s="56"/>
      <c r="AJ1174" s="57" t="str">
        <f t="shared" si="583"/>
        <v/>
      </c>
      <c r="AK1174" s="56"/>
      <c r="AL1174" s="57" t="str">
        <f t="shared" si="584"/>
        <v/>
      </c>
      <c r="AM1174" s="56"/>
      <c r="AN1174" s="57" t="str">
        <f t="shared" si="572"/>
        <v/>
      </c>
      <c r="AO1174" s="56"/>
      <c r="AP1174" s="57" t="str">
        <f t="shared" si="573"/>
        <v/>
      </c>
      <c r="AQ1174" s="56"/>
      <c r="AR1174" s="57" t="str">
        <f t="shared" si="574"/>
        <v/>
      </c>
      <c r="AS1174" s="56"/>
      <c r="AT1174" s="57" t="str">
        <f t="shared" si="575"/>
        <v/>
      </c>
      <c r="AU1174" s="58"/>
      <c r="AV1174" s="59"/>
      <c r="AW1174" s="59"/>
      <c r="AX1174" s="60"/>
      <c r="AY1174" s="61" t="str">
        <f t="shared" si="585"/>
        <v/>
      </c>
      <c r="AZ1174" s="62" t="str">
        <f t="shared" si="576"/>
        <v/>
      </c>
      <c r="BA1174" s="61" t="str">
        <f t="shared" si="577"/>
        <v/>
      </c>
      <c r="BB1174" s="62" t="str">
        <f t="shared" si="578"/>
        <v/>
      </c>
    </row>
    <row r="1175" spans="1:54" s="3" customFormat="1" hidden="1" x14ac:dyDescent="0.35">
      <c r="A1175" s="73">
        <f t="shared" si="561"/>
        <v>2019</v>
      </c>
      <c r="B1175" s="73" t="str">
        <f t="shared" si="562"/>
        <v>Nov</v>
      </c>
      <c r="C1175" s="74">
        <f t="shared" si="579"/>
        <v>17</v>
      </c>
      <c r="D1175" s="75">
        <f t="shared" si="563"/>
        <v>10</v>
      </c>
      <c r="E1175" s="76">
        <f t="shared" si="564"/>
        <v>47</v>
      </c>
      <c r="F1175" s="80">
        <v>2</v>
      </c>
      <c r="G1175" s="83"/>
      <c r="H1175" s="69" t="str">
        <f t="shared" si="580"/>
        <v>Senbur6_20191117_10_00</v>
      </c>
      <c r="I1175" s="70">
        <f t="shared" si="588"/>
        <v>1</v>
      </c>
      <c r="J1175" s="77" t="str">
        <f t="shared" si="588"/>
        <v>Senecio</v>
      </c>
      <c r="K1175" s="77" t="str">
        <f t="shared" si="588"/>
        <v>burtoni</v>
      </c>
      <c r="L1175" s="78">
        <f t="shared" si="588"/>
        <v>6</v>
      </c>
      <c r="M1175" s="78">
        <f t="shared" si="588"/>
        <v>12</v>
      </c>
      <c r="N1175" s="72">
        <f t="shared" si="588"/>
        <v>0</v>
      </c>
      <c r="O1175" s="45"/>
      <c r="P1175" s="46">
        <f t="shared" si="565"/>
        <v>1</v>
      </c>
      <c r="Q1175" s="47" t="str">
        <f t="shared" si="566"/>
        <v>10:47:02</v>
      </c>
      <c r="R1175" s="48" t="str">
        <f t="shared" si="567"/>
        <v>47:02</v>
      </c>
      <c r="S1175" s="49">
        <f t="shared" si="560"/>
        <v>8</v>
      </c>
      <c r="T1175" s="48" t="str">
        <f t="shared" si="568"/>
        <v>10</v>
      </c>
      <c r="U1175" s="50">
        <v>47</v>
      </c>
      <c r="V1175" s="51">
        <v>10</v>
      </c>
      <c r="W1175" s="52" t="str">
        <f t="shared" si="569"/>
        <v>47:10</v>
      </c>
      <c r="X1175" s="53" t="s">
        <v>61</v>
      </c>
      <c r="Y1175" s="97" t="s">
        <v>96</v>
      </c>
      <c r="Z1175" s="97" t="s">
        <v>80</v>
      </c>
      <c r="AA1175" s="48" t="s">
        <v>60</v>
      </c>
      <c r="AB1175" s="48" t="str">
        <f t="shared" si="570"/>
        <v>NA</v>
      </c>
      <c r="AC1175" s="54">
        <f t="shared" si="571"/>
        <v>0</v>
      </c>
      <c r="AD1175" s="55">
        <f t="shared" si="586"/>
        <v>1</v>
      </c>
      <c r="AE1175" s="55"/>
      <c r="AF1175" s="55"/>
      <c r="AG1175" s="56">
        <v>1</v>
      </c>
      <c r="AH1175" s="57">
        <f t="shared" si="582"/>
        <v>8</v>
      </c>
      <c r="AI1175" s="56"/>
      <c r="AJ1175" s="57" t="str">
        <f t="shared" si="583"/>
        <v/>
      </c>
      <c r="AK1175" s="56"/>
      <c r="AL1175" s="57" t="str">
        <f t="shared" si="584"/>
        <v/>
      </c>
      <c r="AM1175" s="56"/>
      <c r="AN1175" s="57" t="str">
        <f t="shared" si="572"/>
        <v/>
      </c>
      <c r="AO1175" s="56"/>
      <c r="AP1175" s="57" t="str">
        <f t="shared" si="573"/>
        <v/>
      </c>
      <c r="AQ1175" s="56"/>
      <c r="AR1175" s="57" t="str">
        <f t="shared" si="574"/>
        <v/>
      </c>
      <c r="AS1175" s="56"/>
      <c r="AT1175" s="57" t="str">
        <f t="shared" si="575"/>
        <v/>
      </c>
      <c r="AU1175" s="58"/>
      <c r="AV1175" s="59"/>
      <c r="AW1175" s="59"/>
      <c r="AX1175" s="60"/>
      <c r="AY1175" s="61">
        <v>1</v>
      </c>
      <c r="AZ1175" s="62">
        <f t="shared" si="576"/>
        <v>1</v>
      </c>
      <c r="BA1175" s="61">
        <f t="shared" si="577"/>
        <v>0</v>
      </c>
      <c r="BB1175" s="62" t="str">
        <f t="shared" si="578"/>
        <v/>
      </c>
    </row>
    <row r="1176" spans="1:54" s="3" customFormat="1" hidden="1" x14ac:dyDescent="0.35">
      <c r="A1176" s="73">
        <f t="shared" si="561"/>
        <v>2019</v>
      </c>
      <c r="B1176" s="73" t="str">
        <f t="shared" si="562"/>
        <v>Nov</v>
      </c>
      <c r="C1176" s="74">
        <f t="shared" si="579"/>
        <v>17</v>
      </c>
      <c r="D1176" s="75">
        <f t="shared" si="563"/>
        <v>10</v>
      </c>
      <c r="E1176" s="76">
        <f t="shared" si="564"/>
        <v>48</v>
      </c>
      <c r="F1176" s="80"/>
      <c r="G1176" s="83"/>
      <c r="H1176" s="69" t="str">
        <f t="shared" si="580"/>
        <v>Senbur6_20191117_10_00</v>
      </c>
      <c r="I1176" s="70">
        <f t="shared" si="588"/>
        <v>1</v>
      </c>
      <c r="J1176" s="77" t="str">
        <f t="shared" si="588"/>
        <v>Senecio</v>
      </c>
      <c r="K1176" s="77" t="str">
        <f t="shared" si="588"/>
        <v>burtoni</v>
      </c>
      <c r="L1176" s="78">
        <f t="shared" si="588"/>
        <v>6</v>
      </c>
      <c r="M1176" s="78">
        <f t="shared" si="588"/>
        <v>12</v>
      </c>
      <c r="N1176" s="72">
        <f t="shared" si="588"/>
        <v>0</v>
      </c>
      <c r="O1176" s="45"/>
      <c r="P1176" s="46" t="str">
        <f t="shared" si="565"/>
        <v/>
      </c>
      <c r="Q1176" s="47" t="str">
        <f t="shared" si="566"/>
        <v/>
      </c>
      <c r="R1176" s="48" t="e">
        <f t="shared" si="567"/>
        <v>#VALUE!</v>
      </c>
      <c r="S1176" s="49" t="e">
        <f t="shared" si="560"/>
        <v>#VALUE!</v>
      </c>
      <c r="T1176" s="48" t="str">
        <f t="shared" si="568"/>
        <v/>
      </c>
      <c r="U1176" s="50"/>
      <c r="V1176" s="51"/>
      <c r="W1176" s="52" t="e">
        <f t="shared" si="569"/>
        <v>#VALUE!</v>
      </c>
      <c r="X1176" s="53"/>
      <c r="Y1176" s="53"/>
      <c r="Z1176" s="53"/>
      <c r="AA1176" s="48" t="e">
        <f>INDEX([1]!VISITORS[INSECT ORDER], MATCH(X1176,[1]!VISITORS[NAME USED],0))</f>
        <v>#REF!</v>
      </c>
      <c r="AB1176" s="48" t="e">
        <f t="shared" si="570"/>
        <v>#REF!</v>
      </c>
      <c r="AC1176" s="54" t="e">
        <f t="shared" si="571"/>
        <v>#VALUE!</v>
      </c>
      <c r="AD1176" s="55" t="str">
        <f t="shared" si="586"/>
        <v/>
      </c>
      <c r="AE1176" s="55"/>
      <c r="AF1176" s="55"/>
      <c r="AG1176" s="56" t="str">
        <f t="shared" si="587"/>
        <v/>
      </c>
      <c r="AH1176" s="57" t="str">
        <f t="shared" si="582"/>
        <v/>
      </c>
      <c r="AI1176" s="56"/>
      <c r="AJ1176" s="57" t="str">
        <f t="shared" si="583"/>
        <v/>
      </c>
      <c r="AK1176" s="56"/>
      <c r="AL1176" s="57" t="str">
        <f t="shared" si="584"/>
        <v/>
      </c>
      <c r="AM1176" s="56"/>
      <c r="AN1176" s="57" t="str">
        <f t="shared" si="572"/>
        <v/>
      </c>
      <c r="AO1176" s="56"/>
      <c r="AP1176" s="57" t="str">
        <f t="shared" si="573"/>
        <v/>
      </c>
      <c r="AQ1176" s="56"/>
      <c r="AR1176" s="57" t="str">
        <f t="shared" si="574"/>
        <v/>
      </c>
      <c r="AS1176" s="56"/>
      <c r="AT1176" s="57" t="str">
        <f t="shared" si="575"/>
        <v/>
      </c>
      <c r="AU1176" s="58"/>
      <c r="AV1176" s="59"/>
      <c r="AW1176" s="59"/>
      <c r="AX1176" s="60"/>
      <c r="AY1176" s="61" t="str">
        <f t="shared" si="585"/>
        <v/>
      </c>
      <c r="AZ1176" s="62" t="str">
        <f t="shared" si="576"/>
        <v/>
      </c>
      <c r="BA1176" s="61" t="str">
        <f t="shared" si="577"/>
        <v/>
      </c>
      <c r="BB1176" s="62" t="str">
        <f t="shared" si="578"/>
        <v/>
      </c>
    </row>
    <row r="1177" spans="1:54" s="3" customFormat="1" hidden="1" x14ac:dyDescent="0.35">
      <c r="A1177" s="73">
        <f t="shared" si="561"/>
        <v>2019</v>
      </c>
      <c r="B1177" s="73" t="str">
        <f t="shared" si="562"/>
        <v>Nov</v>
      </c>
      <c r="C1177" s="74">
        <f t="shared" si="579"/>
        <v>17</v>
      </c>
      <c r="D1177" s="75">
        <f t="shared" si="563"/>
        <v>10</v>
      </c>
      <c r="E1177" s="76">
        <f t="shared" si="564"/>
        <v>49</v>
      </c>
      <c r="F1177" s="80"/>
      <c r="G1177" s="83"/>
      <c r="H1177" s="69" t="str">
        <f t="shared" si="580"/>
        <v>Senbur6_20191117_10_00</v>
      </c>
      <c r="I1177" s="70">
        <f t="shared" si="588"/>
        <v>1</v>
      </c>
      <c r="J1177" s="77" t="str">
        <f t="shared" si="588"/>
        <v>Senecio</v>
      </c>
      <c r="K1177" s="77" t="str">
        <f t="shared" si="588"/>
        <v>burtoni</v>
      </c>
      <c r="L1177" s="78">
        <f t="shared" si="588"/>
        <v>6</v>
      </c>
      <c r="M1177" s="78">
        <f t="shared" si="588"/>
        <v>12</v>
      </c>
      <c r="N1177" s="72">
        <f t="shared" si="588"/>
        <v>0</v>
      </c>
      <c r="O1177" s="45"/>
      <c r="P1177" s="46" t="str">
        <f t="shared" si="565"/>
        <v/>
      </c>
      <c r="Q1177" s="47" t="str">
        <f t="shared" si="566"/>
        <v/>
      </c>
      <c r="R1177" s="48" t="e">
        <f t="shared" si="567"/>
        <v>#VALUE!</v>
      </c>
      <c r="S1177" s="49" t="e">
        <f t="shared" si="560"/>
        <v>#VALUE!</v>
      </c>
      <c r="T1177" s="48" t="str">
        <f t="shared" si="568"/>
        <v/>
      </c>
      <c r="U1177" s="50"/>
      <c r="V1177" s="51"/>
      <c r="W1177" s="52" t="e">
        <f t="shared" si="569"/>
        <v>#VALUE!</v>
      </c>
      <c r="X1177" s="53"/>
      <c r="Y1177" s="53"/>
      <c r="Z1177" s="53"/>
      <c r="AA1177" s="48" t="e">
        <f>INDEX([1]!VISITORS[INSECT ORDER], MATCH(X1177,[1]!VISITORS[NAME USED],0))</f>
        <v>#REF!</v>
      </c>
      <c r="AB1177" s="48" t="e">
        <f t="shared" si="570"/>
        <v>#REF!</v>
      </c>
      <c r="AC1177" s="54" t="e">
        <f t="shared" si="571"/>
        <v>#VALUE!</v>
      </c>
      <c r="AD1177" s="55" t="str">
        <f t="shared" si="586"/>
        <v/>
      </c>
      <c r="AE1177" s="55"/>
      <c r="AF1177" s="55"/>
      <c r="AG1177" s="56" t="str">
        <f t="shared" si="587"/>
        <v/>
      </c>
      <c r="AH1177" s="57" t="str">
        <f t="shared" si="582"/>
        <v/>
      </c>
      <c r="AI1177" s="56"/>
      <c r="AJ1177" s="57" t="str">
        <f t="shared" si="583"/>
        <v/>
      </c>
      <c r="AK1177" s="56"/>
      <c r="AL1177" s="57" t="str">
        <f t="shared" si="584"/>
        <v/>
      </c>
      <c r="AM1177" s="56"/>
      <c r="AN1177" s="57" t="str">
        <f t="shared" si="572"/>
        <v/>
      </c>
      <c r="AO1177" s="56"/>
      <c r="AP1177" s="57" t="str">
        <f t="shared" si="573"/>
        <v/>
      </c>
      <c r="AQ1177" s="56"/>
      <c r="AR1177" s="57" t="str">
        <f t="shared" si="574"/>
        <v/>
      </c>
      <c r="AS1177" s="56"/>
      <c r="AT1177" s="57" t="str">
        <f t="shared" si="575"/>
        <v/>
      </c>
      <c r="AU1177" s="58"/>
      <c r="AV1177" s="59"/>
      <c r="AW1177" s="59"/>
      <c r="AX1177" s="60"/>
      <c r="AY1177" s="61" t="str">
        <f t="shared" si="585"/>
        <v/>
      </c>
      <c r="AZ1177" s="62" t="str">
        <f t="shared" si="576"/>
        <v/>
      </c>
      <c r="BA1177" s="61" t="str">
        <f t="shared" si="577"/>
        <v/>
      </c>
      <c r="BB1177" s="62" t="str">
        <f t="shared" si="578"/>
        <v/>
      </c>
    </row>
    <row r="1178" spans="1:54" s="3" customFormat="1" hidden="1" x14ac:dyDescent="0.35">
      <c r="A1178" s="73">
        <f t="shared" si="561"/>
        <v>2019</v>
      </c>
      <c r="B1178" s="73" t="str">
        <f t="shared" si="562"/>
        <v>Nov</v>
      </c>
      <c r="C1178" s="74">
        <f t="shared" si="579"/>
        <v>17</v>
      </c>
      <c r="D1178" s="75">
        <f t="shared" si="563"/>
        <v>10</v>
      </c>
      <c r="E1178" s="76">
        <f t="shared" si="564"/>
        <v>50</v>
      </c>
      <c r="F1178" s="80"/>
      <c r="G1178" s="83"/>
      <c r="H1178" s="69" t="str">
        <f t="shared" si="580"/>
        <v>Senbur6_20191117_10_00</v>
      </c>
      <c r="I1178" s="70">
        <f t="shared" si="588"/>
        <v>1</v>
      </c>
      <c r="J1178" s="77" t="str">
        <f t="shared" si="588"/>
        <v>Senecio</v>
      </c>
      <c r="K1178" s="77" t="str">
        <f t="shared" si="588"/>
        <v>burtoni</v>
      </c>
      <c r="L1178" s="78">
        <f t="shared" si="588"/>
        <v>6</v>
      </c>
      <c r="M1178" s="78">
        <f t="shared" si="588"/>
        <v>12</v>
      </c>
      <c r="N1178" s="72">
        <f t="shared" si="588"/>
        <v>0</v>
      </c>
      <c r="O1178" s="45"/>
      <c r="P1178" s="46" t="str">
        <f t="shared" si="565"/>
        <v/>
      </c>
      <c r="Q1178" s="47" t="str">
        <f t="shared" si="566"/>
        <v/>
      </c>
      <c r="R1178" s="48" t="e">
        <f t="shared" si="567"/>
        <v>#VALUE!</v>
      </c>
      <c r="S1178" s="49" t="e">
        <f t="shared" si="560"/>
        <v>#VALUE!</v>
      </c>
      <c r="T1178" s="48" t="str">
        <f t="shared" si="568"/>
        <v/>
      </c>
      <c r="U1178" s="50"/>
      <c r="V1178" s="51"/>
      <c r="W1178" s="52" t="e">
        <f t="shared" si="569"/>
        <v>#VALUE!</v>
      </c>
      <c r="X1178" s="53"/>
      <c r="Y1178" s="53"/>
      <c r="Z1178" s="53"/>
      <c r="AA1178" s="48" t="e">
        <f>INDEX([1]!VISITORS[INSECT ORDER], MATCH(X1178,[1]!VISITORS[NAME USED],0))</f>
        <v>#REF!</v>
      </c>
      <c r="AB1178" s="48" t="e">
        <f t="shared" si="570"/>
        <v>#REF!</v>
      </c>
      <c r="AC1178" s="54" t="e">
        <f t="shared" si="571"/>
        <v>#VALUE!</v>
      </c>
      <c r="AD1178" s="55" t="str">
        <f t="shared" si="586"/>
        <v/>
      </c>
      <c r="AE1178" s="55"/>
      <c r="AF1178" s="55"/>
      <c r="AG1178" s="56" t="str">
        <f t="shared" si="587"/>
        <v/>
      </c>
      <c r="AH1178" s="57" t="str">
        <f t="shared" si="582"/>
        <v/>
      </c>
      <c r="AI1178" s="56"/>
      <c r="AJ1178" s="57" t="str">
        <f t="shared" si="583"/>
        <v/>
      </c>
      <c r="AK1178" s="56"/>
      <c r="AL1178" s="57" t="str">
        <f t="shared" si="584"/>
        <v/>
      </c>
      <c r="AM1178" s="56"/>
      <c r="AN1178" s="57" t="str">
        <f t="shared" si="572"/>
        <v/>
      </c>
      <c r="AO1178" s="56"/>
      <c r="AP1178" s="57" t="str">
        <f t="shared" si="573"/>
        <v/>
      </c>
      <c r="AQ1178" s="56"/>
      <c r="AR1178" s="57" t="str">
        <f t="shared" si="574"/>
        <v/>
      </c>
      <c r="AS1178" s="56"/>
      <c r="AT1178" s="57" t="str">
        <f t="shared" si="575"/>
        <v/>
      </c>
      <c r="AU1178" s="58"/>
      <c r="AV1178" s="59"/>
      <c r="AW1178" s="59"/>
      <c r="AX1178" s="60"/>
      <c r="AY1178" s="61" t="str">
        <f t="shared" si="585"/>
        <v/>
      </c>
      <c r="AZ1178" s="62" t="str">
        <f t="shared" si="576"/>
        <v/>
      </c>
      <c r="BA1178" s="61" t="str">
        <f t="shared" si="577"/>
        <v/>
      </c>
      <c r="BB1178" s="62" t="str">
        <f t="shared" si="578"/>
        <v/>
      </c>
    </row>
    <row r="1179" spans="1:54" s="3" customFormat="1" hidden="1" x14ac:dyDescent="0.35">
      <c r="A1179" s="73">
        <f t="shared" si="561"/>
        <v>2019</v>
      </c>
      <c r="B1179" s="73" t="str">
        <f t="shared" si="562"/>
        <v>Nov</v>
      </c>
      <c r="C1179" s="74">
        <f t="shared" si="579"/>
        <v>17</v>
      </c>
      <c r="D1179" s="75">
        <f t="shared" si="563"/>
        <v>10</v>
      </c>
      <c r="E1179" s="76">
        <f t="shared" si="564"/>
        <v>51</v>
      </c>
      <c r="F1179" s="80"/>
      <c r="G1179" s="83"/>
      <c r="H1179" s="69" t="str">
        <f t="shared" si="580"/>
        <v>Senbur6_20191117_10_00</v>
      </c>
      <c r="I1179" s="70">
        <f t="shared" si="588"/>
        <v>1</v>
      </c>
      <c r="J1179" s="77" t="str">
        <f t="shared" si="588"/>
        <v>Senecio</v>
      </c>
      <c r="K1179" s="77" t="str">
        <f t="shared" si="588"/>
        <v>burtoni</v>
      </c>
      <c r="L1179" s="78">
        <f t="shared" si="588"/>
        <v>6</v>
      </c>
      <c r="M1179" s="78">
        <f t="shared" si="588"/>
        <v>12</v>
      </c>
      <c r="N1179" s="72">
        <f t="shared" si="588"/>
        <v>0</v>
      </c>
      <c r="O1179" s="45"/>
      <c r="P1179" s="46" t="str">
        <f t="shared" si="565"/>
        <v/>
      </c>
      <c r="Q1179" s="47" t="str">
        <f t="shared" si="566"/>
        <v/>
      </c>
      <c r="R1179" s="48" t="e">
        <f t="shared" si="567"/>
        <v>#VALUE!</v>
      </c>
      <c r="S1179" s="49" t="e">
        <f t="shared" si="560"/>
        <v>#VALUE!</v>
      </c>
      <c r="T1179" s="48" t="str">
        <f t="shared" si="568"/>
        <v/>
      </c>
      <c r="U1179" s="50"/>
      <c r="V1179" s="51"/>
      <c r="W1179" s="52" t="e">
        <f t="shared" si="569"/>
        <v>#VALUE!</v>
      </c>
      <c r="X1179" s="53"/>
      <c r="Y1179" s="53"/>
      <c r="Z1179" s="53"/>
      <c r="AA1179" s="48" t="e">
        <f>INDEX([1]!VISITORS[INSECT ORDER], MATCH(X1179,[1]!VISITORS[NAME USED],0))</f>
        <v>#REF!</v>
      </c>
      <c r="AB1179" s="48" t="e">
        <f t="shared" si="570"/>
        <v>#REF!</v>
      </c>
      <c r="AC1179" s="54" t="e">
        <f t="shared" si="571"/>
        <v>#VALUE!</v>
      </c>
      <c r="AD1179" s="55" t="str">
        <f t="shared" si="586"/>
        <v/>
      </c>
      <c r="AE1179" s="55"/>
      <c r="AF1179" s="55"/>
      <c r="AG1179" s="56" t="str">
        <f t="shared" si="587"/>
        <v/>
      </c>
      <c r="AH1179" s="57" t="str">
        <f t="shared" si="582"/>
        <v/>
      </c>
      <c r="AI1179" s="56"/>
      <c r="AJ1179" s="57" t="str">
        <f t="shared" si="583"/>
        <v/>
      </c>
      <c r="AK1179" s="56"/>
      <c r="AL1179" s="57" t="str">
        <f t="shared" si="584"/>
        <v/>
      </c>
      <c r="AM1179" s="56"/>
      <c r="AN1179" s="57" t="str">
        <f t="shared" si="572"/>
        <v/>
      </c>
      <c r="AO1179" s="56"/>
      <c r="AP1179" s="57" t="str">
        <f t="shared" si="573"/>
        <v/>
      </c>
      <c r="AQ1179" s="56"/>
      <c r="AR1179" s="57" t="str">
        <f t="shared" si="574"/>
        <v/>
      </c>
      <c r="AS1179" s="56"/>
      <c r="AT1179" s="57" t="str">
        <f t="shared" si="575"/>
        <v/>
      </c>
      <c r="AU1179" s="58"/>
      <c r="AV1179" s="59"/>
      <c r="AW1179" s="59"/>
      <c r="AX1179" s="60"/>
      <c r="AY1179" s="61" t="str">
        <f t="shared" si="585"/>
        <v/>
      </c>
      <c r="AZ1179" s="62" t="str">
        <f t="shared" si="576"/>
        <v/>
      </c>
      <c r="BA1179" s="61" t="str">
        <f t="shared" si="577"/>
        <v/>
      </c>
      <c r="BB1179" s="62" t="str">
        <f t="shared" si="578"/>
        <v/>
      </c>
    </row>
    <row r="1180" spans="1:54" s="3" customFormat="1" hidden="1" x14ac:dyDescent="0.35">
      <c r="A1180" s="73">
        <f t="shared" si="561"/>
        <v>2019</v>
      </c>
      <c r="B1180" s="73" t="str">
        <f t="shared" si="562"/>
        <v>Nov</v>
      </c>
      <c r="C1180" s="74">
        <f t="shared" si="579"/>
        <v>17</v>
      </c>
      <c r="D1180" s="75">
        <f t="shared" si="563"/>
        <v>10</v>
      </c>
      <c r="E1180" s="76">
        <f t="shared" si="564"/>
        <v>52</v>
      </c>
      <c r="F1180" s="80">
        <v>18</v>
      </c>
      <c r="G1180" s="83"/>
      <c r="H1180" s="69" t="str">
        <f t="shared" si="580"/>
        <v>Senbur6_20191117_10_00</v>
      </c>
      <c r="I1180" s="70">
        <f t="shared" si="588"/>
        <v>1</v>
      </c>
      <c r="J1180" s="77" t="str">
        <f t="shared" si="588"/>
        <v>Senecio</v>
      </c>
      <c r="K1180" s="77" t="str">
        <f t="shared" si="588"/>
        <v>burtoni</v>
      </c>
      <c r="L1180" s="78">
        <f t="shared" si="588"/>
        <v>6</v>
      </c>
      <c r="M1180" s="78">
        <f t="shared" si="588"/>
        <v>12</v>
      </c>
      <c r="N1180" s="72">
        <f t="shared" si="588"/>
        <v>0</v>
      </c>
      <c r="O1180" s="45"/>
      <c r="P1180" s="46">
        <f t="shared" si="565"/>
        <v>1</v>
      </c>
      <c r="Q1180" s="47" t="str">
        <f t="shared" si="566"/>
        <v>10:52:18</v>
      </c>
      <c r="R1180" s="48" t="str">
        <f t="shared" si="567"/>
        <v>52:18</v>
      </c>
      <c r="S1180" s="49">
        <f t="shared" si="560"/>
        <v>16</v>
      </c>
      <c r="T1180" s="48" t="str">
        <f t="shared" si="568"/>
        <v>10</v>
      </c>
      <c r="U1180" s="50">
        <v>52</v>
      </c>
      <c r="V1180" s="51">
        <v>34</v>
      </c>
      <c r="W1180" s="52" t="str">
        <f t="shared" si="569"/>
        <v>52:34</v>
      </c>
      <c r="X1180" s="53" t="s">
        <v>62</v>
      </c>
      <c r="Y1180" s="97" t="s">
        <v>81</v>
      </c>
      <c r="Z1180" s="97"/>
      <c r="AA1180" s="48" t="s">
        <v>63</v>
      </c>
      <c r="AB1180" s="48" t="str">
        <f t="shared" si="570"/>
        <v>NA</v>
      </c>
      <c r="AC1180" s="54">
        <f t="shared" si="571"/>
        <v>0</v>
      </c>
      <c r="AD1180" s="55">
        <v>2</v>
      </c>
      <c r="AE1180" s="55"/>
      <c r="AF1180" s="55"/>
      <c r="AG1180" s="56">
        <v>1</v>
      </c>
      <c r="AH1180" s="57">
        <v>4</v>
      </c>
      <c r="AI1180" s="56">
        <v>1</v>
      </c>
      <c r="AJ1180" s="57">
        <v>1</v>
      </c>
      <c r="AK1180" s="56">
        <v>1</v>
      </c>
      <c r="AL1180" s="57">
        <v>11</v>
      </c>
      <c r="AM1180" s="56"/>
      <c r="AN1180" s="57" t="str">
        <f t="shared" si="572"/>
        <v/>
      </c>
      <c r="AO1180" s="56"/>
      <c r="AP1180" s="57" t="str">
        <f t="shared" si="573"/>
        <v/>
      </c>
      <c r="AQ1180" s="56"/>
      <c r="AR1180" s="57" t="str">
        <f t="shared" si="574"/>
        <v/>
      </c>
      <c r="AS1180" s="56"/>
      <c r="AT1180" s="57" t="str">
        <f t="shared" si="575"/>
        <v/>
      </c>
      <c r="AU1180" s="58"/>
      <c r="AV1180" s="59"/>
      <c r="AW1180" s="59"/>
      <c r="AX1180" s="60"/>
      <c r="AY1180" s="61">
        <v>1</v>
      </c>
      <c r="AZ1180" s="62">
        <v>1</v>
      </c>
      <c r="BA1180" s="61">
        <f t="shared" si="577"/>
        <v>0</v>
      </c>
      <c r="BB1180" s="62" t="str">
        <f t="shared" si="578"/>
        <v/>
      </c>
    </row>
    <row r="1181" spans="1:54" s="3" customFormat="1" hidden="1" x14ac:dyDescent="0.35">
      <c r="A1181" s="73">
        <f t="shared" si="561"/>
        <v>2019</v>
      </c>
      <c r="B1181" s="73" t="str">
        <f t="shared" si="562"/>
        <v>Nov</v>
      </c>
      <c r="C1181" s="74">
        <f t="shared" si="579"/>
        <v>17</v>
      </c>
      <c r="D1181" s="75">
        <f t="shared" si="563"/>
        <v>10</v>
      </c>
      <c r="E1181" s="76">
        <f t="shared" si="564"/>
        <v>53</v>
      </c>
      <c r="F1181" s="80"/>
      <c r="G1181" s="83"/>
      <c r="H1181" s="69" t="str">
        <f t="shared" si="580"/>
        <v>Senbur6_20191117_10_00</v>
      </c>
      <c r="I1181" s="70">
        <f t="shared" si="588"/>
        <v>1</v>
      </c>
      <c r="J1181" s="77" t="str">
        <f t="shared" si="588"/>
        <v>Senecio</v>
      </c>
      <c r="K1181" s="77" t="str">
        <f t="shared" si="588"/>
        <v>burtoni</v>
      </c>
      <c r="L1181" s="78">
        <f t="shared" si="588"/>
        <v>6</v>
      </c>
      <c r="M1181" s="78">
        <f t="shared" si="588"/>
        <v>12</v>
      </c>
      <c r="N1181" s="72">
        <f t="shared" si="588"/>
        <v>0</v>
      </c>
      <c r="O1181" s="45"/>
      <c r="P1181" s="46" t="str">
        <f t="shared" si="565"/>
        <v/>
      </c>
      <c r="Q1181" s="47" t="str">
        <f t="shared" si="566"/>
        <v/>
      </c>
      <c r="R1181" s="48" t="e">
        <f t="shared" si="567"/>
        <v>#VALUE!</v>
      </c>
      <c r="S1181" s="49" t="e">
        <f t="shared" si="560"/>
        <v>#VALUE!</v>
      </c>
      <c r="T1181" s="48" t="str">
        <f t="shared" si="568"/>
        <v/>
      </c>
      <c r="U1181" s="50"/>
      <c r="V1181" s="51"/>
      <c r="W1181" s="52" t="e">
        <f t="shared" si="569"/>
        <v>#VALUE!</v>
      </c>
      <c r="X1181" s="53"/>
      <c r="Y1181" s="53"/>
      <c r="Z1181" s="53"/>
      <c r="AA1181" s="48" t="e">
        <f>INDEX([1]!VISITORS[INSECT ORDER], MATCH(X1181,[1]!VISITORS[NAME USED],0))</f>
        <v>#REF!</v>
      </c>
      <c r="AB1181" s="48" t="e">
        <f t="shared" si="570"/>
        <v>#REF!</v>
      </c>
      <c r="AC1181" s="54" t="e">
        <f t="shared" si="571"/>
        <v>#VALUE!</v>
      </c>
      <c r="AD1181" s="55" t="str">
        <f t="shared" si="586"/>
        <v/>
      </c>
      <c r="AE1181" s="55"/>
      <c r="AF1181" s="55"/>
      <c r="AG1181" s="56" t="str">
        <f t="shared" si="587"/>
        <v/>
      </c>
      <c r="AH1181" s="57" t="str">
        <f t="shared" si="582"/>
        <v/>
      </c>
      <c r="AI1181" s="56"/>
      <c r="AJ1181" s="57" t="str">
        <f t="shared" si="583"/>
        <v/>
      </c>
      <c r="AK1181" s="56"/>
      <c r="AL1181" s="57" t="str">
        <f t="shared" si="584"/>
        <v/>
      </c>
      <c r="AM1181" s="56"/>
      <c r="AN1181" s="57" t="str">
        <f t="shared" si="572"/>
        <v/>
      </c>
      <c r="AO1181" s="56"/>
      <c r="AP1181" s="57" t="str">
        <f t="shared" si="573"/>
        <v/>
      </c>
      <c r="AQ1181" s="56"/>
      <c r="AR1181" s="57" t="str">
        <f t="shared" si="574"/>
        <v/>
      </c>
      <c r="AS1181" s="56"/>
      <c r="AT1181" s="57" t="str">
        <f t="shared" si="575"/>
        <v/>
      </c>
      <c r="AU1181" s="58"/>
      <c r="AV1181" s="59"/>
      <c r="AW1181" s="59"/>
      <c r="AX1181" s="60"/>
      <c r="AY1181" s="61" t="str">
        <f t="shared" si="585"/>
        <v/>
      </c>
      <c r="AZ1181" s="62" t="str">
        <f t="shared" si="576"/>
        <v/>
      </c>
      <c r="BA1181" s="61" t="str">
        <f t="shared" si="577"/>
        <v/>
      </c>
      <c r="BB1181" s="62" t="str">
        <f t="shared" si="578"/>
        <v/>
      </c>
    </row>
    <row r="1182" spans="1:54" s="3" customFormat="1" hidden="1" x14ac:dyDescent="0.35">
      <c r="A1182" s="73">
        <f t="shared" si="561"/>
        <v>2019</v>
      </c>
      <c r="B1182" s="73" t="str">
        <f t="shared" si="562"/>
        <v>Nov</v>
      </c>
      <c r="C1182" s="74">
        <f t="shared" si="579"/>
        <v>17</v>
      </c>
      <c r="D1182" s="75">
        <f t="shared" si="563"/>
        <v>10</v>
      </c>
      <c r="E1182" s="76">
        <f t="shared" si="564"/>
        <v>54</v>
      </c>
      <c r="F1182" s="80">
        <v>50</v>
      </c>
      <c r="G1182" s="83"/>
      <c r="H1182" s="69" t="str">
        <f t="shared" si="580"/>
        <v>Senbur6_20191117_10_00</v>
      </c>
      <c r="I1182" s="70">
        <f t="shared" si="588"/>
        <v>1</v>
      </c>
      <c r="J1182" s="77" t="str">
        <f t="shared" si="588"/>
        <v>Senecio</v>
      </c>
      <c r="K1182" s="77" t="str">
        <f t="shared" si="588"/>
        <v>burtoni</v>
      </c>
      <c r="L1182" s="78">
        <f t="shared" si="588"/>
        <v>6</v>
      </c>
      <c r="M1182" s="78">
        <f t="shared" si="588"/>
        <v>12</v>
      </c>
      <c r="N1182" s="72">
        <f t="shared" si="588"/>
        <v>0</v>
      </c>
      <c r="O1182" s="45"/>
      <c r="P1182" s="46">
        <f t="shared" si="565"/>
        <v>1</v>
      </c>
      <c r="Q1182" s="47" t="str">
        <f t="shared" si="566"/>
        <v>10:54:50</v>
      </c>
      <c r="R1182" s="48" t="str">
        <f t="shared" si="567"/>
        <v>54:50</v>
      </c>
      <c r="S1182" s="49">
        <f t="shared" si="560"/>
        <v>24</v>
      </c>
      <c r="T1182" s="48" t="str">
        <f t="shared" si="568"/>
        <v>10</v>
      </c>
      <c r="U1182" s="50">
        <v>55</v>
      </c>
      <c r="V1182" s="51">
        <v>14</v>
      </c>
      <c r="W1182" s="52" t="str">
        <f t="shared" si="569"/>
        <v>55:14</v>
      </c>
      <c r="X1182" s="53" t="s">
        <v>62</v>
      </c>
      <c r="Y1182" s="97" t="s">
        <v>81</v>
      </c>
      <c r="Z1182" s="97"/>
      <c r="AA1182" s="48" t="s">
        <v>63</v>
      </c>
      <c r="AB1182" s="48" t="str">
        <f t="shared" si="570"/>
        <v>NA</v>
      </c>
      <c r="AC1182" s="54">
        <f t="shared" si="571"/>
        <v>0</v>
      </c>
      <c r="AD1182" s="55">
        <v>2</v>
      </c>
      <c r="AE1182" s="55"/>
      <c r="AF1182" s="55"/>
      <c r="AG1182" s="56">
        <v>1</v>
      </c>
      <c r="AH1182" s="57">
        <v>7</v>
      </c>
      <c r="AI1182" s="56"/>
      <c r="AJ1182" s="57" t="str">
        <f t="shared" si="583"/>
        <v/>
      </c>
      <c r="AK1182" s="56">
        <v>1</v>
      </c>
      <c r="AL1182" s="57">
        <v>17</v>
      </c>
      <c r="AM1182" s="56"/>
      <c r="AN1182" s="57" t="str">
        <f t="shared" si="572"/>
        <v/>
      </c>
      <c r="AO1182" s="56"/>
      <c r="AP1182" s="57" t="str">
        <f t="shared" si="573"/>
        <v/>
      </c>
      <c r="AQ1182" s="56"/>
      <c r="AR1182" s="57" t="str">
        <f t="shared" si="574"/>
        <v/>
      </c>
      <c r="AS1182" s="56"/>
      <c r="AT1182" s="57" t="str">
        <f t="shared" si="575"/>
        <v/>
      </c>
      <c r="AU1182" s="58"/>
      <c r="AV1182" s="59"/>
      <c r="AW1182" s="59"/>
      <c r="AX1182" s="60"/>
      <c r="AY1182" s="61">
        <v>1</v>
      </c>
      <c r="AZ1182" s="62">
        <f t="shared" si="576"/>
        <v>2</v>
      </c>
      <c r="BA1182" s="61">
        <f t="shared" si="577"/>
        <v>0</v>
      </c>
      <c r="BB1182" s="62" t="str">
        <f t="shared" si="578"/>
        <v/>
      </c>
    </row>
    <row r="1183" spans="1:54" s="3" customFormat="1" hidden="1" x14ac:dyDescent="0.35">
      <c r="A1183" s="73">
        <f t="shared" si="561"/>
        <v>2019</v>
      </c>
      <c r="B1183" s="73" t="str">
        <f t="shared" si="562"/>
        <v>Nov</v>
      </c>
      <c r="C1183" s="74">
        <f t="shared" si="579"/>
        <v>17</v>
      </c>
      <c r="D1183" s="75">
        <f t="shared" si="563"/>
        <v>10</v>
      </c>
      <c r="E1183" s="76">
        <f t="shared" si="564"/>
        <v>55</v>
      </c>
      <c r="F1183" s="80"/>
      <c r="G1183" s="83"/>
      <c r="H1183" s="69" t="str">
        <f t="shared" si="580"/>
        <v>Senbur6_20191117_10_00</v>
      </c>
      <c r="I1183" s="70">
        <f t="shared" si="588"/>
        <v>1</v>
      </c>
      <c r="J1183" s="77" t="str">
        <f t="shared" si="588"/>
        <v>Senecio</v>
      </c>
      <c r="K1183" s="77" t="str">
        <f t="shared" si="588"/>
        <v>burtoni</v>
      </c>
      <c r="L1183" s="78">
        <f t="shared" si="588"/>
        <v>6</v>
      </c>
      <c r="M1183" s="78">
        <f t="shared" si="588"/>
        <v>12</v>
      </c>
      <c r="N1183" s="72">
        <f t="shared" si="588"/>
        <v>0</v>
      </c>
      <c r="O1183" s="45"/>
      <c r="P1183" s="46" t="str">
        <f t="shared" si="565"/>
        <v/>
      </c>
      <c r="Q1183" s="47" t="str">
        <f t="shared" si="566"/>
        <v/>
      </c>
      <c r="R1183" s="48" t="e">
        <f t="shared" si="567"/>
        <v>#VALUE!</v>
      </c>
      <c r="S1183" s="49" t="e">
        <f t="shared" si="560"/>
        <v>#VALUE!</v>
      </c>
      <c r="T1183" s="48" t="str">
        <f t="shared" si="568"/>
        <v/>
      </c>
      <c r="U1183" s="50"/>
      <c r="V1183" s="51"/>
      <c r="W1183" s="52" t="e">
        <f t="shared" si="569"/>
        <v>#VALUE!</v>
      </c>
      <c r="X1183" s="53"/>
      <c r="Y1183" s="53"/>
      <c r="Z1183" s="53"/>
      <c r="AA1183" s="48" t="e">
        <f>INDEX([1]!VISITORS[INSECT ORDER], MATCH(X1183,[1]!VISITORS[NAME USED],0))</f>
        <v>#REF!</v>
      </c>
      <c r="AB1183" s="48" t="e">
        <f t="shared" si="570"/>
        <v>#REF!</v>
      </c>
      <c r="AC1183" s="54" t="e">
        <f t="shared" si="571"/>
        <v>#VALUE!</v>
      </c>
      <c r="AD1183" s="55" t="str">
        <f t="shared" si="586"/>
        <v/>
      </c>
      <c r="AE1183" s="55"/>
      <c r="AF1183" s="55"/>
      <c r="AG1183" s="56" t="str">
        <f t="shared" si="587"/>
        <v/>
      </c>
      <c r="AH1183" s="57" t="str">
        <f t="shared" si="582"/>
        <v/>
      </c>
      <c r="AI1183" s="56"/>
      <c r="AJ1183" s="57" t="str">
        <f t="shared" si="583"/>
        <v/>
      </c>
      <c r="AK1183" s="56"/>
      <c r="AL1183" s="57" t="str">
        <f t="shared" si="584"/>
        <v/>
      </c>
      <c r="AM1183" s="56"/>
      <c r="AN1183" s="57" t="str">
        <f t="shared" si="572"/>
        <v/>
      </c>
      <c r="AO1183" s="56"/>
      <c r="AP1183" s="57" t="str">
        <f t="shared" si="573"/>
        <v/>
      </c>
      <c r="AQ1183" s="56"/>
      <c r="AR1183" s="57" t="str">
        <f t="shared" si="574"/>
        <v/>
      </c>
      <c r="AS1183" s="56"/>
      <c r="AT1183" s="57" t="str">
        <f t="shared" si="575"/>
        <v/>
      </c>
      <c r="AU1183" s="58"/>
      <c r="AV1183" s="59"/>
      <c r="AW1183" s="59"/>
      <c r="AX1183" s="60"/>
      <c r="AY1183" s="61" t="str">
        <f t="shared" si="585"/>
        <v/>
      </c>
      <c r="AZ1183" s="62" t="str">
        <f t="shared" si="576"/>
        <v/>
      </c>
      <c r="BA1183" s="61" t="str">
        <f t="shared" si="577"/>
        <v/>
      </c>
      <c r="BB1183" s="62" t="str">
        <f t="shared" si="578"/>
        <v/>
      </c>
    </row>
    <row r="1184" spans="1:54" s="3" customFormat="1" hidden="1" x14ac:dyDescent="0.35">
      <c r="A1184" s="73">
        <f t="shared" si="561"/>
        <v>2019</v>
      </c>
      <c r="B1184" s="73" t="str">
        <f t="shared" si="562"/>
        <v>Nov</v>
      </c>
      <c r="C1184" s="74">
        <f t="shared" si="579"/>
        <v>17</v>
      </c>
      <c r="D1184" s="75">
        <f t="shared" si="563"/>
        <v>10</v>
      </c>
      <c r="E1184" s="76">
        <f t="shared" si="564"/>
        <v>56</v>
      </c>
      <c r="F1184" s="80">
        <v>41</v>
      </c>
      <c r="G1184" s="83"/>
      <c r="H1184" s="69" t="str">
        <f t="shared" si="580"/>
        <v>Senbur6_20191117_10_00</v>
      </c>
      <c r="I1184" s="70">
        <f t="shared" si="588"/>
        <v>1</v>
      </c>
      <c r="J1184" s="77" t="str">
        <f t="shared" si="588"/>
        <v>Senecio</v>
      </c>
      <c r="K1184" s="77" t="str">
        <f t="shared" si="588"/>
        <v>burtoni</v>
      </c>
      <c r="L1184" s="78">
        <f t="shared" si="588"/>
        <v>6</v>
      </c>
      <c r="M1184" s="78">
        <f t="shared" si="588"/>
        <v>12</v>
      </c>
      <c r="N1184" s="72">
        <f t="shared" si="588"/>
        <v>0</v>
      </c>
      <c r="O1184" s="45"/>
      <c r="P1184" s="46">
        <f t="shared" si="565"/>
        <v>1</v>
      </c>
      <c r="Q1184" s="47" t="str">
        <f t="shared" si="566"/>
        <v>10:56:41</v>
      </c>
      <c r="R1184" s="48" t="str">
        <f t="shared" si="567"/>
        <v>56:41</v>
      </c>
      <c r="S1184" s="49">
        <f t="shared" si="560"/>
        <v>53</v>
      </c>
      <c r="T1184" s="48" t="str">
        <f t="shared" si="568"/>
        <v>10</v>
      </c>
      <c r="U1184" s="50">
        <v>57</v>
      </c>
      <c r="V1184" s="51">
        <v>34</v>
      </c>
      <c r="W1184" s="52" t="str">
        <f t="shared" si="569"/>
        <v>57:34</v>
      </c>
      <c r="X1184" s="53" t="s">
        <v>70</v>
      </c>
      <c r="Y1184" s="97" t="s">
        <v>87</v>
      </c>
      <c r="Z1184" s="97"/>
      <c r="AA1184" s="48" t="s">
        <v>63</v>
      </c>
      <c r="AB1184" s="48" t="str">
        <f t="shared" si="570"/>
        <v>NA</v>
      </c>
      <c r="AC1184" s="54">
        <f t="shared" si="571"/>
        <v>0</v>
      </c>
      <c r="AD1184" s="55">
        <v>3</v>
      </c>
      <c r="AE1184" s="55"/>
      <c r="AF1184" s="55"/>
      <c r="AG1184" s="56">
        <v>1</v>
      </c>
      <c r="AH1184" s="57">
        <v>3</v>
      </c>
      <c r="AI1184" s="56">
        <v>1</v>
      </c>
      <c r="AJ1184" s="57">
        <v>3</v>
      </c>
      <c r="AK1184" s="56">
        <v>1</v>
      </c>
      <c r="AL1184" s="57">
        <v>47</v>
      </c>
      <c r="AM1184" s="56"/>
      <c r="AN1184" s="57" t="str">
        <f t="shared" si="572"/>
        <v/>
      </c>
      <c r="AO1184" s="56"/>
      <c r="AP1184" s="57" t="str">
        <f t="shared" si="573"/>
        <v/>
      </c>
      <c r="AQ1184" s="56"/>
      <c r="AR1184" s="57" t="str">
        <f t="shared" si="574"/>
        <v/>
      </c>
      <c r="AS1184" s="56"/>
      <c r="AT1184" s="57" t="str">
        <f t="shared" si="575"/>
        <v/>
      </c>
      <c r="AU1184" s="58"/>
      <c r="AV1184" s="59"/>
      <c r="AW1184" s="59"/>
      <c r="AX1184" s="60"/>
      <c r="AY1184" s="61">
        <v>1</v>
      </c>
      <c r="AZ1184" s="62">
        <f t="shared" si="576"/>
        <v>3</v>
      </c>
      <c r="BA1184" s="61">
        <f t="shared" si="577"/>
        <v>0</v>
      </c>
      <c r="BB1184" s="62" t="str">
        <f t="shared" si="578"/>
        <v/>
      </c>
    </row>
    <row r="1185" spans="1:54" s="3" customFormat="1" hidden="1" x14ac:dyDescent="0.35">
      <c r="A1185" s="73">
        <f t="shared" si="561"/>
        <v>2019</v>
      </c>
      <c r="B1185" s="73" t="str">
        <f t="shared" si="562"/>
        <v>Nov</v>
      </c>
      <c r="C1185" s="74">
        <f t="shared" si="579"/>
        <v>17</v>
      </c>
      <c r="D1185" s="75">
        <f t="shared" si="563"/>
        <v>10</v>
      </c>
      <c r="E1185" s="76">
        <f t="shared" si="564"/>
        <v>57</v>
      </c>
      <c r="F1185" s="80"/>
      <c r="G1185" s="83"/>
      <c r="H1185" s="69" t="str">
        <f t="shared" si="580"/>
        <v>Senbur6_20191117_10_00</v>
      </c>
      <c r="I1185" s="70">
        <f t="shared" si="588"/>
        <v>1</v>
      </c>
      <c r="J1185" s="77" t="str">
        <f t="shared" si="588"/>
        <v>Senecio</v>
      </c>
      <c r="K1185" s="77" t="str">
        <f t="shared" si="588"/>
        <v>burtoni</v>
      </c>
      <c r="L1185" s="78">
        <f t="shared" si="588"/>
        <v>6</v>
      </c>
      <c r="M1185" s="78">
        <f t="shared" si="588"/>
        <v>12</v>
      </c>
      <c r="N1185" s="72">
        <f t="shared" si="588"/>
        <v>0</v>
      </c>
      <c r="O1185" s="45"/>
      <c r="P1185" s="46" t="str">
        <f t="shared" si="565"/>
        <v/>
      </c>
      <c r="Q1185" s="47" t="str">
        <f t="shared" si="566"/>
        <v/>
      </c>
      <c r="R1185" s="48" t="e">
        <f t="shared" si="567"/>
        <v>#VALUE!</v>
      </c>
      <c r="S1185" s="49" t="e">
        <f t="shared" si="560"/>
        <v>#VALUE!</v>
      </c>
      <c r="T1185" s="48" t="str">
        <f t="shared" si="568"/>
        <v/>
      </c>
      <c r="U1185" s="50"/>
      <c r="V1185" s="51"/>
      <c r="W1185" s="52" t="e">
        <f t="shared" si="569"/>
        <v>#VALUE!</v>
      </c>
      <c r="X1185" s="53"/>
      <c r="Y1185" s="53"/>
      <c r="Z1185" s="53"/>
      <c r="AA1185" s="48" t="e">
        <f>INDEX([1]!VISITORS[INSECT ORDER], MATCH(X1185,[1]!VISITORS[NAME USED],0))</f>
        <v>#REF!</v>
      </c>
      <c r="AB1185" s="48" t="e">
        <f t="shared" si="570"/>
        <v>#REF!</v>
      </c>
      <c r="AC1185" s="54" t="e">
        <f t="shared" si="571"/>
        <v>#VALUE!</v>
      </c>
      <c r="AD1185" s="55" t="str">
        <f t="shared" si="586"/>
        <v/>
      </c>
      <c r="AE1185" s="55"/>
      <c r="AF1185" s="55"/>
      <c r="AG1185" s="56" t="str">
        <f t="shared" si="587"/>
        <v/>
      </c>
      <c r="AH1185" s="57" t="str">
        <f t="shared" si="582"/>
        <v/>
      </c>
      <c r="AI1185" s="56"/>
      <c r="AJ1185" s="57" t="str">
        <f t="shared" si="583"/>
        <v/>
      </c>
      <c r="AK1185" s="56"/>
      <c r="AL1185" s="57" t="str">
        <f t="shared" si="584"/>
        <v/>
      </c>
      <c r="AM1185" s="56"/>
      <c r="AN1185" s="57" t="str">
        <f t="shared" si="572"/>
        <v/>
      </c>
      <c r="AO1185" s="56"/>
      <c r="AP1185" s="57" t="str">
        <f t="shared" si="573"/>
        <v/>
      </c>
      <c r="AQ1185" s="56"/>
      <c r="AR1185" s="57" t="str">
        <f t="shared" si="574"/>
        <v/>
      </c>
      <c r="AS1185" s="56"/>
      <c r="AT1185" s="57" t="str">
        <f t="shared" si="575"/>
        <v/>
      </c>
      <c r="AU1185" s="58"/>
      <c r="AV1185" s="59"/>
      <c r="AW1185" s="59"/>
      <c r="AX1185" s="60"/>
      <c r="AY1185" s="61" t="str">
        <f t="shared" si="585"/>
        <v/>
      </c>
      <c r="AZ1185" s="62" t="str">
        <f t="shared" si="576"/>
        <v/>
      </c>
      <c r="BA1185" s="61" t="str">
        <f t="shared" si="577"/>
        <v/>
      </c>
      <c r="BB1185" s="62" t="str">
        <f t="shared" si="578"/>
        <v/>
      </c>
    </row>
    <row r="1186" spans="1:54" s="3" customFormat="1" hidden="1" x14ac:dyDescent="0.35">
      <c r="A1186" s="73">
        <f t="shared" si="561"/>
        <v>2019</v>
      </c>
      <c r="B1186" s="73" t="str">
        <f t="shared" si="562"/>
        <v>Nov</v>
      </c>
      <c r="C1186" s="74">
        <f t="shared" si="579"/>
        <v>17</v>
      </c>
      <c r="D1186" s="75">
        <f t="shared" si="563"/>
        <v>10</v>
      </c>
      <c r="E1186" s="76">
        <f t="shared" si="564"/>
        <v>58</v>
      </c>
      <c r="F1186" s="80"/>
      <c r="G1186" s="83"/>
      <c r="H1186" s="69" t="str">
        <f t="shared" si="580"/>
        <v>Senbur6_20191117_10_00</v>
      </c>
      <c r="I1186" s="70">
        <f t="shared" si="588"/>
        <v>1</v>
      </c>
      <c r="J1186" s="77" t="str">
        <f t="shared" si="588"/>
        <v>Senecio</v>
      </c>
      <c r="K1186" s="77" t="str">
        <f t="shared" si="588"/>
        <v>burtoni</v>
      </c>
      <c r="L1186" s="78">
        <f t="shared" si="588"/>
        <v>6</v>
      </c>
      <c r="M1186" s="78">
        <f t="shared" si="588"/>
        <v>12</v>
      </c>
      <c r="N1186" s="72">
        <f t="shared" si="588"/>
        <v>0</v>
      </c>
      <c r="O1186" s="45"/>
      <c r="P1186" s="46" t="str">
        <f t="shared" si="565"/>
        <v/>
      </c>
      <c r="Q1186" s="47" t="str">
        <f t="shared" si="566"/>
        <v/>
      </c>
      <c r="R1186" s="48" t="e">
        <f t="shared" si="567"/>
        <v>#VALUE!</v>
      </c>
      <c r="S1186" s="49" t="e">
        <f t="shared" si="560"/>
        <v>#VALUE!</v>
      </c>
      <c r="T1186" s="48" t="str">
        <f t="shared" si="568"/>
        <v/>
      </c>
      <c r="U1186" s="50"/>
      <c r="V1186" s="51"/>
      <c r="W1186" s="52" t="e">
        <f t="shared" si="569"/>
        <v>#VALUE!</v>
      </c>
      <c r="X1186" s="53"/>
      <c r="Y1186" s="53"/>
      <c r="Z1186" s="53"/>
      <c r="AA1186" s="48" t="e">
        <f>INDEX([1]!VISITORS[INSECT ORDER], MATCH(X1186,[1]!VISITORS[NAME USED],0))</f>
        <v>#REF!</v>
      </c>
      <c r="AB1186" s="48" t="e">
        <f t="shared" si="570"/>
        <v>#REF!</v>
      </c>
      <c r="AC1186" s="54" t="e">
        <f t="shared" si="571"/>
        <v>#VALUE!</v>
      </c>
      <c r="AD1186" s="55" t="str">
        <f t="shared" si="586"/>
        <v/>
      </c>
      <c r="AE1186" s="55"/>
      <c r="AF1186" s="55"/>
      <c r="AG1186" s="56" t="str">
        <f t="shared" si="587"/>
        <v/>
      </c>
      <c r="AH1186" s="57" t="str">
        <f t="shared" si="582"/>
        <v/>
      </c>
      <c r="AI1186" s="56"/>
      <c r="AJ1186" s="57" t="str">
        <f t="shared" si="583"/>
        <v/>
      </c>
      <c r="AK1186" s="56"/>
      <c r="AL1186" s="57" t="str">
        <f t="shared" si="584"/>
        <v/>
      </c>
      <c r="AM1186" s="56"/>
      <c r="AN1186" s="57" t="str">
        <f t="shared" si="572"/>
        <v/>
      </c>
      <c r="AO1186" s="56"/>
      <c r="AP1186" s="57" t="str">
        <f t="shared" si="573"/>
        <v/>
      </c>
      <c r="AQ1186" s="56"/>
      <c r="AR1186" s="57" t="str">
        <f t="shared" si="574"/>
        <v/>
      </c>
      <c r="AS1186" s="56"/>
      <c r="AT1186" s="57" t="str">
        <f t="shared" si="575"/>
        <v/>
      </c>
      <c r="AU1186" s="58"/>
      <c r="AV1186" s="59"/>
      <c r="AW1186" s="59"/>
      <c r="AX1186" s="60"/>
      <c r="AY1186" s="61" t="str">
        <f t="shared" si="585"/>
        <v/>
      </c>
      <c r="AZ1186" s="62" t="str">
        <f t="shared" si="576"/>
        <v/>
      </c>
      <c r="BA1186" s="61" t="str">
        <f t="shared" si="577"/>
        <v/>
      </c>
      <c r="BB1186" s="62" t="str">
        <f t="shared" si="578"/>
        <v/>
      </c>
    </row>
    <row r="1187" spans="1:54" s="3" customFormat="1" hidden="1" x14ac:dyDescent="0.35">
      <c r="A1187" s="73">
        <f t="shared" si="561"/>
        <v>2019</v>
      </c>
      <c r="B1187" s="73" t="str">
        <f t="shared" si="562"/>
        <v>Nov</v>
      </c>
      <c r="C1187" s="74">
        <f t="shared" si="579"/>
        <v>17</v>
      </c>
      <c r="D1187" s="75">
        <f t="shared" si="563"/>
        <v>10</v>
      </c>
      <c r="E1187" s="76">
        <f t="shared" si="564"/>
        <v>59</v>
      </c>
      <c r="F1187" s="80"/>
      <c r="G1187" s="83"/>
      <c r="H1187" s="69" t="str">
        <f t="shared" si="580"/>
        <v>Senbur6_20191117_10_00</v>
      </c>
      <c r="I1187" s="70">
        <f t="shared" si="588"/>
        <v>1</v>
      </c>
      <c r="J1187" s="77" t="str">
        <f t="shared" si="588"/>
        <v>Senecio</v>
      </c>
      <c r="K1187" s="77" t="str">
        <f t="shared" si="588"/>
        <v>burtoni</v>
      </c>
      <c r="L1187" s="78">
        <f t="shared" si="588"/>
        <v>6</v>
      </c>
      <c r="M1187" s="78">
        <f t="shared" si="588"/>
        <v>12</v>
      </c>
      <c r="N1187" s="72">
        <f t="shared" si="588"/>
        <v>0</v>
      </c>
      <c r="O1187" s="45"/>
      <c r="P1187" s="46" t="str">
        <f t="shared" si="565"/>
        <v/>
      </c>
      <c r="Q1187" s="47" t="str">
        <f t="shared" si="566"/>
        <v/>
      </c>
      <c r="R1187" s="48" t="e">
        <f t="shared" si="567"/>
        <v>#VALUE!</v>
      </c>
      <c r="S1187" s="49" t="e">
        <f t="shared" si="560"/>
        <v>#VALUE!</v>
      </c>
      <c r="T1187" s="48" t="str">
        <f t="shared" si="568"/>
        <v/>
      </c>
      <c r="U1187" s="50"/>
      <c r="V1187" s="51"/>
      <c r="W1187" s="52" t="e">
        <f t="shared" si="569"/>
        <v>#VALUE!</v>
      </c>
      <c r="X1187" s="53"/>
      <c r="Y1187" s="53"/>
      <c r="Z1187" s="53"/>
      <c r="AA1187" s="48" t="e">
        <f>INDEX([1]!VISITORS[INSECT ORDER], MATCH(X1187,[1]!VISITORS[NAME USED],0))</f>
        <v>#REF!</v>
      </c>
      <c r="AB1187" s="48" t="e">
        <f t="shared" si="570"/>
        <v>#REF!</v>
      </c>
      <c r="AC1187" s="54" t="e">
        <f t="shared" si="571"/>
        <v>#VALUE!</v>
      </c>
      <c r="AD1187" s="55" t="str">
        <f t="shared" si="586"/>
        <v/>
      </c>
      <c r="AE1187" s="55"/>
      <c r="AF1187" s="55"/>
      <c r="AG1187" s="56" t="str">
        <f t="shared" si="587"/>
        <v/>
      </c>
      <c r="AH1187" s="57" t="str">
        <f t="shared" si="582"/>
        <v/>
      </c>
      <c r="AI1187" s="56"/>
      <c r="AJ1187" s="57" t="str">
        <f t="shared" si="583"/>
        <v/>
      </c>
      <c r="AK1187" s="56"/>
      <c r="AL1187" s="57" t="str">
        <f t="shared" si="584"/>
        <v/>
      </c>
      <c r="AM1187" s="56"/>
      <c r="AN1187" s="57" t="str">
        <f t="shared" si="572"/>
        <v/>
      </c>
      <c r="AO1187" s="56"/>
      <c r="AP1187" s="57" t="str">
        <f t="shared" si="573"/>
        <v/>
      </c>
      <c r="AQ1187" s="56"/>
      <c r="AR1187" s="57" t="str">
        <f t="shared" si="574"/>
        <v/>
      </c>
      <c r="AS1187" s="56"/>
      <c r="AT1187" s="57" t="str">
        <f t="shared" si="575"/>
        <v/>
      </c>
      <c r="AU1187" s="58"/>
      <c r="AV1187" s="59"/>
      <c r="AW1187" s="59"/>
      <c r="AX1187" s="60"/>
      <c r="AY1187" s="61" t="str">
        <f t="shared" si="585"/>
        <v/>
      </c>
      <c r="AZ1187" s="62" t="str">
        <f t="shared" si="576"/>
        <v/>
      </c>
      <c r="BA1187" s="61" t="str">
        <f t="shared" si="577"/>
        <v/>
      </c>
      <c r="BB1187" s="62" t="str">
        <f t="shared" si="578"/>
        <v/>
      </c>
    </row>
    <row r="1188" spans="1:54" s="3" customFormat="1" hidden="1" x14ac:dyDescent="0.35">
      <c r="A1188" s="73">
        <f t="shared" si="561"/>
        <v>2019</v>
      </c>
      <c r="B1188" s="73" t="str">
        <f t="shared" si="562"/>
        <v>Nov</v>
      </c>
      <c r="C1188" s="74">
        <f t="shared" si="579"/>
        <v>17</v>
      </c>
      <c r="D1188" s="75">
        <f t="shared" si="563"/>
        <v>11</v>
      </c>
      <c r="E1188" s="76">
        <f t="shared" si="564"/>
        <v>0</v>
      </c>
      <c r="F1188" s="80">
        <v>59</v>
      </c>
      <c r="G1188" s="83"/>
      <c r="H1188" s="69" t="str">
        <f t="shared" si="580"/>
        <v>Senbur6_20191117_11_00</v>
      </c>
      <c r="I1188" s="70">
        <f t="shared" si="588"/>
        <v>1</v>
      </c>
      <c r="J1188" s="77" t="str">
        <f t="shared" si="588"/>
        <v>Senecio</v>
      </c>
      <c r="K1188" s="77" t="str">
        <f t="shared" si="588"/>
        <v>burtoni</v>
      </c>
      <c r="L1188" s="78">
        <f t="shared" si="588"/>
        <v>6</v>
      </c>
      <c r="M1188" s="78">
        <f t="shared" si="588"/>
        <v>12</v>
      </c>
      <c r="N1188" s="72">
        <f t="shared" si="588"/>
        <v>0</v>
      </c>
      <c r="O1188" s="45"/>
      <c r="P1188" s="46">
        <f t="shared" si="565"/>
        <v>1</v>
      </c>
      <c r="Q1188" s="47" t="str">
        <f t="shared" si="566"/>
        <v>11:00:59</v>
      </c>
      <c r="R1188" s="48" t="str">
        <f t="shared" si="567"/>
        <v>00:59</v>
      </c>
      <c r="S1188" s="49">
        <f t="shared" si="560"/>
        <v>34</v>
      </c>
      <c r="T1188" s="48" t="str">
        <f t="shared" si="568"/>
        <v>11</v>
      </c>
      <c r="U1188" s="50">
        <v>1</v>
      </c>
      <c r="V1188" s="51">
        <v>33</v>
      </c>
      <c r="W1188" s="52" t="str">
        <f t="shared" si="569"/>
        <v>01:33</v>
      </c>
      <c r="X1188" s="53" t="s">
        <v>61</v>
      </c>
      <c r="Y1188" s="97" t="s">
        <v>96</v>
      </c>
      <c r="Z1188" s="97" t="s">
        <v>80</v>
      </c>
      <c r="AA1188" s="48" t="s">
        <v>60</v>
      </c>
      <c r="AB1188" s="48" t="str">
        <f t="shared" si="570"/>
        <v>NA</v>
      </c>
      <c r="AC1188" s="54">
        <f t="shared" si="571"/>
        <v>0</v>
      </c>
      <c r="AD1188" s="55">
        <v>2</v>
      </c>
      <c r="AE1188" s="55"/>
      <c r="AF1188" s="55"/>
      <c r="AG1188" s="56">
        <v>1</v>
      </c>
      <c r="AH1188" s="57">
        <v>2</v>
      </c>
      <c r="AI1188" s="56">
        <v>1</v>
      </c>
      <c r="AJ1188" s="57">
        <v>1</v>
      </c>
      <c r="AK1188" s="56">
        <v>1</v>
      </c>
      <c r="AL1188" s="57">
        <v>31</v>
      </c>
      <c r="AM1188" s="56"/>
      <c r="AN1188" s="57" t="str">
        <f t="shared" si="572"/>
        <v/>
      </c>
      <c r="AO1188" s="56"/>
      <c r="AP1188" s="57" t="str">
        <f t="shared" si="573"/>
        <v/>
      </c>
      <c r="AQ1188" s="56"/>
      <c r="AR1188" s="57" t="str">
        <f t="shared" si="574"/>
        <v/>
      </c>
      <c r="AS1188" s="56"/>
      <c r="AT1188" s="57" t="str">
        <f t="shared" si="575"/>
        <v/>
      </c>
      <c r="AU1188" s="58"/>
      <c r="AV1188" s="59"/>
      <c r="AW1188" s="59"/>
      <c r="AX1188" s="60"/>
      <c r="AY1188" s="61">
        <v>1</v>
      </c>
      <c r="AZ1188" s="62">
        <f t="shared" si="576"/>
        <v>2</v>
      </c>
      <c r="BA1188" s="61">
        <f t="shared" si="577"/>
        <v>0</v>
      </c>
      <c r="BB1188" s="62" t="str">
        <f t="shared" si="578"/>
        <v/>
      </c>
    </row>
    <row r="1189" spans="1:54" s="3" customFormat="1" hidden="1" x14ac:dyDescent="0.35">
      <c r="A1189" s="73">
        <f t="shared" si="561"/>
        <v>2019</v>
      </c>
      <c r="B1189" s="73" t="str">
        <f t="shared" si="562"/>
        <v>Nov</v>
      </c>
      <c r="C1189" s="74">
        <f t="shared" si="579"/>
        <v>17</v>
      </c>
      <c r="D1189" s="75">
        <f t="shared" si="563"/>
        <v>11</v>
      </c>
      <c r="E1189" s="76">
        <f t="shared" si="564"/>
        <v>1</v>
      </c>
      <c r="F1189" s="80"/>
      <c r="G1189" s="83"/>
      <c r="H1189" s="69" t="str">
        <f t="shared" si="580"/>
        <v>Senbur6_20191117_11_00</v>
      </c>
      <c r="I1189" s="70">
        <f t="shared" ref="I1189:N1204" si="589">I1188</f>
        <v>1</v>
      </c>
      <c r="J1189" s="77" t="str">
        <f t="shared" si="589"/>
        <v>Senecio</v>
      </c>
      <c r="K1189" s="77" t="str">
        <f t="shared" si="589"/>
        <v>burtoni</v>
      </c>
      <c r="L1189" s="78">
        <f t="shared" si="589"/>
        <v>6</v>
      </c>
      <c r="M1189" s="78">
        <f t="shared" si="589"/>
        <v>12</v>
      </c>
      <c r="N1189" s="72">
        <f t="shared" si="589"/>
        <v>0</v>
      </c>
      <c r="O1189" s="45"/>
      <c r="P1189" s="46" t="str">
        <f t="shared" si="565"/>
        <v/>
      </c>
      <c r="Q1189" s="47" t="str">
        <f t="shared" si="566"/>
        <v/>
      </c>
      <c r="R1189" s="48" t="e">
        <f t="shared" si="567"/>
        <v>#VALUE!</v>
      </c>
      <c r="S1189" s="49" t="e">
        <f t="shared" si="560"/>
        <v>#VALUE!</v>
      </c>
      <c r="T1189" s="48" t="str">
        <f t="shared" si="568"/>
        <v/>
      </c>
      <c r="U1189" s="50"/>
      <c r="V1189" s="51"/>
      <c r="W1189" s="52" t="e">
        <f t="shared" si="569"/>
        <v>#VALUE!</v>
      </c>
      <c r="X1189" s="53"/>
      <c r="Y1189" s="53"/>
      <c r="Z1189" s="53"/>
      <c r="AA1189" s="48" t="e">
        <f>INDEX([1]!VISITORS[INSECT ORDER], MATCH(X1189,[1]!VISITORS[NAME USED],0))</f>
        <v>#REF!</v>
      </c>
      <c r="AB1189" s="48" t="e">
        <f t="shared" si="570"/>
        <v>#REF!</v>
      </c>
      <c r="AC1189" s="54" t="e">
        <f t="shared" si="571"/>
        <v>#VALUE!</v>
      </c>
      <c r="AD1189" s="55" t="str">
        <f t="shared" si="586"/>
        <v/>
      </c>
      <c r="AE1189" s="55"/>
      <c r="AF1189" s="55"/>
      <c r="AG1189" s="56" t="str">
        <f t="shared" si="587"/>
        <v/>
      </c>
      <c r="AH1189" s="57" t="str">
        <f t="shared" si="582"/>
        <v/>
      </c>
      <c r="AI1189" s="56"/>
      <c r="AJ1189" s="57" t="str">
        <f t="shared" si="583"/>
        <v/>
      </c>
      <c r="AK1189" s="56"/>
      <c r="AL1189" s="57" t="str">
        <f t="shared" si="584"/>
        <v/>
      </c>
      <c r="AM1189" s="56"/>
      <c r="AN1189" s="57" t="str">
        <f t="shared" si="572"/>
        <v/>
      </c>
      <c r="AO1189" s="56"/>
      <c r="AP1189" s="57" t="str">
        <f t="shared" si="573"/>
        <v/>
      </c>
      <c r="AQ1189" s="56"/>
      <c r="AR1189" s="57" t="str">
        <f t="shared" si="574"/>
        <v/>
      </c>
      <c r="AS1189" s="56"/>
      <c r="AT1189" s="57" t="str">
        <f t="shared" si="575"/>
        <v/>
      </c>
      <c r="AU1189" s="58"/>
      <c r="AV1189" s="59"/>
      <c r="AW1189" s="59"/>
      <c r="AX1189" s="60"/>
      <c r="AY1189" s="61" t="str">
        <f t="shared" si="585"/>
        <v/>
      </c>
      <c r="AZ1189" s="62" t="str">
        <f t="shared" si="576"/>
        <v/>
      </c>
      <c r="BA1189" s="61" t="str">
        <f t="shared" si="577"/>
        <v/>
      </c>
      <c r="BB1189" s="62" t="str">
        <f t="shared" si="578"/>
        <v/>
      </c>
    </row>
    <row r="1190" spans="1:54" s="3" customFormat="1" hidden="1" x14ac:dyDescent="0.35">
      <c r="A1190" s="73">
        <f t="shared" si="561"/>
        <v>2019</v>
      </c>
      <c r="B1190" s="73" t="str">
        <f t="shared" si="562"/>
        <v>Nov</v>
      </c>
      <c r="C1190" s="74">
        <f t="shared" si="579"/>
        <v>17</v>
      </c>
      <c r="D1190" s="75">
        <f t="shared" si="563"/>
        <v>11</v>
      </c>
      <c r="E1190" s="76">
        <f t="shared" si="564"/>
        <v>2</v>
      </c>
      <c r="F1190" s="80">
        <v>35</v>
      </c>
      <c r="G1190" s="83"/>
      <c r="H1190" s="69" t="str">
        <f t="shared" si="580"/>
        <v>Senbur6_20191117_11_00</v>
      </c>
      <c r="I1190" s="70">
        <f t="shared" si="589"/>
        <v>1</v>
      </c>
      <c r="J1190" s="77" t="str">
        <f t="shared" si="589"/>
        <v>Senecio</v>
      </c>
      <c r="K1190" s="77" t="str">
        <f t="shared" si="589"/>
        <v>burtoni</v>
      </c>
      <c r="L1190" s="78">
        <f t="shared" si="589"/>
        <v>6</v>
      </c>
      <c r="M1190" s="78">
        <f t="shared" si="589"/>
        <v>12</v>
      </c>
      <c r="N1190" s="72">
        <f t="shared" si="589"/>
        <v>0</v>
      </c>
      <c r="O1190" s="45"/>
      <c r="P1190" s="46">
        <f t="shared" si="565"/>
        <v>1</v>
      </c>
      <c r="Q1190" s="47" t="str">
        <f t="shared" si="566"/>
        <v>11:02:35</v>
      </c>
      <c r="R1190" s="48" t="str">
        <f t="shared" si="567"/>
        <v>02:35</v>
      </c>
      <c r="S1190" s="49">
        <f t="shared" si="560"/>
        <v>249</v>
      </c>
      <c r="T1190" s="48" t="str">
        <f t="shared" si="568"/>
        <v>11</v>
      </c>
      <c r="U1190" s="50">
        <v>6</v>
      </c>
      <c r="V1190" s="51">
        <v>44</v>
      </c>
      <c r="W1190" s="52" t="str">
        <f t="shared" si="569"/>
        <v>06:44</v>
      </c>
      <c r="X1190" s="53" t="s">
        <v>61</v>
      </c>
      <c r="Y1190" s="97" t="s">
        <v>78</v>
      </c>
      <c r="Z1190" s="97"/>
      <c r="AA1190" s="48" t="s">
        <v>60</v>
      </c>
      <c r="AB1190" s="48" t="str">
        <f t="shared" si="570"/>
        <v>NA</v>
      </c>
      <c r="AC1190" s="54">
        <f t="shared" si="571"/>
        <v>0</v>
      </c>
      <c r="AD1190" s="55">
        <v>2</v>
      </c>
      <c r="AE1190" s="55"/>
      <c r="AF1190" s="55"/>
      <c r="AG1190" s="56">
        <v>1</v>
      </c>
      <c r="AH1190" s="57">
        <v>2</v>
      </c>
      <c r="AI1190" s="56">
        <v>1</v>
      </c>
      <c r="AJ1190" s="57">
        <v>2</v>
      </c>
      <c r="AK1190" s="56">
        <v>1</v>
      </c>
      <c r="AL1190" s="57">
        <v>245</v>
      </c>
      <c r="AM1190" s="56"/>
      <c r="AN1190" s="57" t="str">
        <f t="shared" si="572"/>
        <v/>
      </c>
      <c r="AO1190" s="56"/>
      <c r="AP1190" s="57" t="str">
        <f t="shared" si="573"/>
        <v/>
      </c>
      <c r="AQ1190" s="56"/>
      <c r="AR1190" s="57" t="str">
        <f t="shared" si="574"/>
        <v/>
      </c>
      <c r="AS1190" s="56"/>
      <c r="AT1190" s="57" t="str">
        <f t="shared" si="575"/>
        <v/>
      </c>
      <c r="AU1190" s="58"/>
      <c r="AV1190" s="59"/>
      <c r="AW1190" s="59"/>
      <c r="AX1190" s="60"/>
      <c r="AY1190" s="61">
        <v>1</v>
      </c>
      <c r="AZ1190" s="62">
        <f t="shared" si="576"/>
        <v>2</v>
      </c>
      <c r="BA1190" s="61">
        <f t="shared" si="577"/>
        <v>0</v>
      </c>
      <c r="BB1190" s="62" t="str">
        <f t="shared" si="578"/>
        <v/>
      </c>
    </row>
    <row r="1191" spans="1:54" s="3" customFormat="1" hidden="1" x14ac:dyDescent="0.35">
      <c r="A1191" s="73">
        <f t="shared" si="561"/>
        <v>2019</v>
      </c>
      <c r="B1191" s="73" t="str">
        <f t="shared" si="562"/>
        <v>Nov</v>
      </c>
      <c r="C1191" s="74">
        <f t="shared" si="579"/>
        <v>17</v>
      </c>
      <c r="D1191" s="75">
        <f t="shared" si="563"/>
        <v>11</v>
      </c>
      <c r="E1191" s="76">
        <f t="shared" si="564"/>
        <v>3</v>
      </c>
      <c r="F1191" s="80"/>
      <c r="G1191" s="83"/>
      <c r="H1191" s="69" t="str">
        <f t="shared" si="580"/>
        <v>Senbur6_20191117_11_00</v>
      </c>
      <c r="I1191" s="70">
        <f t="shared" si="589"/>
        <v>1</v>
      </c>
      <c r="J1191" s="77" t="str">
        <f t="shared" si="589"/>
        <v>Senecio</v>
      </c>
      <c r="K1191" s="77" t="str">
        <f t="shared" si="589"/>
        <v>burtoni</v>
      </c>
      <c r="L1191" s="78">
        <f t="shared" si="589"/>
        <v>6</v>
      </c>
      <c r="M1191" s="78">
        <f t="shared" si="589"/>
        <v>12</v>
      </c>
      <c r="N1191" s="72">
        <f t="shared" si="589"/>
        <v>0</v>
      </c>
      <c r="O1191" s="45"/>
      <c r="P1191" s="46" t="str">
        <f t="shared" si="565"/>
        <v/>
      </c>
      <c r="Q1191" s="47" t="str">
        <f t="shared" si="566"/>
        <v/>
      </c>
      <c r="R1191" s="48" t="e">
        <f t="shared" si="567"/>
        <v>#VALUE!</v>
      </c>
      <c r="S1191" s="49" t="e">
        <f t="shared" si="560"/>
        <v>#VALUE!</v>
      </c>
      <c r="T1191" s="48" t="str">
        <f t="shared" si="568"/>
        <v/>
      </c>
      <c r="U1191" s="50"/>
      <c r="V1191" s="51"/>
      <c r="W1191" s="52" t="e">
        <f t="shared" si="569"/>
        <v>#VALUE!</v>
      </c>
      <c r="X1191" s="53"/>
      <c r="Y1191" s="53"/>
      <c r="Z1191" s="53"/>
      <c r="AA1191" s="48" t="e">
        <f>INDEX([1]!VISITORS[INSECT ORDER], MATCH(X1191,[1]!VISITORS[NAME USED],0))</f>
        <v>#REF!</v>
      </c>
      <c r="AB1191" s="48" t="e">
        <f t="shared" si="570"/>
        <v>#REF!</v>
      </c>
      <c r="AC1191" s="54" t="e">
        <f t="shared" si="571"/>
        <v>#VALUE!</v>
      </c>
      <c r="AD1191" s="55" t="str">
        <f t="shared" si="586"/>
        <v/>
      </c>
      <c r="AE1191" s="55"/>
      <c r="AF1191" s="55"/>
      <c r="AG1191" s="56" t="str">
        <f t="shared" si="587"/>
        <v/>
      </c>
      <c r="AH1191" s="57" t="str">
        <f t="shared" si="582"/>
        <v/>
      </c>
      <c r="AI1191" s="56"/>
      <c r="AJ1191" s="57" t="str">
        <f t="shared" si="583"/>
        <v/>
      </c>
      <c r="AK1191" s="56"/>
      <c r="AL1191" s="57" t="str">
        <f t="shared" si="584"/>
        <v/>
      </c>
      <c r="AM1191" s="56"/>
      <c r="AN1191" s="57" t="str">
        <f t="shared" si="572"/>
        <v/>
      </c>
      <c r="AO1191" s="56"/>
      <c r="AP1191" s="57" t="str">
        <f t="shared" si="573"/>
        <v/>
      </c>
      <c r="AQ1191" s="56"/>
      <c r="AR1191" s="57" t="str">
        <f t="shared" si="574"/>
        <v/>
      </c>
      <c r="AS1191" s="56"/>
      <c r="AT1191" s="57" t="str">
        <f t="shared" si="575"/>
        <v/>
      </c>
      <c r="AU1191" s="58"/>
      <c r="AV1191" s="59"/>
      <c r="AW1191" s="59"/>
      <c r="AX1191" s="60"/>
      <c r="AY1191" s="61" t="str">
        <f t="shared" si="585"/>
        <v/>
      </c>
      <c r="AZ1191" s="62" t="str">
        <f t="shared" si="576"/>
        <v/>
      </c>
      <c r="BA1191" s="61" t="str">
        <f t="shared" si="577"/>
        <v/>
      </c>
      <c r="BB1191" s="62" t="str">
        <f t="shared" si="578"/>
        <v/>
      </c>
    </row>
    <row r="1192" spans="1:54" s="3" customFormat="1" hidden="1" x14ac:dyDescent="0.35">
      <c r="A1192" s="73">
        <f t="shared" si="561"/>
        <v>2019</v>
      </c>
      <c r="B1192" s="73" t="str">
        <f t="shared" si="562"/>
        <v>Nov</v>
      </c>
      <c r="C1192" s="74">
        <f t="shared" si="579"/>
        <v>17</v>
      </c>
      <c r="D1192" s="75">
        <f t="shared" si="563"/>
        <v>11</v>
      </c>
      <c r="E1192" s="76">
        <f t="shared" si="564"/>
        <v>4</v>
      </c>
      <c r="F1192" s="80"/>
      <c r="G1192" s="83"/>
      <c r="H1192" s="69" t="str">
        <f t="shared" si="580"/>
        <v>Senbur6_20191117_11_00</v>
      </c>
      <c r="I1192" s="70">
        <f t="shared" si="589"/>
        <v>1</v>
      </c>
      <c r="J1192" s="77" t="str">
        <f t="shared" si="589"/>
        <v>Senecio</v>
      </c>
      <c r="K1192" s="77" t="str">
        <f t="shared" si="589"/>
        <v>burtoni</v>
      </c>
      <c r="L1192" s="78">
        <f t="shared" si="589"/>
        <v>6</v>
      </c>
      <c r="M1192" s="78">
        <f t="shared" si="589"/>
        <v>12</v>
      </c>
      <c r="N1192" s="72">
        <f t="shared" si="589"/>
        <v>0</v>
      </c>
      <c r="O1192" s="45"/>
      <c r="P1192" s="46" t="str">
        <f t="shared" si="565"/>
        <v/>
      </c>
      <c r="Q1192" s="47" t="str">
        <f t="shared" si="566"/>
        <v/>
      </c>
      <c r="R1192" s="48" t="e">
        <f t="shared" si="567"/>
        <v>#VALUE!</v>
      </c>
      <c r="S1192" s="49" t="e">
        <f t="shared" si="560"/>
        <v>#VALUE!</v>
      </c>
      <c r="T1192" s="48" t="str">
        <f t="shared" si="568"/>
        <v/>
      </c>
      <c r="U1192" s="50"/>
      <c r="V1192" s="51"/>
      <c r="W1192" s="52" t="e">
        <f t="shared" si="569"/>
        <v>#VALUE!</v>
      </c>
      <c r="X1192" s="53"/>
      <c r="Y1192" s="53"/>
      <c r="Z1192" s="53"/>
      <c r="AA1192" s="48" t="e">
        <f>INDEX([1]!VISITORS[INSECT ORDER], MATCH(X1192,[1]!VISITORS[NAME USED],0))</f>
        <v>#REF!</v>
      </c>
      <c r="AB1192" s="48" t="e">
        <f t="shared" si="570"/>
        <v>#REF!</v>
      </c>
      <c r="AC1192" s="54" t="e">
        <f t="shared" si="571"/>
        <v>#VALUE!</v>
      </c>
      <c r="AD1192" s="55" t="str">
        <f t="shared" si="586"/>
        <v/>
      </c>
      <c r="AE1192" s="55"/>
      <c r="AF1192" s="55"/>
      <c r="AG1192" s="56" t="str">
        <f t="shared" si="587"/>
        <v/>
      </c>
      <c r="AH1192" s="57" t="str">
        <f t="shared" si="582"/>
        <v/>
      </c>
      <c r="AI1192" s="56"/>
      <c r="AJ1192" s="57" t="str">
        <f t="shared" si="583"/>
        <v/>
      </c>
      <c r="AK1192" s="56"/>
      <c r="AL1192" s="57" t="str">
        <f t="shared" si="584"/>
        <v/>
      </c>
      <c r="AM1192" s="56"/>
      <c r="AN1192" s="57" t="str">
        <f t="shared" si="572"/>
        <v/>
      </c>
      <c r="AO1192" s="56"/>
      <c r="AP1192" s="57" t="str">
        <f t="shared" si="573"/>
        <v/>
      </c>
      <c r="AQ1192" s="56"/>
      <c r="AR1192" s="57" t="str">
        <f t="shared" si="574"/>
        <v/>
      </c>
      <c r="AS1192" s="56"/>
      <c r="AT1192" s="57" t="str">
        <f t="shared" si="575"/>
        <v/>
      </c>
      <c r="AU1192" s="58"/>
      <c r="AV1192" s="59"/>
      <c r="AW1192" s="59"/>
      <c r="AX1192" s="60"/>
      <c r="AY1192" s="61" t="str">
        <f t="shared" si="585"/>
        <v/>
      </c>
      <c r="AZ1192" s="62" t="str">
        <f t="shared" si="576"/>
        <v/>
      </c>
      <c r="BA1192" s="61" t="str">
        <f t="shared" si="577"/>
        <v/>
      </c>
      <c r="BB1192" s="62" t="str">
        <f t="shared" si="578"/>
        <v/>
      </c>
    </row>
    <row r="1193" spans="1:54" s="3" customFormat="1" hidden="1" x14ac:dyDescent="0.35">
      <c r="A1193" s="73">
        <f t="shared" si="561"/>
        <v>2019</v>
      </c>
      <c r="B1193" s="73" t="str">
        <f t="shared" si="562"/>
        <v>Nov</v>
      </c>
      <c r="C1193" s="74">
        <f t="shared" si="579"/>
        <v>17</v>
      </c>
      <c r="D1193" s="75">
        <f t="shared" si="563"/>
        <v>11</v>
      </c>
      <c r="E1193" s="76">
        <f t="shared" si="564"/>
        <v>5</v>
      </c>
      <c r="F1193" s="80">
        <v>24</v>
      </c>
      <c r="G1193" s="83"/>
      <c r="H1193" s="69" t="str">
        <f t="shared" si="580"/>
        <v>Senbur6_20191117_11_00</v>
      </c>
      <c r="I1193" s="70">
        <f t="shared" si="589"/>
        <v>1</v>
      </c>
      <c r="J1193" s="77" t="str">
        <f t="shared" si="589"/>
        <v>Senecio</v>
      </c>
      <c r="K1193" s="77" t="str">
        <f t="shared" si="589"/>
        <v>burtoni</v>
      </c>
      <c r="L1193" s="78">
        <f t="shared" si="589"/>
        <v>6</v>
      </c>
      <c r="M1193" s="78">
        <f t="shared" si="589"/>
        <v>12</v>
      </c>
      <c r="N1193" s="72">
        <f t="shared" si="589"/>
        <v>0</v>
      </c>
      <c r="O1193" s="45"/>
      <c r="P1193" s="46">
        <f t="shared" si="565"/>
        <v>1</v>
      </c>
      <c r="Q1193" s="47" t="str">
        <f t="shared" si="566"/>
        <v>11:05:24</v>
      </c>
      <c r="R1193" s="48" t="str">
        <f t="shared" si="567"/>
        <v>05:24</v>
      </c>
      <c r="S1193" s="49">
        <f t="shared" si="560"/>
        <v>79</v>
      </c>
      <c r="T1193" s="48" t="str">
        <f t="shared" si="568"/>
        <v>11</v>
      </c>
      <c r="U1193" s="50">
        <v>6</v>
      </c>
      <c r="V1193" s="51">
        <v>43</v>
      </c>
      <c r="W1193" s="52" t="str">
        <f t="shared" si="569"/>
        <v>06:43</v>
      </c>
      <c r="X1193" s="53" t="s">
        <v>73</v>
      </c>
      <c r="Y1193" s="97" t="s">
        <v>89</v>
      </c>
      <c r="Z1193" s="97" t="s">
        <v>80</v>
      </c>
      <c r="AA1193" s="48" t="s">
        <v>63</v>
      </c>
      <c r="AB1193" s="48" t="str">
        <f t="shared" si="570"/>
        <v>NA</v>
      </c>
      <c r="AC1193" s="54">
        <f t="shared" si="571"/>
        <v>0</v>
      </c>
      <c r="AD1193" s="55">
        <v>3</v>
      </c>
      <c r="AE1193" s="55"/>
      <c r="AF1193" s="55"/>
      <c r="AG1193" s="56">
        <v>1</v>
      </c>
      <c r="AH1193" s="57">
        <v>11</v>
      </c>
      <c r="AI1193" s="56"/>
      <c r="AJ1193" s="57" t="str">
        <f t="shared" si="583"/>
        <v/>
      </c>
      <c r="AK1193" s="56">
        <v>1</v>
      </c>
      <c r="AL1193" s="57">
        <v>68</v>
      </c>
      <c r="AM1193" s="56"/>
      <c r="AN1193" s="57" t="str">
        <f t="shared" si="572"/>
        <v/>
      </c>
      <c r="AO1193" s="56"/>
      <c r="AP1193" s="57" t="str">
        <f t="shared" si="573"/>
        <v/>
      </c>
      <c r="AQ1193" s="56"/>
      <c r="AR1193" s="57" t="str">
        <f t="shared" si="574"/>
        <v/>
      </c>
      <c r="AS1193" s="56"/>
      <c r="AT1193" s="57" t="str">
        <f t="shared" si="575"/>
        <v/>
      </c>
      <c r="AU1193" s="58"/>
      <c r="AV1193" s="59"/>
      <c r="AW1193" s="59"/>
      <c r="AX1193" s="60"/>
      <c r="AY1193" s="61">
        <v>1</v>
      </c>
      <c r="AZ1193" s="62">
        <f t="shared" si="576"/>
        <v>3</v>
      </c>
      <c r="BA1193" s="61">
        <f t="shared" si="577"/>
        <v>0</v>
      </c>
      <c r="BB1193" s="62" t="str">
        <f t="shared" si="578"/>
        <v/>
      </c>
    </row>
    <row r="1194" spans="1:54" s="3" customFormat="1" hidden="1" x14ac:dyDescent="0.35">
      <c r="A1194" s="73">
        <f t="shared" si="561"/>
        <v>2019</v>
      </c>
      <c r="B1194" s="73" t="str">
        <f t="shared" si="562"/>
        <v>Nov</v>
      </c>
      <c r="C1194" s="74">
        <f t="shared" si="579"/>
        <v>17</v>
      </c>
      <c r="D1194" s="75">
        <f t="shared" si="563"/>
        <v>11</v>
      </c>
      <c r="E1194" s="76">
        <f t="shared" si="564"/>
        <v>6</v>
      </c>
      <c r="F1194" s="80">
        <v>3</v>
      </c>
      <c r="G1194" s="83"/>
      <c r="H1194" s="69" t="str">
        <f t="shared" si="580"/>
        <v>Senbur6_20191117_11_00</v>
      </c>
      <c r="I1194" s="70">
        <f t="shared" si="589"/>
        <v>1</v>
      </c>
      <c r="J1194" s="77" t="str">
        <f t="shared" si="589"/>
        <v>Senecio</v>
      </c>
      <c r="K1194" s="77" t="str">
        <f t="shared" si="589"/>
        <v>burtoni</v>
      </c>
      <c r="L1194" s="78">
        <f t="shared" si="589"/>
        <v>6</v>
      </c>
      <c r="M1194" s="78">
        <f t="shared" si="589"/>
        <v>12</v>
      </c>
      <c r="N1194" s="72">
        <f t="shared" si="589"/>
        <v>0</v>
      </c>
      <c r="O1194" s="45"/>
      <c r="P1194" s="46">
        <f t="shared" si="565"/>
        <v>1</v>
      </c>
      <c r="Q1194" s="47" t="str">
        <f t="shared" si="566"/>
        <v>11:06:03</v>
      </c>
      <c r="R1194" s="48" t="str">
        <f t="shared" si="567"/>
        <v>06:03</v>
      </c>
      <c r="S1194" s="49">
        <f t="shared" si="560"/>
        <v>14</v>
      </c>
      <c r="T1194" s="48" t="str">
        <f t="shared" si="568"/>
        <v>11</v>
      </c>
      <c r="U1194" s="50">
        <v>6</v>
      </c>
      <c r="V1194" s="51">
        <v>17</v>
      </c>
      <c r="W1194" s="52" t="str">
        <f t="shared" si="569"/>
        <v>06:17</v>
      </c>
      <c r="X1194" s="53" t="s">
        <v>61</v>
      </c>
      <c r="Y1194" s="97" t="s">
        <v>96</v>
      </c>
      <c r="Z1194" s="97" t="s">
        <v>80</v>
      </c>
      <c r="AA1194" s="48" t="s">
        <v>60</v>
      </c>
      <c r="AB1194" s="48" t="str">
        <f t="shared" si="570"/>
        <v>NA</v>
      </c>
      <c r="AC1194" s="54">
        <f t="shared" si="571"/>
        <v>0</v>
      </c>
      <c r="AD1194" s="55">
        <v>2</v>
      </c>
      <c r="AE1194" s="55"/>
      <c r="AF1194" s="55"/>
      <c r="AG1194" s="56">
        <v>1</v>
      </c>
      <c r="AH1194" s="57">
        <f t="shared" si="582"/>
        <v>14</v>
      </c>
      <c r="AI1194" s="56"/>
      <c r="AJ1194" s="57" t="str">
        <f t="shared" si="583"/>
        <v/>
      </c>
      <c r="AK1194" s="56"/>
      <c r="AL1194" s="57" t="str">
        <f t="shared" si="584"/>
        <v/>
      </c>
      <c r="AM1194" s="56"/>
      <c r="AN1194" s="57" t="str">
        <f t="shared" si="572"/>
        <v/>
      </c>
      <c r="AO1194" s="56"/>
      <c r="AP1194" s="57" t="str">
        <f t="shared" si="573"/>
        <v/>
      </c>
      <c r="AQ1194" s="56"/>
      <c r="AR1194" s="57" t="str">
        <f t="shared" si="574"/>
        <v/>
      </c>
      <c r="AS1194" s="56"/>
      <c r="AT1194" s="57" t="str">
        <f t="shared" si="575"/>
        <v/>
      </c>
      <c r="AU1194" s="58"/>
      <c r="AV1194" s="59"/>
      <c r="AW1194" s="59"/>
      <c r="AX1194" s="60"/>
      <c r="AY1194" s="61">
        <v>1</v>
      </c>
      <c r="AZ1194" s="62">
        <f t="shared" si="576"/>
        <v>2</v>
      </c>
      <c r="BA1194" s="61">
        <f t="shared" si="577"/>
        <v>0</v>
      </c>
      <c r="BB1194" s="62" t="str">
        <f t="shared" si="578"/>
        <v/>
      </c>
    </row>
    <row r="1195" spans="1:54" s="3" customFormat="1" hidden="1" x14ac:dyDescent="0.35">
      <c r="A1195" s="73">
        <f t="shared" si="561"/>
        <v>2019</v>
      </c>
      <c r="B1195" s="73" t="str">
        <f t="shared" si="562"/>
        <v>Nov</v>
      </c>
      <c r="C1195" s="74">
        <f t="shared" si="579"/>
        <v>17</v>
      </c>
      <c r="D1195" s="75">
        <f t="shared" si="563"/>
        <v>11</v>
      </c>
      <c r="E1195" s="76">
        <v>6</v>
      </c>
      <c r="F1195" s="80">
        <v>11</v>
      </c>
      <c r="G1195" s="83"/>
      <c r="H1195" s="69" t="str">
        <f t="shared" si="580"/>
        <v>Senbur6_20191117_11_00</v>
      </c>
      <c r="I1195" s="70">
        <f t="shared" si="589"/>
        <v>1</v>
      </c>
      <c r="J1195" s="77" t="str">
        <f t="shared" si="589"/>
        <v>Senecio</v>
      </c>
      <c r="K1195" s="77" t="str">
        <f t="shared" si="589"/>
        <v>burtoni</v>
      </c>
      <c r="L1195" s="78">
        <f t="shared" si="589"/>
        <v>6</v>
      </c>
      <c r="M1195" s="78">
        <f t="shared" si="589"/>
        <v>12</v>
      </c>
      <c r="N1195" s="72">
        <f t="shared" si="589"/>
        <v>0</v>
      </c>
      <c r="O1195" s="45"/>
      <c r="P1195" s="46">
        <f t="shared" si="565"/>
        <v>1</v>
      </c>
      <c r="Q1195" s="47" t="str">
        <f t="shared" si="566"/>
        <v>11:06:11</v>
      </c>
      <c r="R1195" s="48" t="str">
        <f t="shared" si="567"/>
        <v>06:11</v>
      </c>
      <c r="S1195" s="49">
        <f t="shared" si="560"/>
        <v>9</v>
      </c>
      <c r="T1195" s="48" t="str">
        <f t="shared" si="568"/>
        <v>11</v>
      </c>
      <c r="U1195" s="50">
        <v>6</v>
      </c>
      <c r="V1195" s="51">
        <v>20</v>
      </c>
      <c r="W1195" s="52" t="str">
        <f t="shared" si="569"/>
        <v>06:20</v>
      </c>
      <c r="X1195" s="53" t="s">
        <v>61</v>
      </c>
      <c r="Y1195" s="97" t="s">
        <v>96</v>
      </c>
      <c r="Z1195" s="97" t="s">
        <v>80</v>
      </c>
      <c r="AA1195" s="48" t="s">
        <v>60</v>
      </c>
      <c r="AB1195" s="48" t="str">
        <f t="shared" si="570"/>
        <v>NA</v>
      </c>
      <c r="AC1195" s="54">
        <f t="shared" si="571"/>
        <v>0</v>
      </c>
      <c r="AD1195" s="55">
        <f t="shared" si="586"/>
        <v>1</v>
      </c>
      <c r="AE1195" s="55"/>
      <c r="AF1195" s="55"/>
      <c r="AG1195" s="56">
        <v>1</v>
      </c>
      <c r="AH1195" s="57">
        <v>3</v>
      </c>
      <c r="AI1195" s="56"/>
      <c r="AJ1195" s="57" t="str">
        <f t="shared" si="583"/>
        <v/>
      </c>
      <c r="AK1195" s="56">
        <v>1</v>
      </c>
      <c r="AL1195" s="57">
        <v>6</v>
      </c>
      <c r="AM1195" s="56"/>
      <c r="AN1195" s="57" t="str">
        <f t="shared" si="572"/>
        <v/>
      </c>
      <c r="AO1195" s="56"/>
      <c r="AP1195" s="57" t="str">
        <f t="shared" si="573"/>
        <v/>
      </c>
      <c r="AQ1195" s="56"/>
      <c r="AR1195" s="57" t="str">
        <f t="shared" si="574"/>
        <v/>
      </c>
      <c r="AS1195" s="56"/>
      <c r="AT1195" s="57" t="str">
        <f t="shared" si="575"/>
        <v/>
      </c>
      <c r="AU1195" s="58"/>
      <c r="AV1195" s="59"/>
      <c r="AW1195" s="59"/>
      <c r="AX1195" s="60"/>
      <c r="AY1195" s="61">
        <v>1</v>
      </c>
      <c r="AZ1195" s="62">
        <f t="shared" si="576"/>
        <v>1</v>
      </c>
      <c r="BA1195" s="61">
        <f t="shared" si="577"/>
        <v>0</v>
      </c>
      <c r="BB1195" s="62" t="str">
        <f t="shared" si="578"/>
        <v/>
      </c>
    </row>
    <row r="1196" spans="1:54" s="3" customFormat="1" hidden="1" x14ac:dyDescent="0.35">
      <c r="A1196" s="73">
        <f t="shared" si="561"/>
        <v>2019</v>
      </c>
      <c r="B1196" s="73" t="str">
        <f t="shared" si="562"/>
        <v>Nov</v>
      </c>
      <c r="C1196" s="74">
        <f t="shared" si="579"/>
        <v>17</v>
      </c>
      <c r="D1196" s="75">
        <f t="shared" si="563"/>
        <v>11</v>
      </c>
      <c r="E1196" s="76">
        <f t="shared" si="564"/>
        <v>7</v>
      </c>
      <c r="F1196" s="80"/>
      <c r="G1196" s="83"/>
      <c r="H1196" s="69" t="str">
        <f t="shared" si="580"/>
        <v>Senbur6_20191117_11_00</v>
      </c>
      <c r="I1196" s="70">
        <f t="shared" si="589"/>
        <v>1</v>
      </c>
      <c r="J1196" s="77" t="str">
        <f t="shared" si="589"/>
        <v>Senecio</v>
      </c>
      <c r="K1196" s="77" t="str">
        <f t="shared" si="589"/>
        <v>burtoni</v>
      </c>
      <c r="L1196" s="78">
        <f t="shared" si="589"/>
        <v>6</v>
      </c>
      <c r="M1196" s="78">
        <f t="shared" si="589"/>
        <v>12</v>
      </c>
      <c r="N1196" s="72">
        <f t="shared" si="589"/>
        <v>0</v>
      </c>
      <c r="O1196" s="45"/>
      <c r="P1196" s="46" t="str">
        <f t="shared" si="565"/>
        <v/>
      </c>
      <c r="Q1196" s="47" t="str">
        <f t="shared" si="566"/>
        <v/>
      </c>
      <c r="R1196" s="48" t="e">
        <f t="shared" si="567"/>
        <v>#VALUE!</v>
      </c>
      <c r="S1196" s="49" t="e">
        <f t="shared" si="560"/>
        <v>#VALUE!</v>
      </c>
      <c r="T1196" s="48" t="str">
        <f t="shared" si="568"/>
        <v/>
      </c>
      <c r="U1196" s="50"/>
      <c r="V1196" s="51"/>
      <c r="W1196" s="52" t="e">
        <f t="shared" si="569"/>
        <v>#VALUE!</v>
      </c>
      <c r="X1196" s="53"/>
      <c r="Y1196" s="53"/>
      <c r="Z1196" s="53"/>
      <c r="AA1196" s="48" t="e">
        <f>INDEX([1]!VISITORS[INSECT ORDER], MATCH(X1196,[1]!VISITORS[NAME USED],0))</f>
        <v>#REF!</v>
      </c>
      <c r="AB1196" s="48" t="e">
        <f t="shared" si="570"/>
        <v>#REF!</v>
      </c>
      <c r="AC1196" s="54" t="e">
        <f t="shared" si="571"/>
        <v>#VALUE!</v>
      </c>
      <c r="AD1196" s="55" t="str">
        <f t="shared" si="586"/>
        <v/>
      </c>
      <c r="AE1196" s="55"/>
      <c r="AF1196" s="55"/>
      <c r="AG1196" s="56" t="str">
        <f t="shared" si="587"/>
        <v/>
      </c>
      <c r="AH1196" s="57" t="str">
        <f t="shared" si="582"/>
        <v/>
      </c>
      <c r="AI1196" s="56"/>
      <c r="AJ1196" s="57" t="str">
        <f t="shared" si="583"/>
        <v/>
      </c>
      <c r="AK1196" s="56"/>
      <c r="AL1196" s="57" t="str">
        <f t="shared" si="584"/>
        <v/>
      </c>
      <c r="AM1196" s="56"/>
      <c r="AN1196" s="57" t="str">
        <f t="shared" si="572"/>
        <v/>
      </c>
      <c r="AO1196" s="56"/>
      <c r="AP1196" s="57" t="str">
        <f t="shared" si="573"/>
        <v/>
      </c>
      <c r="AQ1196" s="56"/>
      <c r="AR1196" s="57" t="str">
        <f t="shared" si="574"/>
        <v/>
      </c>
      <c r="AS1196" s="56"/>
      <c r="AT1196" s="57" t="str">
        <f t="shared" si="575"/>
        <v/>
      </c>
      <c r="AU1196" s="58"/>
      <c r="AV1196" s="59"/>
      <c r="AW1196" s="59"/>
      <c r="AX1196" s="60"/>
      <c r="AY1196" s="61" t="str">
        <f t="shared" si="585"/>
        <v/>
      </c>
      <c r="AZ1196" s="62" t="str">
        <f t="shared" si="576"/>
        <v/>
      </c>
      <c r="BA1196" s="61" t="str">
        <f t="shared" si="577"/>
        <v/>
      </c>
      <c r="BB1196" s="62" t="str">
        <f t="shared" si="578"/>
        <v/>
      </c>
    </row>
    <row r="1197" spans="1:54" s="3" customFormat="1" hidden="1" x14ac:dyDescent="0.35">
      <c r="A1197" s="73">
        <f t="shared" si="561"/>
        <v>2019</v>
      </c>
      <c r="B1197" s="73" t="str">
        <f t="shared" si="562"/>
        <v>Nov</v>
      </c>
      <c r="C1197" s="74">
        <f t="shared" si="579"/>
        <v>17</v>
      </c>
      <c r="D1197" s="75">
        <f t="shared" si="563"/>
        <v>11</v>
      </c>
      <c r="E1197" s="76">
        <f t="shared" si="564"/>
        <v>8</v>
      </c>
      <c r="F1197" s="80"/>
      <c r="G1197" s="83"/>
      <c r="H1197" s="69" t="str">
        <f t="shared" si="580"/>
        <v>Senbur6_20191117_11_00</v>
      </c>
      <c r="I1197" s="70">
        <f t="shared" si="589"/>
        <v>1</v>
      </c>
      <c r="J1197" s="77" t="str">
        <f t="shared" si="589"/>
        <v>Senecio</v>
      </c>
      <c r="K1197" s="77" t="str">
        <f t="shared" si="589"/>
        <v>burtoni</v>
      </c>
      <c r="L1197" s="78">
        <f t="shared" si="589"/>
        <v>6</v>
      </c>
      <c r="M1197" s="78">
        <f t="shared" si="589"/>
        <v>12</v>
      </c>
      <c r="N1197" s="72">
        <f t="shared" si="589"/>
        <v>0</v>
      </c>
      <c r="O1197" s="45"/>
      <c r="P1197" s="46" t="str">
        <f t="shared" si="565"/>
        <v/>
      </c>
      <c r="Q1197" s="47" t="str">
        <f t="shared" si="566"/>
        <v/>
      </c>
      <c r="R1197" s="48" t="e">
        <f t="shared" si="567"/>
        <v>#VALUE!</v>
      </c>
      <c r="S1197" s="49" t="e">
        <f t="shared" si="560"/>
        <v>#VALUE!</v>
      </c>
      <c r="T1197" s="48" t="str">
        <f t="shared" si="568"/>
        <v/>
      </c>
      <c r="U1197" s="50"/>
      <c r="V1197" s="51"/>
      <c r="W1197" s="52" t="e">
        <f t="shared" si="569"/>
        <v>#VALUE!</v>
      </c>
      <c r="X1197" s="53"/>
      <c r="Y1197" s="53"/>
      <c r="Z1197" s="53"/>
      <c r="AA1197" s="48" t="e">
        <f>INDEX([1]!VISITORS[INSECT ORDER], MATCH(X1197,[1]!VISITORS[NAME USED],0))</f>
        <v>#REF!</v>
      </c>
      <c r="AB1197" s="48" t="e">
        <f t="shared" si="570"/>
        <v>#REF!</v>
      </c>
      <c r="AC1197" s="54" t="e">
        <f t="shared" si="571"/>
        <v>#VALUE!</v>
      </c>
      <c r="AD1197" s="55" t="str">
        <f t="shared" si="586"/>
        <v/>
      </c>
      <c r="AE1197" s="55"/>
      <c r="AF1197" s="55"/>
      <c r="AG1197" s="56" t="str">
        <f t="shared" si="587"/>
        <v/>
      </c>
      <c r="AH1197" s="57" t="str">
        <f t="shared" si="582"/>
        <v/>
      </c>
      <c r="AI1197" s="56"/>
      <c r="AJ1197" s="57" t="str">
        <f t="shared" si="583"/>
        <v/>
      </c>
      <c r="AK1197" s="56"/>
      <c r="AL1197" s="57" t="str">
        <f t="shared" si="584"/>
        <v/>
      </c>
      <c r="AM1197" s="56"/>
      <c r="AN1197" s="57" t="str">
        <f t="shared" si="572"/>
        <v/>
      </c>
      <c r="AO1197" s="56"/>
      <c r="AP1197" s="57" t="str">
        <f t="shared" si="573"/>
        <v/>
      </c>
      <c r="AQ1197" s="56"/>
      <c r="AR1197" s="57" t="str">
        <f t="shared" si="574"/>
        <v/>
      </c>
      <c r="AS1197" s="56"/>
      <c r="AT1197" s="57" t="str">
        <f t="shared" si="575"/>
        <v/>
      </c>
      <c r="AU1197" s="58"/>
      <c r="AV1197" s="59"/>
      <c r="AW1197" s="59"/>
      <c r="AX1197" s="60"/>
      <c r="AY1197" s="61" t="str">
        <f t="shared" si="585"/>
        <v/>
      </c>
      <c r="AZ1197" s="62" t="str">
        <f t="shared" si="576"/>
        <v/>
      </c>
      <c r="BA1197" s="61" t="str">
        <f t="shared" si="577"/>
        <v/>
      </c>
      <c r="BB1197" s="62" t="str">
        <f t="shared" si="578"/>
        <v/>
      </c>
    </row>
    <row r="1198" spans="1:54" s="3" customFormat="1" hidden="1" x14ac:dyDescent="0.35">
      <c r="A1198" s="73">
        <f t="shared" si="561"/>
        <v>2019</v>
      </c>
      <c r="B1198" s="73" t="str">
        <f t="shared" si="562"/>
        <v>Nov</v>
      </c>
      <c r="C1198" s="74">
        <f t="shared" si="579"/>
        <v>17</v>
      </c>
      <c r="D1198" s="75">
        <f t="shared" si="563"/>
        <v>11</v>
      </c>
      <c r="E1198" s="76">
        <f t="shared" si="564"/>
        <v>9</v>
      </c>
      <c r="F1198" s="80"/>
      <c r="G1198" s="83"/>
      <c r="H1198" s="69" t="str">
        <f t="shared" si="580"/>
        <v>Senbur6_20191117_11_00</v>
      </c>
      <c r="I1198" s="70">
        <f t="shared" si="589"/>
        <v>1</v>
      </c>
      <c r="J1198" s="77" t="str">
        <f t="shared" si="589"/>
        <v>Senecio</v>
      </c>
      <c r="K1198" s="77" t="str">
        <f t="shared" si="589"/>
        <v>burtoni</v>
      </c>
      <c r="L1198" s="78">
        <f t="shared" si="589"/>
        <v>6</v>
      </c>
      <c r="M1198" s="78">
        <f t="shared" si="589"/>
        <v>12</v>
      </c>
      <c r="N1198" s="72">
        <f t="shared" si="589"/>
        <v>0</v>
      </c>
      <c r="O1198" s="45"/>
      <c r="P1198" s="46" t="str">
        <f t="shared" si="565"/>
        <v/>
      </c>
      <c r="Q1198" s="47" t="str">
        <f t="shared" si="566"/>
        <v/>
      </c>
      <c r="R1198" s="48" t="e">
        <f t="shared" si="567"/>
        <v>#VALUE!</v>
      </c>
      <c r="S1198" s="49" t="e">
        <f t="shared" si="560"/>
        <v>#VALUE!</v>
      </c>
      <c r="T1198" s="48" t="str">
        <f t="shared" si="568"/>
        <v/>
      </c>
      <c r="U1198" s="50"/>
      <c r="V1198" s="51"/>
      <c r="W1198" s="52" t="e">
        <f t="shared" si="569"/>
        <v>#VALUE!</v>
      </c>
      <c r="X1198" s="53"/>
      <c r="Y1198" s="53"/>
      <c r="Z1198" s="53"/>
      <c r="AA1198" s="48" t="e">
        <f>INDEX([1]!VISITORS[INSECT ORDER], MATCH(X1198,[1]!VISITORS[NAME USED],0))</f>
        <v>#REF!</v>
      </c>
      <c r="AB1198" s="48" t="e">
        <f t="shared" si="570"/>
        <v>#REF!</v>
      </c>
      <c r="AC1198" s="54" t="e">
        <f t="shared" si="571"/>
        <v>#VALUE!</v>
      </c>
      <c r="AD1198" s="55" t="str">
        <f t="shared" si="586"/>
        <v/>
      </c>
      <c r="AE1198" s="55"/>
      <c r="AF1198" s="55"/>
      <c r="AG1198" s="56" t="str">
        <f t="shared" si="587"/>
        <v/>
      </c>
      <c r="AH1198" s="57" t="str">
        <f t="shared" si="582"/>
        <v/>
      </c>
      <c r="AI1198" s="56"/>
      <c r="AJ1198" s="57" t="str">
        <f t="shared" si="583"/>
        <v/>
      </c>
      <c r="AK1198" s="56"/>
      <c r="AL1198" s="57" t="str">
        <f t="shared" si="584"/>
        <v/>
      </c>
      <c r="AM1198" s="56"/>
      <c r="AN1198" s="57" t="str">
        <f t="shared" si="572"/>
        <v/>
      </c>
      <c r="AO1198" s="56"/>
      <c r="AP1198" s="57" t="str">
        <f t="shared" si="573"/>
        <v/>
      </c>
      <c r="AQ1198" s="56"/>
      <c r="AR1198" s="57" t="str">
        <f t="shared" si="574"/>
        <v/>
      </c>
      <c r="AS1198" s="56"/>
      <c r="AT1198" s="57" t="str">
        <f t="shared" si="575"/>
        <v/>
      </c>
      <c r="AU1198" s="58"/>
      <c r="AV1198" s="59"/>
      <c r="AW1198" s="59"/>
      <c r="AX1198" s="60"/>
      <c r="AY1198" s="61" t="str">
        <f t="shared" si="585"/>
        <v/>
      </c>
      <c r="AZ1198" s="62" t="str">
        <f t="shared" si="576"/>
        <v/>
      </c>
      <c r="BA1198" s="61" t="str">
        <f t="shared" si="577"/>
        <v/>
      </c>
      <c r="BB1198" s="62" t="str">
        <f t="shared" si="578"/>
        <v/>
      </c>
    </row>
    <row r="1199" spans="1:54" s="3" customFormat="1" hidden="1" x14ac:dyDescent="0.35">
      <c r="A1199" s="73">
        <f t="shared" si="561"/>
        <v>2019</v>
      </c>
      <c r="B1199" s="73" t="str">
        <f t="shared" si="562"/>
        <v>Nov</v>
      </c>
      <c r="C1199" s="74">
        <f t="shared" si="579"/>
        <v>17</v>
      </c>
      <c r="D1199" s="75">
        <f t="shared" si="563"/>
        <v>11</v>
      </c>
      <c r="E1199" s="76">
        <f t="shared" si="564"/>
        <v>10</v>
      </c>
      <c r="F1199" s="80"/>
      <c r="G1199" s="83"/>
      <c r="H1199" s="69" t="str">
        <f t="shared" si="580"/>
        <v>Senbur6_20191117_11_00</v>
      </c>
      <c r="I1199" s="70">
        <f t="shared" si="589"/>
        <v>1</v>
      </c>
      <c r="J1199" s="77" t="str">
        <f t="shared" si="589"/>
        <v>Senecio</v>
      </c>
      <c r="K1199" s="77" t="str">
        <f t="shared" si="589"/>
        <v>burtoni</v>
      </c>
      <c r="L1199" s="78">
        <f t="shared" si="589"/>
        <v>6</v>
      </c>
      <c r="M1199" s="78">
        <f t="shared" si="589"/>
        <v>12</v>
      </c>
      <c r="N1199" s="72">
        <f t="shared" si="589"/>
        <v>0</v>
      </c>
      <c r="O1199" s="45"/>
      <c r="P1199" s="46" t="str">
        <f t="shared" si="565"/>
        <v/>
      </c>
      <c r="Q1199" s="47" t="str">
        <f t="shared" si="566"/>
        <v/>
      </c>
      <c r="R1199" s="48" t="e">
        <f t="shared" si="567"/>
        <v>#VALUE!</v>
      </c>
      <c r="S1199" s="49" t="e">
        <f t="shared" si="560"/>
        <v>#VALUE!</v>
      </c>
      <c r="T1199" s="48" t="str">
        <f t="shared" si="568"/>
        <v/>
      </c>
      <c r="U1199" s="50"/>
      <c r="V1199" s="51"/>
      <c r="W1199" s="52" t="e">
        <f t="shared" si="569"/>
        <v>#VALUE!</v>
      </c>
      <c r="X1199" s="53"/>
      <c r="Y1199" s="53"/>
      <c r="Z1199" s="53"/>
      <c r="AA1199" s="48" t="e">
        <f>INDEX([1]!VISITORS[INSECT ORDER], MATCH(X1199,[1]!VISITORS[NAME USED],0))</f>
        <v>#REF!</v>
      </c>
      <c r="AB1199" s="48" t="e">
        <f t="shared" si="570"/>
        <v>#REF!</v>
      </c>
      <c r="AC1199" s="54" t="e">
        <f t="shared" si="571"/>
        <v>#VALUE!</v>
      </c>
      <c r="AD1199" s="55" t="str">
        <f t="shared" si="586"/>
        <v/>
      </c>
      <c r="AE1199" s="55"/>
      <c r="AF1199" s="55"/>
      <c r="AG1199" s="56" t="str">
        <f t="shared" si="587"/>
        <v/>
      </c>
      <c r="AH1199" s="57" t="str">
        <f t="shared" si="582"/>
        <v/>
      </c>
      <c r="AI1199" s="56"/>
      <c r="AJ1199" s="57" t="str">
        <f t="shared" si="583"/>
        <v/>
      </c>
      <c r="AK1199" s="56"/>
      <c r="AL1199" s="57" t="str">
        <f t="shared" si="584"/>
        <v/>
      </c>
      <c r="AM1199" s="56"/>
      <c r="AN1199" s="57" t="str">
        <f t="shared" si="572"/>
        <v/>
      </c>
      <c r="AO1199" s="56"/>
      <c r="AP1199" s="57" t="str">
        <f t="shared" si="573"/>
        <v/>
      </c>
      <c r="AQ1199" s="56"/>
      <c r="AR1199" s="57" t="str">
        <f t="shared" si="574"/>
        <v/>
      </c>
      <c r="AS1199" s="56"/>
      <c r="AT1199" s="57" t="str">
        <f t="shared" si="575"/>
        <v/>
      </c>
      <c r="AU1199" s="58"/>
      <c r="AV1199" s="59"/>
      <c r="AW1199" s="59"/>
      <c r="AX1199" s="60"/>
      <c r="AY1199" s="61" t="str">
        <f t="shared" si="585"/>
        <v/>
      </c>
      <c r="AZ1199" s="62" t="str">
        <f t="shared" si="576"/>
        <v/>
      </c>
      <c r="BA1199" s="61" t="str">
        <f t="shared" si="577"/>
        <v/>
      </c>
      <c r="BB1199" s="62" t="str">
        <f t="shared" si="578"/>
        <v/>
      </c>
    </row>
    <row r="1200" spans="1:54" s="3" customFormat="1" hidden="1" x14ac:dyDescent="0.35">
      <c r="A1200" s="73">
        <f t="shared" si="561"/>
        <v>2019</v>
      </c>
      <c r="B1200" s="73" t="str">
        <f t="shared" si="562"/>
        <v>Nov</v>
      </c>
      <c r="C1200" s="74">
        <f t="shared" si="579"/>
        <v>17</v>
      </c>
      <c r="D1200" s="75">
        <f t="shared" si="563"/>
        <v>11</v>
      </c>
      <c r="E1200" s="76">
        <f t="shared" si="564"/>
        <v>11</v>
      </c>
      <c r="F1200" s="80">
        <v>55</v>
      </c>
      <c r="G1200" s="83"/>
      <c r="H1200" s="69" t="str">
        <f t="shared" si="580"/>
        <v>Senbur6_20191117_11_00</v>
      </c>
      <c r="I1200" s="70">
        <f t="shared" si="589"/>
        <v>1</v>
      </c>
      <c r="J1200" s="77" t="str">
        <f t="shared" si="589"/>
        <v>Senecio</v>
      </c>
      <c r="K1200" s="77" t="str">
        <f t="shared" si="589"/>
        <v>burtoni</v>
      </c>
      <c r="L1200" s="78">
        <f t="shared" si="589"/>
        <v>6</v>
      </c>
      <c r="M1200" s="78">
        <f t="shared" si="589"/>
        <v>12</v>
      </c>
      <c r="N1200" s="72">
        <f t="shared" si="589"/>
        <v>0</v>
      </c>
      <c r="O1200" s="45"/>
      <c r="P1200" s="46">
        <f t="shared" si="565"/>
        <v>1</v>
      </c>
      <c r="Q1200" s="47" t="str">
        <f t="shared" si="566"/>
        <v>11:11:55</v>
      </c>
      <c r="R1200" s="48" t="str">
        <f t="shared" si="567"/>
        <v>11:55</v>
      </c>
      <c r="S1200" s="49">
        <f t="shared" si="560"/>
        <v>11</v>
      </c>
      <c r="T1200" s="48" t="str">
        <f t="shared" si="568"/>
        <v>11</v>
      </c>
      <c r="U1200" s="50">
        <v>12</v>
      </c>
      <c r="V1200" s="51">
        <v>6</v>
      </c>
      <c r="W1200" s="52" t="str">
        <f t="shared" si="569"/>
        <v>12:06</v>
      </c>
      <c r="X1200" s="53" t="s">
        <v>61</v>
      </c>
      <c r="Y1200" s="97" t="s">
        <v>96</v>
      </c>
      <c r="Z1200" s="97" t="s">
        <v>80</v>
      </c>
      <c r="AA1200" s="48" t="s">
        <v>60</v>
      </c>
      <c r="AB1200" s="48" t="str">
        <f t="shared" si="570"/>
        <v>NA</v>
      </c>
      <c r="AC1200" s="54">
        <f t="shared" si="571"/>
        <v>0</v>
      </c>
      <c r="AD1200" s="55">
        <f t="shared" si="586"/>
        <v>1</v>
      </c>
      <c r="AE1200" s="55"/>
      <c r="AF1200" s="55"/>
      <c r="AG1200" s="56" t="str">
        <f t="shared" si="587"/>
        <v/>
      </c>
      <c r="AH1200" s="57" t="str">
        <f t="shared" si="582"/>
        <v/>
      </c>
      <c r="AI1200" s="56"/>
      <c r="AJ1200" s="57" t="str">
        <f t="shared" si="583"/>
        <v/>
      </c>
      <c r="AK1200" s="56">
        <v>1</v>
      </c>
      <c r="AL1200" s="57">
        <v>11</v>
      </c>
      <c r="AM1200" s="56"/>
      <c r="AN1200" s="57" t="str">
        <f t="shared" si="572"/>
        <v/>
      </c>
      <c r="AO1200" s="56"/>
      <c r="AP1200" s="57" t="str">
        <f t="shared" si="573"/>
        <v/>
      </c>
      <c r="AQ1200" s="56"/>
      <c r="AR1200" s="57" t="str">
        <f t="shared" si="574"/>
        <v/>
      </c>
      <c r="AS1200" s="56"/>
      <c r="AT1200" s="57" t="str">
        <f t="shared" si="575"/>
        <v/>
      </c>
      <c r="AU1200" s="58"/>
      <c r="AV1200" s="59"/>
      <c r="AW1200" s="59"/>
      <c r="AX1200" s="60"/>
      <c r="AY1200" s="61">
        <v>1</v>
      </c>
      <c r="AZ1200" s="62">
        <f t="shared" si="576"/>
        <v>1</v>
      </c>
      <c r="BA1200" s="61">
        <f t="shared" si="577"/>
        <v>0</v>
      </c>
      <c r="BB1200" s="62" t="str">
        <f t="shared" si="578"/>
        <v/>
      </c>
    </row>
    <row r="1201" spans="1:54" s="3" customFormat="1" hidden="1" x14ac:dyDescent="0.35">
      <c r="A1201" s="73">
        <f t="shared" si="561"/>
        <v>2019</v>
      </c>
      <c r="B1201" s="73" t="str">
        <f t="shared" si="562"/>
        <v>Nov</v>
      </c>
      <c r="C1201" s="74">
        <f t="shared" si="579"/>
        <v>17</v>
      </c>
      <c r="D1201" s="75">
        <f t="shared" si="563"/>
        <v>11</v>
      </c>
      <c r="E1201" s="76">
        <f t="shared" si="564"/>
        <v>12</v>
      </c>
      <c r="F1201" s="80"/>
      <c r="G1201" s="83"/>
      <c r="H1201" s="69" t="str">
        <f t="shared" si="580"/>
        <v>Senbur6_20191117_11_00</v>
      </c>
      <c r="I1201" s="70">
        <f t="shared" si="589"/>
        <v>1</v>
      </c>
      <c r="J1201" s="77" t="str">
        <f t="shared" si="589"/>
        <v>Senecio</v>
      </c>
      <c r="K1201" s="77" t="str">
        <f t="shared" si="589"/>
        <v>burtoni</v>
      </c>
      <c r="L1201" s="78">
        <f t="shared" si="589"/>
        <v>6</v>
      </c>
      <c r="M1201" s="78">
        <f t="shared" si="589"/>
        <v>12</v>
      </c>
      <c r="N1201" s="72">
        <f t="shared" si="589"/>
        <v>0</v>
      </c>
      <c r="O1201" s="45"/>
      <c r="P1201" s="46" t="str">
        <f t="shared" si="565"/>
        <v/>
      </c>
      <c r="Q1201" s="47" t="str">
        <f t="shared" si="566"/>
        <v/>
      </c>
      <c r="R1201" s="48" t="e">
        <f t="shared" si="567"/>
        <v>#VALUE!</v>
      </c>
      <c r="S1201" s="49" t="e">
        <f t="shared" si="560"/>
        <v>#VALUE!</v>
      </c>
      <c r="T1201" s="48" t="str">
        <f t="shared" si="568"/>
        <v/>
      </c>
      <c r="U1201" s="50"/>
      <c r="V1201" s="51"/>
      <c r="W1201" s="52" t="e">
        <f t="shared" si="569"/>
        <v>#VALUE!</v>
      </c>
      <c r="X1201" s="53"/>
      <c r="Y1201" s="53"/>
      <c r="Z1201" s="53"/>
      <c r="AA1201" s="48" t="e">
        <f>INDEX([1]!VISITORS[INSECT ORDER], MATCH(X1201,[1]!VISITORS[NAME USED],0))</f>
        <v>#REF!</v>
      </c>
      <c r="AB1201" s="48" t="e">
        <f t="shared" si="570"/>
        <v>#REF!</v>
      </c>
      <c r="AC1201" s="54" t="e">
        <f t="shared" si="571"/>
        <v>#VALUE!</v>
      </c>
      <c r="AD1201" s="55" t="str">
        <f t="shared" si="586"/>
        <v/>
      </c>
      <c r="AE1201" s="55"/>
      <c r="AF1201" s="55"/>
      <c r="AG1201" s="56" t="str">
        <f t="shared" si="587"/>
        <v/>
      </c>
      <c r="AH1201" s="57" t="str">
        <f t="shared" si="582"/>
        <v/>
      </c>
      <c r="AI1201" s="56"/>
      <c r="AJ1201" s="57" t="str">
        <f t="shared" si="583"/>
        <v/>
      </c>
      <c r="AK1201" s="56"/>
      <c r="AL1201" s="57" t="str">
        <f t="shared" si="584"/>
        <v/>
      </c>
      <c r="AM1201" s="56"/>
      <c r="AN1201" s="57" t="str">
        <f t="shared" si="572"/>
        <v/>
      </c>
      <c r="AO1201" s="56"/>
      <c r="AP1201" s="57" t="str">
        <f t="shared" si="573"/>
        <v/>
      </c>
      <c r="AQ1201" s="56"/>
      <c r="AR1201" s="57" t="str">
        <f t="shared" si="574"/>
        <v/>
      </c>
      <c r="AS1201" s="56"/>
      <c r="AT1201" s="57" t="str">
        <f t="shared" si="575"/>
        <v/>
      </c>
      <c r="AU1201" s="58"/>
      <c r="AV1201" s="59"/>
      <c r="AW1201" s="59"/>
      <c r="AX1201" s="60"/>
      <c r="AY1201" s="61" t="str">
        <f t="shared" si="585"/>
        <v/>
      </c>
      <c r="AZ1201" s="62" t="str">
        <f t="shared" si="576"/>
        <v/>
      </c>
      <c r="BA1201" s="61" t="str">
        <f t="shared" si="577"/>
        <v/>
      </c>
      <c r="BB1201" s="62" t="str">
        <f t="shared" si="578"/>
        <v/>
      </c>
    </row>
    <row r="1202" spans="1:54" s="3" customFormat="1" hidden="1" x14ac:dyDescent="0.35">
      <c r="A1202" s="73">
        <f t="shared" si="561"/>
        <v>2019</v>
      </c>
      <c r="B1202" s="73" t="str">
        <f t="shared" si="562"/>
        <v>Nov</v>
      </c>
      <c r="C1202" s="74">
        <f t="shared" si="579"/>
        <v>17</v>
      </c>
      <c r="D1202" s="75">
        <f t="shared" si="563"/>
        <v>11</v>
      </c>
      <c r="E1202" s="76">
        <f t="shared" si="564"/>
        <v>13</v>
      </c>
      <c r="F1202" s="80"/>
      <c r="G1202" s="83"/>
      <c r="H1202" s="69" t="str">
        <f t="shared" si="580"/>
        <v>Senbur6_20191117_11_00</v>
      </c>
      <c r="I1202" s="70">
        <f t="shared" si="589"/>
        <v>1</v>
      </c>
      <c r="J1202" s="77" t="str">
        <f t="shared" si="589"/>
        <v>Senecio</v>
      </c>
      <c r="K1202" s="77" t="str">
        <f t="shared" si="589"/>
        <v>burtoni</v>
      </c>
      <c r="L1202" s="78">
        <f t="shared" si="589"/>
        <v>6</v>
      </c>
      <c r="M1202" s="78">
        <f t="shared" si="589"/>
        <v>12</v>
      </c>
      <c r="N1202" s="72">
        <f t="shared" si="589"/>
        <v>0</v>
      </c>
      <c r="O1202" s="45"/>
      <c r="P1202" s="46" t="str">
        <f t="shared" si="565"/>
        <v/>
      </c>
      <c r="Q1202" s="47" t="str">
        <f t="shared" si="566"/>
        <v/>
      </c>
      <c r="R1202" s="48" t="e">
        <f t="shared" si="567"/>
        <v>#VALUE!</v>
      </c>
      <c r="S1202" s="49" t="e">
        <f t="shared" si="560"/>
        <v>#VALUE!</v>
      </c>
      <c r="T1202" s="48" t="str">
        <f t="shared" si="568"/>
        <v/>
      </c>
      <c r="U1202" s="50"/>
      <c r="V1202" s="51"/>
      <c r="W1202" s="52" t="e">
        <f t="shared" si="569"/>
        <v>#VALUE!</v>
      </c>
      <c r="X1202" s="53"/>
      <c r="Y1202" s="53"/>
      <c r="Z1202" s="53"/>
      <c r="AA1202" s="48" t="e">
        <f>INDEX([1]!VISITORS[INSECT ORDER], MATCH(X1202,[1]!VISITORS[NAME USED],0))</f>
        <v>#REF!</v>
      </c>
      <c r="AB1202" s="48" t="e">
        <f t="shared" si="570"/>
        <v>#REF!</v>
      </c>
      <c r="AC1202" s="54" t="e">
        <f t="shared" si="571"/>
        <v>#VALUE!</v>
      </c>
      <c r="AD1202" s="55" t="str">
        <f t="shared" si="586"/>
        <v/>
      </c>
      <c r="AE1202" s="55"/>
      <c r="AF1202" s="55"/>
      <c r="AG1202" s="56" t="str">
        <f t="shared" si="587"/>
        <v/>
      </c>
      <c r="AH1202" s="57" t="str">
        <f t="shared" si="582"/>
        <v/>
      </c>
      <c r="AI1202" s="56"/>
      <c r="AJ1202" s="57" t="str">
        <f t="shared" si="583"/>
        <v/>
      </c>
      <c r="AK1202" s="56"/>
      <c r="AL1202" s="57" t="str">
        <f t="shared" si="584"/>
        <v/>
      </c>
      <c r="AM1202" s="56"/>
      <c r="AN1202" s="57" t="str">
        <f t="shared" si="572"/>
        <v/>
      </c>
      <c r="AO1202" s="56"/>
      <c r="AP1202" s="57" t="str">
        <f t="shared" si="573"/>
        <v/>
      </c>
      <c r="AQ1202" s="56"/>
      <c r="AR1202" s="57" t="str">
        <f t="shared" si="574"/>
        <v/>
      </c>
      <c r="AS1202" s="56"/>
      <c r="AT1202" s="57" t="str">
        <f t="shared" si="575"/>
        <v/>
      </c>
      <c r="AU1202" s="58"/>
      <c r="AV1202" s="59"/>
      <c r="AW1202" s="59"/>
      <c r="AX1202" s="60"/>
      <c r="AY1202" s="61" t="str">
        <f t="shared" si="585"/>
        <v/>
      </c>
      <c r="AZ1202" s="62" t="str">
        <f t="shared" si="576"/>
        <v/>
      </c>
      <c r="BA1202" s="61" t="str">
        <f t="shared" si="577"/>
        <v/>
      </c>
      <c r="BB1202" s="62" t="str">
        <f t="shared" si="578"/>
        <v/>
      </c>
    </row>
    <row r="1203" spans="1:54" s="3" customFormat="1" hidden="1" x14ac:dyDescent="0.35">
      <c r="A1203" s="73">
        <f t="shared" si="561"/>
        <v>2019</v>
      </c>
      <c r="B1203" s="73" t="str">
        <f t="shared" si="562"/>
        <v>Nov</v>
      </c>
      <c r="C1203" s="74">
        <f t="shared" si="579"/>
        <v>17</v>
      </c>
      <c r="D1203" s="75">
        <f t="shared" si="563"/>
        <v>11</v>
      </c>
      <c r="E1203" s="76">
        <f t="shared" si="564"/>
        <v>14</v>
      </c>
      <c r="F1203" s="80"/>
      <c r="G1203" s="83"/>
      <c r="H1203" s="69" t="str">
        <f t="shared" si="580"/>
        <v>Senbur6_20191117_11_00</v>
      </c>
      <c r="I1203" s="70">
        <f t="shared" si="589"/>
        <v>1</v>
      </c>
      <c r="J1203" s="77" t="str">
        <f t="shared" si="589"/>
        <v>Senecio</v>
      </c>
      <c r="K1203" s="77" t="str">
        <f t="shared" si="589"/>
        <v>burtoni</v>
      </c>
      <c r="L1203" s="78">
        <f t="shared" si="589"/>
        <v>6</v>
      </c>
      <c r="M1203" s="78">
        <f t="shared" si="589"/>
        <v>12</v>
      </c>
      <c r="N1203" s="72">
        <f t="shared" si="589"/>
        <v>0</v>
      </c>
      <c r="O1203" s="45"/>
      <c r="P1203" s="46" t="str">
        <f t="shared" si="565"/>
        <v/>
      </c>
      <c r="Q1203" s="47" t="str">
        <f t="shared" si="566"/>
        <v/>
      </c>
      <c r="R1203" s="48" t="e">
        <f t="shared" si="567"/>
        <v>#VALUE!</v>
      </c>
      <c r="S1203" s="49" t="e">
        <f t="shared" si="560"/>
        <v>#VALUE!</v>
      </c>
      <c r="T1203" s="48" t="str">
        <f t="shared" si="568"/>
        <v/>
      </c>
      <c r="U1203" s="50"/>
      <c r="V1203" s="51"/>
      <c r="W1203" s="52" t="e">
        <f t="shared" si="569"/>
        <v>#VALUE!</v>
      </c>
      <c r="X1203" s="53"/>
      <c r="Y1203" s="53"/>
      <c r="Z1203" s="53"/>
      <c r="AA1203" s="48" t="e">
        <f>INDEX([1]!VISITORS[INSECT ORDER], MATCH(X1203,[1]!VISITORS[NAME USED],0))</f>
        <v>#REF!</v>
      </c>
      <c r="AB1203" s="48" t="e">
        <f t="shared" si="570"/>
        <v>#REF!</v>
      </c>
      <c r="AC1203" s="54" t="e">
        <f t="shared" si="571"/>
        <v>#VALUE!</v>
      </c>
      <c r="AD1203" s="55" t="str">
        <f t="shared" si="586"/>
        <v/>
      </c>
      <c r="AE1203" s="55"/>
      <c r="AF1203" s="55"/>
      <c r="AG1203" s="56" t="str">
        <f t="shared" si="587"/>
        <v/>
      </c>
      <c r="AH1203" s="57" t="str">
        <f t="shared" si="582"/>
        <v/>
      </c>
      <c r="AI1203" s="56"/>
      <c r="AJ1203" s="57" t="str">
        <f t="shared" si="583"/>
        <v/>
      </c>
      <c r="AK1203" s="56"/>
      <c r="AL1203" s="57" t="str">
        <f t="shared" si="584"/>
        <v/>
      </c>
      <c r="AM1203" s="56"/>
      <c r="AN1203" s="57" t="str">
        <f t="shared" si="572"/>
        <v/>
      </c>
      <c r="AO1203" s="56"/>
      <c r="AP1203" s="57" t="str">
        <f t="shared" si="573"/>
        <v/>
      </c>
      <c r="AQ1203" s="56"/>
      <c r="AR1203" s="57" t="str">
        <f t="shared" si="574"/>
        <v/>
      </c>
      <c r="AS1203" s="56"/>
      <c r="AT1203" s="57" t="str">
        <f t="shared" si="575"/>
        <v/>
      </c>
      <c r="AU1203" s="58"/>
      <c r="AV1203" s="59"/>
      <c r="AW1203" s="59"/>
      <c r="AX1203" s="60"/>
      <c r="AY1203" s="61" t="str">
        <f t="shared" si="585"/>
        <v/>
      </c>
      <c r="AZ1203" s="62" t="str">
        <f t="shared" si="576"/>
        <v/>
      </c>
      <c r="BA1203" s="61" t="str">
        <f t="shared" si="577"/>
        <v/>
      </c>
      <c r="BB1203" s="62" t="str">
        <f t="shared" si="578"/>
        <v/>
      </c>
    </row>
    <row r="1204" spans="1:54" s="3" customFormat="1" hidden="1" x14ac:dyDescent="0.35">
      <c r="A1204" s="73">
        <f t="shared" si="561"/>
        <v>2019</v>
      </c>
      <c r="B1204" s="73" t="str">
        <f t="shared" si="562"/>
        <v>Nov</v>
      </c>
      <c r="C1204" s="74">
        <f t="shared" si="579"/>
        <v>17</v>
      </c>
      <c r="D1204" s="75">
        <f t="shared" si="563"/>
        <v>11</v>
      </c>
      <c r="E1204" s="76">
        <f t="shared" si="564"/>
        <v>15</v>
      </c>
      <c r="F1204" s="80"/>
      <c r="G1204" s="83"/>
      <c r="H1204" s="69" t="str">
        <f t="shared" si="580"/>
        <v>Senbur6_20191117_11_00</v>
      </c>
      <c r="I1204" s="70">
        <f t="shared" si="589"/>
        <v>1</v>
      </c>
      <c r="J1204" s="77" t="str">
        <f t="shared" si="589"/>
        <v>Senecio</v>
      </c>
      <c r="K1204" s="77" t="str">
        <f t="shared" si="589"/>
        <v>burtoni</v>
      </c>
      <c r="L1204" s="78">
        <f t="shared" si="589"/>
        <v>6</v>
      </c>
      <c r="M1204" s="78">
        <f t="shared" si="589"/>
        <v>12</v>
      </c>
      <c r="N1204" s="72">
        <f t="shared" si="589"/>
        <v>0</v>
      </c>
      <c r="O1204" s="45"/>
      <c r="P1204" s="46" t="str">
        <f t="shared" si="565"/>
        <v/>
      </c>
      <c r="Q1204" s="47" t="str">
        <f t="shared" si="566"/>
        <v/>
      </c>
      <c r="R1204" s="48" t="e">
        <f t="shared" si="567"/>
        <v>#VALUE!</v>
      </c>
      <c r="S1204" s="49" t="e">
        <f t="shared" si="560"/>
        <v>#VALUE!</v>
      </c>
      <c r="T1204" s="48" t="str">
        <f t="shared" si="568"/>
        <v/>
      </c>
      <c r="U1204" s="50"/>
      <c r="V1204" s="51"/>
      <c r="W1204" s="52" t="e">
        <f t="shared" si="569"/>
        <v>#VALUE!</v>
      </c>
      <c r="X1204" s="53"/>
      <c r="Y1204" s="53"/>
      <c r="Z1204" s="53"/>
      <c r="AA1204" s="48" t="e">
        <f>INDEX([1]!VISITORS[INSECT ORDER], MATCH(X1204,[1]!VISITORS[NAME USED],0))</f>
        <v>#REF!</v>
      </c>
      <c r="AB1204" s="48" t="e">
        <f t="shared" si="570"/>
        <v>#REF!</v>
      </c>
      <c r="AC1204" s="54" t="e">
        <f t="shared" si="571"/>
        <v>#VALUE!</v>
      </c>
      <c r="AD1204" s="55" t="str">
        <f t="shared" si="586"/>
        <v/>
      </c>
      <c r="AE1204" s="55"/>
      <c r="AF1204" s="55"/>
      <c r="AG1204" s="56" t="str">
        <f t="shared" si="587"/>
        <v/>
      </c>
      <c r="AH1204" s="57" t="str">
        <f t="shared" si="582"/>
        <v/>
      </c>
      <c r="AI1204" s="56"/>
      <c r="AJ1204" s="57" t="str">
        <f t="shared" si="583"/>
        <v/>
      </c>
      <c r="AK1204" s="56"/>
      <c r="AL1204" s="57" t="str">
        <f t="shared" si="584"/>
        <v/>
      </c>
      <c r="AM1204" s="56"/>
      <c r="AN1204" s="57" t="str">
        <f t="shared" si="572"/>
        <v/>
      </c>
      <c r="AO1204" s="56"/>
      <c r="AP1204" s="57" t="str">
        <f t="shared" si="573"/>
        <v/>
      </c>
      <c r="AQ1204" s="56"/>
      <c r="AR1204" s="57" t="str">
        <f t="shared" si="574"/>
        <v/>
      </c>
      <c r="AS1204" s="56"/>
      <c r="AT1204" s="57" t="str">
        <f t="shared" si="575"/>
        <v/>
      </c>
      <c r="AU1204" s="58"/>
      <c r="AV1204" s="59"/>
      <c r="AW1204" s="59"/>
      <c r="AX1204" s="60"/>
      <c r="AY1204" s="61" t="str">
        <f t="shared" si="585"/>
        <v/>
      </c>
      <c r="AZ1204" s="62" t="str">
        <f t="shared" si="576"/>
        <v/>
      </c>
      <c r="BA1204" s="61" t="str">
        <f t="shared" si="577"/>
        <v/>
      </c>
      <c r="BB1204" s="62" t="str">
        <f t="shared" si="578"/>
        <v/>
      </c>
    </row>
    <row r="1205" spans="1:54" s="3" customFormat="1" hidden="1" x14ac:dyDescent="0.35">
      <c r="A1205" s="73">
        <f t="shared" si="561"/>
        <v>2019</v>
      </c>
      <c r="B1205" s="73" t="str">
        <f t="shared" si="562"/>
        <v>Nov</v>
      </c>
      <c r="C1205" s="74">
        <f t="shared" si="579"/>
        <v>17</v>
      </c>
      <c r="D1205" s="75">
        <f t="shared" si="563"/>
        <v>11</v>
      </c>
      <c r="E1205" s="76">
        <f t="shared" si="564"/>
        <v>16</v>
      </c>
      <c r="F1205" s="80"/>
      <c r="G1205" s="83"/>
      <c r="H1205" s="69" t="str">
        <f t="shared" si="580"/>
        <v>Senbur6_20191117_11_00</v>
      </c>
      <c r="I1205" s="70">
        <f t="shared" ref="I1205:N1220" si="590">I1204</f>
        <v>1</v>
      </c>
      <c r="J1205" s="77" t="str">
        <f t="shared" si="590"/>
        <v>Senecio</v>
      </c>
      <c r="K1205" s="77" t="str">
        <f t="shared" si="590"/>
        <v>burtoni</v>
      </c>
      <c r="L1205" s="78">
        <f t="shared" si="590"/>
        <v>6</v>
      </c>
      <c r="M1205" s="78">
        <f t="shared" si="590"/>
        <v>12</v>
      </c>
      <c r="N1205" s="72">
        <f t="shared" si="590"/>
        <v>0</v>
      </c>
      <c r="O1205" s="45"/>
      <c r="P1205" s="46" t="str">
        <f t="shared" si="565"/>
        <v/>
      </c>
      <c r="Q1205" s="47" t="str">
        <f t="shared" si="566"/>
        <v/>
      </c>
      <c r="R1205" s="48" t="e">
        <f t="shared" si="567"/>
        <v>#VALUE!</v>
      </c>
      <c r="S1205" s="49" t="e">
        <f t="shared" si="560"/>
        <v>#VALUE!</v>
      </c>
      <c r="T1205" s="48" t="str">
        <f t="shared" si="568"/>
        <v/>
      </c>
      <c r="U1205" s="50"/>
      <c r="V1205" s="51"/>
      <c r="W1205" s="52" t="e">
        <f t="shared" si="569"/>
        <v>#VALUE!</v>
      </c>
      <c r="X1205" s="53"/>
      <c r="Y1205" s="53"/>
      <c r="Z1205" s="53"/>
      <c r="AA1205" s="48" t="e">
        <f>INDEX([1]!VISITORS[INSECT ORDER], MATCH(X1205,[1]!VISITORS[NAME USED],0))</f>
        <v>#REF!</v>
      </c>
      <c r="AB1205" s="48" t="e">
        <f t="shared" si="570"/>
        <v>#REF!</v>
      </c>
      <c r="AC1205" s="54" t="e">
        <f t="shared" si="571"/>
        <v>#VALUE!</v>
      </c>
      <c r="AD1205" s="55" t="str">
        <f t="shared" si="586"/>
        <v/>
      </c>
      <c r="AE1205" s="55"/>
      <c r="AF1205" s="55"/>
      <c r="AG1205" s="56" t="str">
        <f t="shared" si="587"/>
        <v/>
      </c>
      <c r="AH1205" s="57" t="str">
        <f t="shared" si="582"/>
        <v/>
      </c>
      <c r="AI1205" s="56"/>
      <c r="AJ1205" s="57" t="str">
        <f t="shared" si="583"/>
        <v/>
      </c>
      <c r="AK1205" s="56"/>
      <c r="AL1205" s="57" t="str">
        <f t="shared" si="584"/>
        <v/>
      </c>
      <c r="AM1205" s="56"/>
      <c r="AN1205" s="57" t="str">
        <f t="shared" si="572"/>
        <v/>
      </c>
      <c r="AO1205" s="56"/>
      <c r="AP1205" s="57" t="str">
        <f t="shared" si="573"/>
        <v/>
      </c>
      <c r="AQ1205" s="56"/>
      <c r="AR1205" s="57" t="str">
        <f t="shared" si="574"/>
        <v/>
      </c>
      <c r="AS1205" s="56"/>
      <c r="AT1205" s="57" t="str">
        <f t="shared" si="575"/>
        <v/>
      </c>
      <c r="AU1205" s="58"/>
      <c r="AV1205" s="59"/>
      <c r="AW1205" s="59"/>
      <c r="AX1205" s="60"/>
      <c r="AY1205" s="61" t="str">
        <f t="shared" si="585"/>
        <v/>
      </c>
      <c r="AZ1205" s="62" t="str">
        <f t="shared" si="576"/>
        <v/>
      </c>
      <c r="BA1205" s="61" t="str">
        <f t="shared" si="577"/>
        <v/>
      </c>
      <c r="BB1205" s="62" t="str">
        <f t="shared" si="578"/>
        <v/>
      </c>
    </row>
    <row r="1206" spans="1:54" s="3" customFormat="1" hidden="1" x14ac:dyDescent="0.35">
      <c r="A1206" s="73">
        <f t="shared" si="561"/>
        <v>2019</v>
      </c>
      <c r="B1206" s="73" t="str">
        <f t="shared" si="562"/>
        <v>Nov</v>
      </c>
      <c r="C1206" s="74">
        <f t="shared" si="579"/>
        <v>17</v>
      </c>
      <c r="D1206" s="75">
        <f t="shared" si="563"/>
        <v>11</v>
      </c>
      <c r="E1206" s="76">
        <f t="shared" si="564"/>
        <v>17</v>
      </c>
      <c r="F1206" s="80"/>
      <c r="G1206" s="83"/>
      <c r="H1206" s="69" t="str">
        <f t="shared" si="580"/>
        <v>Senbur6_20191117_11_00</v>
      </c>
      <c r="I1206" s="70">
        <f t="shared" si="590"/>
        <v>1</v>
      </c>
      <c r="J1206" s="77" t="str">
        <f t="shared" si="590"/>
        <v>Senecio</v>
      </c>
      <c r="K1206" s="77" t="str">
        <f t="shared" si="590"/>
        <v>burtoni</v>
      </c>
      <c r="L1206" s="78">
        <f t="shared" si="590"/>
        <v>6</v>
      </c>
      <c r="M1206" s="78">
        <f t="shared" si="590"/>
        <v>12</v>
      </c>
      <c r="N1206" s="72">
        <f t="shared" si="590"/>
        <v>0</v>
      </c>
      <c r="O1206" s="45"/>
      <c r="P1206" s="46" t="str">
        <f t="shared" si="565"/>
        <v/>
      </c>
      <c r="Q1206" s="47" t="str">
        <f t="shared" si="566"/>
        <v/>
      </c>
      <c r="R1206" s="48" t="e">
        <f t="shared" si="567"/>
        <v>#VALUE!</v>
      </c>
      <c r="S1206" s="49" t="e">
        <f t="shared" si="560"/>
        <v>#VALUE!</v>
      </c>
      <c r="T1206" s="48" t="str">
        <f t="shared" si="568"/>
        <v/>
      </c>
      <c r="U1206" s="50"/>
      <c r="V1206" s="51"/>
      <c r="W1206" s="52" t="e">
        <f t="shared" si="569"/>
        <v>#VALUE!</v>
      </c>
      <c r="X1206" s="53"/>
      <c r="Y1206" s="53"/>
      <c r="Z1206" s="53"/>
      <c r="AA1206" s="48" t="e">
        <f>INDEX([1]!VISITORS[INSECT ORDER], MATCH(X1206,[1]!VISITORS[NAME USED],0))</f>
        <v>#REF!</v>
      </c>
      <c r="AB1206" s="48" t="e">
        <f t="shared" si="570"/>
        <v>#REF!</v>
      </c>
      <c r="AC1206" s="54" t="e">
        <f t="shared" si="571"/>
        <v>#VALUE!</v>
      </c>
      <c r="AD1206" s="55" t="str">
        <f t="shared" si="586"/>
        <v/>
      </c>
      <c r="AE1206" s="55"/>
      <c r="AF1206" s="55"/>
      <c r="AG1206" s="56" t="str">
        <f t="shared" si="587"/>
        <v/>
      </c>
      <c r="AH1206" s="57" t="str">
        <f t="shared" si="582"/>
        <v/>
      </c>
      <c r="AI1206" s="56"/>
      <c r="AJ1206" s="57" t="str">
        <f t="shared" si="583"/>
        <v/>
      </c>
      <c r="AK1206" s="56"/>
      <c r="AL1206" s="57" t="str">
        <f t="shared" si="584"/>
        <v/>
      </c>
      <c r="AM1206" s="56"/>
      <c r="AN1206" s="57" t="str">
        <f t="shared" si="572"/>
        <v/>
      </c>
      <c r="AO1206" s="56"/>
      <c r="AP1206" s="57" t="str">
        <f t="shared" si="573"/>
        <v/>
      </c>
      <c r="AQ1206" s="56"/>
      <c r="AR1206" s="57" t="str">
        <f t="shared" si="574"/>
        <v/>
      </c>
      <c r="AS1206" s="56"/>
      <c r="AT1206" s="57" t="str">
        <f t="shared" si="575"/>
        <v/>
      </c>
      <c r="AU1206" s="58"/>
      <c r="AV1206" s="59"/>
      <c r="AW1206" s="59"/>
      <c r="AX1206" s="60"/>
      <c r="AY1206" s="61" t="str">
        <f t="shared" si="585"/>
        <v/>
      </c>
      <c r="AZ1206" s="62" t="str">
        <f t="shared" si="576"/>
        <v/>
      </c>
      <c r="BA1206" s="61" t="str">
        <f t="shared" si="577"/>
        <v/>
      </c>
      <c r="BB1206" s="62" t="str">
        <f t="shared" si="578"/>
        <v/>
      </c>
    </row>
    <row r="1207" spans="1:54" s="3" customFormat="1" hidden="1" x14ac:dyDescent="0.35">
      <c r="A1207" s="73">
        <f t="shared" si="561"/>
        <v>2019</v>
      </c>
      <c r="B1207" s="73" t="str">
        <f t="shared" si="562"/>
        <v>Nov</v>
      </c>
      <c r="C1207" s="74">
        <f t="shared" si="579"/>
        <v>17</v>
      </c>
      <c r="D1207" s="75">
        <f t="shared" si="563"/>
        <v>11</v>
      </c>
      <c r="E1207" s="76">
        <f t="shared" si="564"/>
        <v>18</v>
      </c>
      <c r="F1207" s="80"/>
      <c r="G1207" s="83"/>
      <c r="H1207" s="69" t="str">
        <f t="shared" si="580"/>
        <v>Senbur6_20191117_11_00</v>
      </c>
      <c r="I1207" s="70">
        <f t="shared" si="590"/>
        <v>1</v>
      </c>
      <c r="J1207" s="77" t="str">
        <f t="shared" si="590"/>
        <v>Senecio</v>
      </c>
      <c r="K1207" s="77" t="str">
        <f t="shared" si="590"/>
        <v>burtoni</v>
      </c>
      <c r="L1207" s="78">
        <f t="shared" si="590"/>
        <v>6</v>
      </c>
      <c r="M1207" s="78">
        <f t="shared" si="590"/>
        <v>12</v>
      </c>
      <c r="N1207" s="72">
        <f t="shared" si="590"/>
        <v>0</v>
      </c>
      <c r="O1207" s="45"/>
      <c r="P1207" s="46" t="str">
        <f t="shared" si="565"/>
        <v/>
      </c>
      <c r="Q1207" s="47" t="str">
        <f t="shared" si="566"/>
        <v/>
      </c>
      <c r="R1207" s="48" t="e">
        <f t="shared" si="567"/>
        <v>#VALUE!</v>
      </c>
      <c r="S1207" s="49" t="e">
        <f t="shared" si="560"/>
        <v>#VALUE!</v>
      </c>
      <c r="T1207" s="48" t="str">
        <f t="shared" si="568"/>
        <v/>
      </c>
      <c r="U1207" s="50"/>
      <c r="V1207" s="51"/>
      <c r="W1207" s="52" t="e">
        <f t="shared" si="569"/>
        <v>#VALUE!</v>
      </c>
      <c r="X1207" s="53"/>
      <c r="Y1207" s="53"/>
      <c r="Z1207" s="53"/>
      <c r="AA1207" s="48" t="e">
        <f>INDEX([1]!VISITORS[INSECT ORDER], MATCH(X1207,[1]!VISITORS[NAME USED],0))</f>
        <v>#REF!</v>
      </c>
      <c r="AB1207" s="48" t="e">
        <f t="shared" si="570"/>
        <v>#REF!</v>
      </c>
      <c r="AC1207" s="54" t="e">
        <f t="shared" si="571"/>
        <v>#VALUE!</v>
      </c>
      <c r="AD1207" s="55" t="str">
        <f t="shared" si="586"/>
        <v/>
      </c>
      <c r="AE1207" s="55"/>
      <c r="AF1207" s="55"/>
      <c r="AG1207" s="56" t="str">
        <f t="shared" si="587"/>
        <v/>
      </c>
      <c r="AH1207" s="57" t="str">
        <f t="shared" si="582"/>
        <v/>
      </c>
      <c r="AI1207" s="56"/>
      <c r="AJ1207" s="57" t="str">
        <f t="shared" si="583"/>
        <v/>
      </c>
      <c r="AK1207" s="56"/>
      <c r="AL1207" s="57" t="str">
        <f t="shared" si="584"/>
        <v/>
      </c>
      <c r="AM1207" s="56"/>
      <c r="AN1207" s="57" t="str">
        <f t="shared" si="572"/>
        <v/>
      </c>
      <c r="AO1207" s="56"/>
      <c r="AP1207" s="57" t="str">
        <f t="shared" si="573"/>
        <v/>
      </c>
      <c r="AQ1207" s="56"/>
      <c r="AR1207" s="57" t="str">
        <f t="shared" si="574"/>
        <v/>
      </c>
      <c r="AS1207" s="56"/>
      <c r="AT1207" s="57" t="str">
        <f t="shared" si="575"/>
        <v/>
      </c>
      <c r="AU1207" s="58"/>
      <c r="AV1207" s="59"/>
      <c r="AW1207" s="59"/>
      <c r="AX1207" s="60"/>
      <c r="AY1207" s="61" t="str">
        <f t="shared" si="585"/>
        <v/>
      </c>
      <c r="AZ1207" s="62" t="str">
        <f t="shared" si="576"/>
        <v/>
      </c>
      <c r="BA1207" s="61" t="str">
        <f t="shared" si="577"/>
        <v/>
      </c>
      <c r="BB1207" s="62" t="str">
        <f t="shared" si="578"/>
        <v/>
      </c>
    </row>
    <row r="1208" spans="1:54" s="3" customFormat="1" hidden="1" x14ac:dyDescent="0.35">
      <c r="A1208" s="73">
        <f t="shared" si="561"/>
        <v>2019</v>
      </c>
      <c r="B1208" s="73" t="str">
        <f t="shared" si="562"/>
        <v>Nov</v>
      </c>
      <c r="C1208" s="74">
        <f t="shared" si="579"/>
        <v>17</v>
      </c>
      <c r="D1208" s="75">
        <f t="shared" si="563"/>
        <v>11</v>
      </c>
      <c r="E1208" s="76">
        <f t="shared" si="564"/>
        <v>19</v>
      </c>
      <c r="F1208" s="80"/>
      <c r="G1208" s="83"/>
      <c r="H1208" s="69" t="str">
        <f t="shared" si="580"/>
        <v>Senbur6_20191117_11_00</v>
      </c>
      <c r="I1208" s="70">
        <f t="shared" si="590"/>
        <v>1</v>
      </c>
      <c r="J1208" s="77" t="str">
        <f t="shared" si="590"/>
        <v>Senecio</v>
      </c>
      <c r="K1208" s="77" t="str">
        <f t="shared" si="590"/>
        <v>burtoni</v>
      </c>
      <c r="L1208" s="78">
        <f t="shared" si="590"/>
        <v>6</v>
      </c>
      <c r="M1208" s="78">
        <f t="shared" si="590"/>
        <v>12</v>
      </c>
      <c r="N1208" s="72">
        <f t="shared" si="590"/>
        <v>0</v>
      </c>
      <c r="O1208" s="45"/>
      <c r="P1208" s="46" t="str">
        <f t="shared" si="565"/>
        <v/>
      </c>
      <c r="Q1208" s="47" t="str">
        <f t="shared" si="566"/>
        <v/>
      </c>
      <c r="R1208" s="48" t="e">
        <f t="shared" si="567"/>
        <v>#VALUE!</v>
      </c>
      <c r="S1208" s="49" t="e">
        <f t="shared" si="560"/>
        <v>#VALUE!</v>
      </c>
      <c r="T1208" s="48" t="str">
        <f t="shared" si="568"/>
        <v/>
      </c>
      <c r="U1208" s="50"/>
      <c r="V1208" s="51"/>
      <c r="W1208" s="52" t="e">
        <f t="shared" si="569"/>
        <v>#VALUE!</v>
      </c>
      <c r="X1208" s="53"/>
      <c r="Y1208" s="53"/>
      <c r="Z1208" s="53"/>
      <c r="AA1208" s="48" t="e">
        <f>INDEX([1]!VISITORS[INSECT ORDER], MATCH(X1208,[1]!VISITORS[NAME USED],0))</f>
        <v>#REF!</v>
      </c>
      <c r="AB1208" s="48" t="e">
        <f t="shared" si="570"/>
        <v>#REF!</v>
      </c>
      <c r="AC1208" s="54" t="e">
        <f t="shared" si="571"/>
        <v>#VALUE!</v>
      </c>
      <c r="AD1208" s="55" t="str">
        <f t="shared" si="586"/>
        <v/>
      </c>
      <c r="AE1208" s="55"/>
      <c r="AF1208" s="55"/>
      <c r="AG1208" s="56" t="str">
        <f t="shared" si="587"/>
        <v/>
      </c>
      <c r="AH1208" s="57" t="str">
        <f t="shared" si="582"/>
        <v/>
      </c>
      <c r="AI1208" s="56"/>
      <c r="AJ1208" s="57" t="str">
        <f t="shared" si="583"/>
        <v/>
      </c>
      <c r="AK1208" s="56"/>
      <c r="AL1208" s="57" t="str">
        <f t="shared" si="584"/>
        <v/>
      </c>
      <c r="AM1208" s="56"/>
      <c r="AN1208" s="57" t="str">
        <f t="shared" si="572"/>
        <v/>
      </c>
      <c r="AO1208" s="56"/>
      <c r="AP1208" s="57" t="str">
        <f t="shared" si="573"/>
        <v/>
      </c>
      <c r="AQ1208" s="56"/>
      <c r="AR1208" s="57" t="str">
        <f t="shared" si="574"/>
        <v/>
      </c>
      <c r="AS1208" s="56"/>
      <c r="AT1208" s="57" t="str">
        <f t="shared" si="575"/>
        <v/>
      </c>
      <c r="AU1208" s="58"/>
      <c r="AV1208" s="59"/>
      <c r="AW1208" s="59"/>
      <c r="AX1208" s="60"/>
      <c r="AY1208" s="61" t="str">
        <f t="shared" si="585"/>
        <v/>
      </c>
      <c r="AZ1208" s="62" t="str">
        <f t="shared" si="576"/>
        <v/>
      </c>
      <c r="BA1208" s="61" t="str">
        <f t="shared" si="577"/>
        <v/>
      </c>
      <c r="BB1208" s="62" t="str">
        <f t="shared" si="578"/>
        <v/>
      </c>
    </row>
    <row r="1209" spans="1:54" s="3" customFormat="1" hidden="1" x14ac:dyDescent="0.35">
      <c r="A1209" s="73">
        <f t="shared" si="561"/>
        <v>2019</v>
      </c>
      <c r="B1209" s="73" t="str">
        <f t="shared" si="562"/>
        <v>Nov</v>
      </c>
      <c r="C1209" s="74">
        <f t="shared" si="579"/>
        <v>17</v>
      </c>
      <c r="D1209" s="75">
        <f t="shared" si="563"/>
        <v>11</v>
      </c>
      <c r="E1209" s="76">
        <f t="shared" si="564"/>
        <v>20</v>
      </c>
      <c r="F1209" s="80"/>
      <c r="G1209" s="83"/>
      <c r="H1209" s="69" t="str">
        <f t="shared" si="580"/>
        <v>Senbur6_20191117_11_00</v>
      </c>
      <c r="I1209" s="70">
        <f t="shared" si="590"/>
        <v>1</v>
      </c>
      <c r="J1209" s="77" t="str">
        <f t="shared" si="590"/>
        <v>Senecio</v>
      </c>
      <c r="K1209" s="77" t="str">
        <f t="shared" si="590"/>
        <v>burtoni</v>
      </c>
      <c r="L1209" s="78">
        <f t="shared" si="590"/>
        <v>6</v>
      </c>
      <c r="M1209" s="78">
        <f t="shared" si="590"/>
        <v>12</v>
      </c>
      <c r="N1209" s="72">
        <f t="shared" si="590"/>
        <v>0</v>
      </c>
      <c r="O1209" s="45"/>
      <c r="P1209" s="46" t="str">
        <f t="shared" si="565"/>
        <v/>
      </c>
      <c r="Q1209" s="47" t="str">
        <f t="shared" si="566"/>
        <v/>
      </c>
      <c r="R1209" s="48" t="e">
        <f t="shared" si="567"/>
        <v>#VALUE!</v>
      </c>
      <c r="S1209" s="49" t="e">
        <f t="shared" si="560"/>
        <v>#VALUE!</v>
      </c>
      <c r="T1209" s="48" t="str">
        <f t="shared" si="568"/>
        <v/>
      </c>
      <c r="U1209" s="50"/>
      <c r="V1209" s="51"/>
      <c r="W1209" s="52" t="e">
        <f t="shared" si="569"/>
        <v>#VALUE!</v>
      </c>
      <c r="X1209" s="53"/>
      <c r="Y1209" s="53"/>
      <c r="Z1209" s="53"/>
      <c r="AA1209" s="48" t="e">
        <f>INDEX([1]!VISITORS[INSECT ORDER], MATCH(X1209,[1]!VISITORS[NAME USED],0))</f>
        <v>#REF!</v>
      </c>
      <c r="AB1209" s="48" t="e">
        <f t="shared" si="570"/>
        <v>#REF!</v>
      </c>
      <c r="AC1209" s="54" t="e">
        <f t="shared" si="571"/>
        <v>#VALUE!</v>
      </c>
      <c r="AD1209" s="55" t="str">
        <f t="shared" si="586"/>
        <v/>
      </c>
      <c r="AE1209" s="55"/>
      <c r="AF1209" s="55"/>
      <c r="AG1209" s="56" t="str">
        <f t="shared" si="587"/>
        <v/>
      </c>
      <c r="AH1209" s="57" t="str">
        <f t="shared" si="582"/>
        <v/>
      </c>
      <c r="AI1209" s="56"/>
      <c r="AJ1209" s="57" t="str">
        <f t="shared" si="583"/>
        <v/>
      </c>
      <c r="AK1209" s="56"/>
      <c r="AL1209" s="57" t="str">
        <f t="shared" si="584"/>
        <v/>
      </c>
      <c r="AM1209" s="56"/>
      <c r="AN1209" s="57" t="str">
        <f t="shared" si="572"/>
        <v/>
      </c>
      <c r="AO1209" s="56"/>
      <c r="AP1209" s="57" t="str">
        <f t="shared" si="573"/>
        <v/>
      </c>
      <c r="AQ1209" s="56"/>
      <c r="AR1209" s="57" t="str">
        <f t="shared" si="574"/>
        <v/>
      </c>
      <c r="AS1209" s="56"/>
      <c r="AT1209" s="57" t="str">
        <f t="shared" si="575"/>
        <v/>
      </c>
      <c r="AU1209" s="58"/>
      <c r="AV1209" s="59"/>
      <c r="AW1209" s="59"/>
      <c r="AX1209" s="60"/>
      <c r="AY1209" s="61" t="str">
        <f t="shared" si="585"/>
        <v/>
      </c>
      <c r="AZ1209" s="62" t="str">
        <f t="shared" si="576"/>
        <v/>
      </c>
      <c r="BA1209" s="61" t="str">
        <f t="shared" si="577"/>
        <v/>
      </c>
      <c r="BB1209" s="62" t="str">
        <f t="shared" si="578"/>
        <v/>
      </c>
    </row>
    <row r="1210" spans="1:54" s="3" customFormat="1" hidden="1" x14ac:dyDescent="0.35">
      <c r="A1210" s="73">
        <f t="shared" si="561"/>
        <v>2019</v>
      </c>
      <c r="B1210" s="73" t="str">
        <f t="shared" si="562"/>
        <v>Nov</v>
      </c>
      <c r="C1210" s="74">
        <f t="shared" si="579"/>
        <v>17</v>
      </c>
      <c r="D1210" s="75">
        <f t="shared" si="563"/>
        <v>11</v>
      </c>
      <c r="E1210" s="76">
        <f t="shared" si="564"/>
        <v>21</v>
      </c>
      <c r="F1210" s="80"/>
      <c r="G1210" s="83"/>
      <c r="H1210" s="69" t="str">
        <f t="shared" si="580"/>
        <v>Senbur6_20191117_11_00</v>
      </c>
      <c r="I1210" s="70">
        <f t="shared" si="590"/>
        <v>1</v>
      </c>
      <c r="J1210" s="77" t="str">
        <f t="shared" si="590"/>
        <v>Senecio</v>
      </c>
      <c r="K1210" s="77" t="str">
        <f t="shared" si="590"/>
        <v>burtoni</v>
      </c>
      <c r="L1210" s="78">
        <f t="shared" si="590"/>
        <v>6</v>
      </c>
      <c r="M1210" s="78">
        <f t="shared" si="590"/>
        <v>12</v>
      </c>
      <c r="N1210" s="72">
        <f t="shared" si="590"/>
        <v>0</v>
      </c>
      <c r="O1210" s="45"/>
      <c r="P1210" s="46" t="str">
        <f t="shared" si="565"/>
        <v/>
      </c>
      <c r="Q1210" s="47" t="str">
        <f t="shared" si="566"/>
        <v/>
      </c>
      <c r="R1210" s="48" t="e">
        <f t="shared" si="567"/>
        <v>#VALUE!</v>
      </c>
      <c r="S1210" s="49" t="e">
        <f t="shared" si="560"/>
        <v>#VALUE!</v>
      </c>
      <c r="T1210" s="48" t="str">
        <f t="shared" si="568"/>
        <v/>
      </c>
      <c r="U1210" s="50"/>
      <c r="V1210" s="51"/>
      <c r="W1210" s="52" t="e">
        <f t="shared" si="569"/>
        <v>#VALUE!</v>
      </c>
      <c r="X1210" s="53"/>
      <c r="Y1210" s="53"/>
      <c r="Z1210" s="53"/>
      <c r="AA1210" s="48" t="e">
        <f>INDEX([1]!VISITORS[INSECT ORDER], MATCH(X1210,[1]!VISITORS[NAME USED],0))</f>
        <v>#REF!</v>
      </c>
      <c r="AB1210" s="48" t="e">
        <f t="shared" si="570"/>
        <v>#REF!</v>
      </c>
      <c r="AC1210" s="54" t="e">
        <f t="shared" si="571"/>
        <v>#VALUE!</v>
      </c>
      <c r="AD1210" s="55" t="str">
        <f t="shared" si="586"/>
        <v/>
      </c>
      <c r="AE1210" s="55"/>
      <c r="AF1210" s="55"/>
      <c r="AG1210" s="56" t="str">
        <f t="shared" si="587"/>
        <v/>
      </c>
      <c r="AH1210" s="57" t="str">
        <f t="shared" si="582"/>
        <v/>
      </c>
      <c r="AI1210" s="56"/>
      <c r="AJ1210" s="57" t="str">
        <f t="shared" si="583"/>
        <v/>
      </c>
      <c r="AK1210" s="56"/>
      <c r="AL1210" s="57" t="str">
        <f t="shared" si="584"/>
        <v/>
      </c>
      <c r="AM1210" s="56"/>
      <c r="AN1210" s="57" t="str">
        <f t="shared" si="572"/>
        <v/>
      </c>
      <c r="AO1210" s="56"/>
      <c r="AP1210" s="57" t="str">
        <f t="shared" si="573"/>
        <v/>
      </c>
      <c r="AQ1210" s="56"/>
      <c r="AR1210" s="57" t="str">
        <f t="shared" si="574"/>
        <v/>
      </c>
      <c r="AS1210" s="56"/>
      <c r="AT1210" s="57" t="str">
        <f t="shared" si="575"/>
        <v/>
      </c>
      <c r="AU1210" s="58"/>
      <c r="AV1210" s="59"/>
      <c r="AW1210" s="59"/>
      <c r="AX1210" s="60"/>
      <c r="AY1210" s="61" t="str">
        <f t="shared" si="585"/>
        <v/>
      </c>
      <c r="AZ1210" s="62" t="str">
        <f t="shared" si="576"/>
        <v/>
      </c>
      <c r="BA1210" s="61" t="str">
        <f t="shared" si="577"/>
        <v/>
      </c>
      <c r="BB1210" s="62" t="str">
        <f t="shared" si="578"/>
        <v/>
      </c>
    </row>
    <row r="1211" spans="1:54" s="3" customFormat="1" hidden="1" x14ac:dyDescent="0.35">
      <c r="A1211" s="73">
        <f t="shared" si="561"/>
        <v>2019</v>
      </c>
      <c r="B1211" s="73" t="str">
        <f t="shared" si="562"/>
        <v>Nov</v>
      </c>
      <c r="C1211" s="74">
        <f t="shared" si="579"/>
        <v>17</v>
      </c>
      <c r="D1211" s="75">
        <f t="shared" si="563"/>
        <v>11</v>
      </c>
      <c r="E1211" s="76">
        <f t="shared" si="564"/>
        <v>22</v>
      </c>
      <c r="F1211" s="80"/>
      <c r="G1211" s="83"/>
      <c r="H1211" s="69" t="str">
        <f t="shared" si="580"/>
        <v>Senbur6_20191117_11_00</v>
      </c>
      <c r="I1211" s="70">
        <f t="shared" si="590"/>
        <v>1</v>
      </c>
      <c r="J1211" s="77" t="str">
        <f t="shared" si="590"/>
        <v>Senecio</v>
      </c>
      <c r="K1211" s="77" t="str">
        <f t="shared" si="590"/>
        <v>burtoni</v>
      </c>
      <c r="L1211" s="78">
        <f t="shared" si="590"/>
        <v>6</v>
      </c>
      <c r="M1211" s="78">
        <f t="shared" si="590"/>
        <v>12</v>
      </c>
      <c r="N1211" s="72">
        <f t="shared" si="590"/>
        <v>0</v>
      </c>
      <c r="O1211" s="45"/>
      <c r="P1211" s="46" t="str">
        <f t="shared" si="565"/>
        <v/>
      </c>
      <c r="Q1211" s="47" t="str">
        <f t="shared" si="566"/>
        <v/>
      </c>
      <c r="R1211" s="48" t="e">
        <f t="shared" si="567"/>
        <v>#VALUE!</v>
      </c>
      <c r="S1211" s="49" t="e">
        <f t="shared" si="560"/>
        <v>#VALUE!</v>
      </c>
      <c r="T1211" s="48" t="str">
        <f t="shared" si="568"/>
        <v/>
      </c>
      <c r="U1211" s="50"/>
      <c r="V1211" s="51"/>
      <c r="W1211" s="52" t="e">
        <f t="shared" si="569"/>
        <v>#VALUE!</v>
      </c>
      <c r="X1211" s="53"/>
      <c r="Y1211" s="53"/>
      <c r="Z1211" s="53"/>
      <c r="AA1211" s="48" t="e">
        <f>INDEX([1]!VISITORS[INSECT ORDER], MATCH(X1211,[1]!VISITORS[NAME USED],0))</f>
        <v>#REF!</v>
      </c>
      <c r="AB1211" s="48" t="e">
        <f t="shared" si="570"/>
        <v>#REF!</v>
      </c>
      <c r="AC1211" s="54" t="e">
        <f t="shared" si="571"/>
        <v>#VALUE!</v>
      </c>
      <c r="AD1211" s="55" t="str">
        <f t="shared" si="586"/>
        <v/>
      </c>
      <c r="AE1211" s="55"/>
      <c r="AF1211" s="55"/>
      <c r="AG1211" s="56" t="str">
        <f t="shared" si="587"/>
        <v/>
      </c>
      <c r="AH1211" s="57" t="str">
        <f t="shared" si="582"/>
        <v/>
      </c>
      <c r="AI1211" s="56"/>
      <c r="AJ1211" s="57" t="str">
        <f t="shared" si="583"/>
        <v/>
      </c>
      <c r="AK1211" s="56"/>
      <c r="AL1211" s="57" t="str">
        <f t="shared" si="584"/>
        <v/>
      </c>
      <c r="AM1211" s="56"/>
      <c r="AN1211" s="57" t="str">
        <f t="shared" si="572"/>
        <v/>
      </c>
      <c r="AO1211" s="56"/>
      <c r="AP1211" s="57" t="str">
        <f t="shared" si="573"/>
        <v/>
      </c>
      <c r="AQ1211" s="56"/>
      <c r="AR1211" s="57" t="str">
        <f t="shared" si="574"/>
        <v/>
      </c>
      <c r="AS1211" s="56"/>
      <c r="AT1211" s="57" t="str">
        <f t="shared" si="575"/>
        <v/>
      </c>
      <c r="AU1211" s="58"/>
      <c r="AV1211" s="59"/>
      <c r="AW1211" s="59"/>
      <c r="AX1211" s="60"/>
      <c r="AY1211" s="61" t="str">
        <f t="shared" si="585"/>
        <v/>
      </c>
      <c r="AZ1211" s="62" t="str">
        <f t="shared" si="576"/>
        <v/>
      </c>
      <c r="BA1211" s="61" t="str">
        <f t="shared" si="577"/>
        <v/>
      </c>
      <c r="BB1211" s="62" t="str">
        <f t="shared" si="578"/>
        <v/>
      </c>
    </row>
    <row r="1212" spans="1:54" s="3" customFormat="1" hidden="1" x14ac:dyDescent="0.35">
      <c r="A1212" s="73">
        <f t="shared" si="561"/>
        <v>2019</v>
      </c>
      <c r="B1212" s="73" t="str">
        <f t="shared" si="562"/>
        <v>Nov</v>
      </c>
      <c r="C1212" s="74">
        <f t="shared" si="579"/>
        <v>17</v>
      </c>
      <c r="D1212" s="75">
        <f t="shared" si="563"/>
        <v>11</v>
      </c>
      <c r="E1212" s="76">
        <f t="shared" si="564"/>
        <v>23</v>
      </c>
      <c r="F1212" s="80"/>
      <c r="G1212" s="83"/>
      <c r="H1212" s="69" t="str">
        <f t="shared" si="580"/>
        <v>Senbur6_20191117_11_00</v>
      </c>
      <c r="I1212" s="70">
        <f t="shared" si="590"/>
        <v>1</v>
      </c>
      <c r="J1212" s="77" t="str">
        <f t="shared" si="590"/>
        <v>Senecio</v>
      </c>
      <c r="K1212" s="77" t="str">
        <f t="shared" si="590"/>
        <v>burtoni</v>
      </c>
      <c r="L1212" s="78">
        <f t="shared" si="590"/>
        <v>6</v>
      </c>
      <c r="M1212" s="78">
        <f t="shared" si="590"/>
        <v>12</v>
      </c>
      <c r="N1212" s="72">
        <f t="shared" si="590"/>
        <v>0</v>
      </c>
      <c r="O1212" s="45"/>
      <c r="P1212" s="46" t="str">
        <f t="shared" si="565"/>
        <v/>
      </c>
      <c r="Q1212" s="47" t="str">
        <f t="shared" si="566"/>
        <v/>
      </c>
      <c r="R1212" s="48" t="e">
        <f t="shared" si="567"/>
        <v>#VALUE!</v>
      </c>
      <c r="S1212" s="49" t="e">
        <f t="shared" si="560"/>
        <v>#VALUE!</v>
      </c>
      <c r="T1212" s="48" t="str">
        <f t="shared" si="568"/>
        <v/>
      </c>
      <c r="U1212" s="50"/>
      <c r="V1212" s="51"/>
      <c r="W1212" s="52" t="e">
        <f t="shared" si="569"/>
        <v>#VALUE!</v>
      </c>
      <c r="X1212" s="53"/>
      <c r="Y1212" s="53"/>
      <c r="Z1212" s="53"/>
      <c r="AA1212" s="48" t="e">
        <f>INDEX([1]!VISITORS[INSECT ORDER], MATCH(X1212,[1]!VISITORS[NAME USED],0))</f>
        <v>#REF!</v>
      </c>
      <c r="AB1212" s="48" t="e">
        <f t="shared" si="570"/>
        <v>#REF!</v>
      </c>
      <c r="AC1212" s="54" t="e">
        <f t="shared" si="571"/>
        <v>#VALUE!</v>
      </c>
      <c r="AD1212" s="55" t="str">
        <f t="shared" si="586"/>
        <v/>
      </c>
      <c r="AE1212" s="55"/>
      <c r="AF1212" s="55"/>
      <c r="AG1212" s="56" t="str">
        <f t="shared" si="587"/>
        <v/>
      </c>
      <c r="AH1212" s="57" t="str">
        <f t="shared" si="582"/>
        <v/>
      </c>
      <c r="AI1212" s="56"/>
      <c r="AJ1212" s="57" t="str">
        <f t="shared" si="583"/>
        <v/>
      </c>
      <c r="AK1212" s="56"/>
      <c r="AL1212" s="57" t="str">
        <f t="shared" si="584"/>
        <v/>
      </c>
      <c r="AM1212" s="56"/>
      <c r="AN1212" s="57" t="str">
        <f t="shared" si="572"/>
        <v/>
      </c>
      <c r="AO1212" s="56"/>
      <c r="AP1212" s="57" t="str">
        <f t="shared" si="573"/>
        <v/>
      </c>
      <c r="AQ1212" s="56"/>
      <c r="AR1212" s="57" t="str">
        <f t="shared" si="574"/>
        <v/>
      </c>
      <c r="AS1212" s="56"/>
      <c r="AT1212" s="57" t="str">
        <f t="shared" si="575"/>
        <v/>
      </c>
      <c r="AU1212" s="58"/>
      <c r="AV1212" s="59"/>
      <c r="AW1212" s="59"/>
      <c r="AX1212" s="60"/>
      <c r="AY1212" s="61" t="str">
        <f t="shared" si="585"/>
        <v/>
      </c>
      <c r="AZ1212" s="62" t="str">
        <f t="shared" si="576"/>
        <v/>
      </c>
      <c r="BA1212" s="61" t="str">
        <f t="shared" si="577"/>
        <v/>
      </c>
      <c r="BB1212" s="62" t="str">
        <f t="shared" si="578"/>
        <v/>
      </c>
    </row>
    <row r="1213" spans="1:54" s="3" customFormat="1" hidden="1" x14ac:dyDescent="0.35">
      <c r="A1213" s="73">
        <f t="shared" si="561"/>
        <v>2019</v>
      </c>
      <c r="B1213" s="73" t="str">
        <f t="shared" si="562"/>
        <v>Nov</v>
      </c>
      <c r="C1213" s="74">
        <f t="shared" si="579"/>
        <v>17</v>
      </c>
      <c r="D1213" s="75">
        <f t="shared" si="563"/>
        <v>11</v>
      </c>
      <c r="E1213" s="76">
        <f t="shared" si="564"/>
        <v>24</v>
      </c>
      <c r="F1213" s="80"/>
      <c r="G1213" s="83"/>
      <c r="H1213" s="69" t="str">
        <f t="shared" si="580"/>
        <v>Senbur6_20191117_11_00</v>
      </c>
      <c r="I1213" s="70">
        <f t="shared" si="590"/>
        <v>1</v>
      </c>
      <c r="J1213" s="77" t="str">
        <f t="shared" si="590"/>
        <v>Senecio</v>
      </c>
      <c r="K1213" s="77" t="str">
        <f t="shared" si="590"/>
        <v>burtoni</v>
      </c>
      <c r="L1213" s="78">
        <f t="shared" si="590"/>
        <v>6</v>
      </c>
      <c r="M1213" s="78">
        <f t="shared" si="590"/>
        <v>12</v>
      </c>
      <c r="N1213" s="72">
        <f t="shared" si="590"/>
        <v>0</v>
      </c>
      <c r="O1213" s="45"/>
      <c r="P1213" s="46" t="str">
        <f t="shared" si="565"/>
        <v/>
      </c>
      <c r="Q1213" s="47" t="str">
        <f t="shared" si="566"/>
        <v/>
      </c>
      <c r="R1213" s="48" t="e">
        <f t="shared" si="567"/>
        <v>#VALUE!</v>
      </c>
      <c r="S1213" s="49" t="e">
        <f t="shared" si="560"/>
        <v>#VALUE!</v>
      </c>
      <c r="T1213" s="48" t="str">
        <f t="shared" si="568"/>
        <v/>
      </c>
      <c r="U1213" s="50"/>
      <c r="V1213" s="51"/>
      <c r="W1213" s="52" t="e">
        <f t="shared" si="569"/>
        <v>#VALUE!</v>
      </c>
      <c r="X1213" s="53"/>
      <c r="Y1213" s="53"/>
      <c r="Z1213" s="53"/>
      <c r="AA1213" s="48" t="e">
        <f>INDEX([1]!VISITORS[INSECT ORDER], MATCH(X1213,[1]!VISITORS[NAME USED],0))</f>
        <v>#REF!</v>
      </c>
      <c r="AB1213" s="48" t="e">
        <f t="shared" si="570"/>
        <v>#REF!</v>
      </c>
      <c r="AC1213" s="54" t="e">
        <f t="shared" si="571"/>
        <v>#VALUE!</v>
      </c>
      <c r="AD1213" s="55" t="str">
        <f t="shared" si="586"/>
        <v/>
      </c>
      <c r="AE1213" s="55"/>
      <c r="AF1213" s="55"/>
      <c r="AG1213" s="56" t="str">
        <f t="shared" si="587"/>
        <v/>
      </c>
      <c r="AH1213" s="57" t="str">
        <f t="shared" si="582"/>
        <v/>
      </c>
      <c r="AI1213" s="56"/>
      <c r="AJ1213" s="57" t="str">
        <f t="shared" si="583"/>
        <v/>
      </c>
      <c r="AK1213" s="56"/>
      <c r="AL1213" s="57" t="str">
        <f t="shared" si="584"/>
        <v/>
      </c>
      <c r="AM1213" s="56"/>
      <c r="AN1213" s="57" t="str">
        <f t="shared" si="572"/>
        <v/>
      </c>
      <c r="AO1213" s="56"/>
      <c r="AP1213" s="57" t="str">
        <f t="shared" si="573"/>
        <v/>
      </c>
      <c r="AQ1213" s="56"/>
      <c r="AR1213" s="57" t="str">
        <f t="shared" si="574"/>
        <v/>
      </c>
      <c r="AS1213" s="56"/>
      <c r="AT1213" s="57" t="str">
        <f t="shared" si="575"/>
        <v/>
      </c>
      <c r="AU1213" s="58"/>
      <c r="AV1213" s="59"/>
      <c r="AW1213" s="59"/>
      <c r="AX1213" s="60"/>
      <c r="AY1213" s="61" t="str">
        <f t="shared" si="585"/>
        <v/>
      </c>
      <c r="AZ1213" s="62" t="str">
        <f t="shared" si="576"/>
        <v/>
      </c>
      <c r="BA1213" s="61" t="str">
        <f t="shared" si="577"/>
        <v/>
      </c>
      <c r="BB1213" s="62" t="str">
        <f t="shared" si="578"/>
        <v/>
      </c>
    </row>
    <row r="1214" spans="1:54" s="3" customFormat="1" hidden="1" x14ac:dyDescent="0.35">
      <c r="A1214" s="73">
        <f t="shared" si="561"/>
        <v>2019</v>
      </c>
      <c r="B1214" s="73" t="str">
        <f t="shared" si="562"/>
        <v>Nov</v>
      </c>
      <c r="C1214" s="74">
        <f t="shared" si="579"/>
        <v>17</v>
      </c>
      <c r="D1214" s="75">
        <f t="shared" si="563"/>
        <v>11</v>
      </c>
      <c r="E1214" s="76">
        <f t="shared" si="564"/>
        <v>25</v>
      </c>
      <c r="F1214" s="80"/>
      <c r="G1214" s="83"/>
      <c r="H1214" s="69" t="str">
        <f t="shared" si="580"/>
        <v>Senbur6_20191117_11_00</v>
      </c>
      <c r="I1214" s="70">
        <f t="shared" si="590"/>
        <v>1</v>
      </c>
      <c r="J1214" s="77" t="str">
        <f t="shared" si="590"/>
        <v>Senecio</v>
      </c>
      <c r="K1214" s="77" t="str">
        <f t="shared" si="590"/>
        <v>burtoni</v>
      </c>
      <c r="L1214" s="78">
        <f t="shared" si="590"/>
        <v>6</v>
      </c>
      <c r="M1214" s="78">
        <f t="shared" si="590"/>
        <v>12</v>
      </c>
      <c r="N1214" s="72">
        <f t="shared" si="590"/>
        <v>0</v>
      </c>
      <c r="O1214" s="45"/>
      <c r="P1214" s="46" t="str">
        <f t="shared" si="565"/>
        <v/>
      </c>
      <c r="Q1214" s="47" t="str">
        <f t="shared" si="566"/>
        <v/>
      </c>
      <c r="R1214" s="48" t="e">
        <f t="shared" si="567"/>
        <v>#VALUE!</v>
      </c>
      <c r="S1214" s="49" t="e">
        <f t="shared" si="560"/>
        <v>#VALUE!</v>
      </c>
      <c r="T1214" s="48" t="str">
        <f t="shared" si="568"/>
        <v/>
      </c>
      <c r="U1214" s="50"/>
      <c r="V1214" s="51"/>
      <c r="W1214" s="52" t="e">
        <f t="shared" si="569"/>
        <v>#VALUE!</v>
      </c>
      <c r="X1214" s="53"/>
      <c r="Y1214" s="53"/>
      <c r="Z1214" s="53"/>
      <c r="AA1214" s="48" t="e">
        <f>INDEX([1]!VISITORS[INSECT ORDER], MATCH(X1214,[1]!VISITORS[NAME USED],0))</f>
        <v>#REF!</v>
      </c>
      <c r="AB1214" s="48" t="e">
        <f t="shared" si="570"/>
        <v>#REF!</v>
      </c>
      <c r="AC1214" s="54" t="e">
        <f t="shared" si="571"/>
        <v>#VALUE!</v>
      </c>
      <c r="AD1214" s="55" t="str">
        <f t="shared" si="586"/>
        <v/>
      </c>
      <c r="AE1214" s="55"/>
      <c r="AF1214" s="55"/>
      <c r="AG1214" s="56" t="str">
        <f t="shared" si="587"/>
        <v/>
      </c>
      <c r="AH1214" s="57" t="str">
        <f t="shared" si="582"/>
        <v/>
      </c>
      <c r="AI1214" s="56"/>
      <c r="AJ1214" s="57" t="str">
        <f t="shared" si="583"/>
        <v/>
      </c>
      <c r="AK1214" s="56"/>
      <c r="AL1214" s="57" t="str">
        <f t="shared" si="584"/>
        <v/>
      </c>
      <c r="AM1214" s="56"/>
      <c r="AN1214" s="57" t="str">
        <f t="shared" si="572"/>
        <v/>
      </c>
      <c r="AO1214" s="56"/>
      <c r="AP1214" s="57" t="str">
        <f t="shared" si="573"/>
        <v/>
      </c>
      <c r="AQ1214" s="56"/>
      <c r="AR1214" s="57" t="str">
        <f t="shared" si="574"/>
        <v/>
      </c>
      <c r="AS1214" s="56"/>
      <c r="AT1214" s="57" t="str">
        <f t="shared" si="575"/>
        <v/>
      </c>
      <c r="AU1214" s="58"/>
      <c r="AV1214" s="59"/>
      <c r="AW1214" s="59"/>
      <c r="AX1214" s="60"/>
      <c r="AY1214" s="61" t="str">
        <f t="shared" si="585"/>
        <v/>
      </c>
      <c r="AZ1214" s="62" t="str">
        <f t="shared" si="576"/>
        <v/>
      </c>
      <c r="BA1214" s="61" t="str">
        <f t="shared" si="577"/>
        <v/>
      </c>
      <c r="BB1214" s="62" t="str">
        <f t="shared" si="578"/>
        <v/>
      </c>
    </row>
    <row r="1215" spans="1:54" s="3" customFormat="1" hidden="1" x14ac:dyDescent="0.35">
      <c r="A1215" s="73">
        <f t="shared" si="561"/>
        <v>2019</v>
      </c>
      <c r="B1215" s="73" t="str">
        <f t="shared" si="562"/>
        <v>Nov</v>
      </c>
      <c r="C1215" s="74">
        <f t="shared" si="579"/>
        <v>17</v>
      </c>
      <c r="D1215" s="75">
        <f t="shared" si="563"/>
        <v>11</v>
      </c>
      <c r="E1215" s="76">
        <f t="shared" si="564"/>
        <v>26</v>
      </c>
      <c r="F1215" s="80"/>
      <c r="G1215" s="83"/>
      <c r="H1215" s="69" t="str">
        <f t="shared" si="580"/>
        <v>Senbur6_20191117_11_00</v>
      </c>
      <c r="I1215" s="70">
        <f t="shared" si="590"/>
        <v>1</v>
      </c>
      <c r="J1215" s="77" t="str">
        <f t="shared" si="590"/>
        <v>Senecio</v>
      </c>
      <c r="K1215" s="77" t="str">
        <f t="shared" si="590"/>
        <v>burtoni</v>
      </c>
      <c r="L1215" s="78">
        <f t="shared" si="590"/>
        <v>6</v>
      </c>
      <c r="M1215" s="78">
        <f t="shared" si="590"/>
        <v>12</v>
      </c>
      <c r="N1215" s="72">
        <f t="shared" si="590"/>
        <v>0</v>
      </c>
      <c r="O1215" s="45"/>
      <c r="P1215" s="46" t="str">
        <f t="shared" si="565"/>
        <v/>
      </c>
      <c r="Q1215" s="47" t="str">
        <f t="shared" si="566"/>
        <v/>
      </c>
      <c r="R1215" s="48" t="e">
        <f t="shared" si="567"/>
        <v>#VALUE!</v>
      </c>
      <c r="S1215" s="49" t="e">
        <f t="shared" si="560"/>
        <v>#VALUE!</v>
      </c>
      <c r="T1215" s="48" t="str">
        <f t="shared" si="568"/>
        <v/>
      </c>
      <c r="U1215" s="50"/>
      <c r="V1215" s="51"/>
      <c r="W1215" s="52" t="e">
        <f t="shared" si="569"/>
        <v>#VALUE!</v>
      </c>
      <c r="X1215" s="53"/>
      <c r="Y1215" s="53"/>
      <c r="Z1215" s="53"/>
      <c r="AA1215" s="48" t="e">
        <f>INDEX([1]!VISITORS[INSECT ORDER], MATCH(X1215,[1]!VISITORS[NAME USED],0))</f>
        <v>#REF!</v>
      </c>
      <c r="AB1215" s="48" t="e">
        <f t="shared" si="570"/>
        <v>#REF!</v>
      </c>
      <c r="AC1215" s="54" t="e">
        <f t="shared" si="571"/>
        <v>#VALUE!</v>
      </c>
      <c r="AD1215" s="55" t="str">
        <f t="shared" si="586"/>
        <v/>
      </c>
      <c r="AE1215" s="55"/>
      <c r="AF1215" s="55"/>
      <c r="AG1215" s="56" t="str">
        <f t="shared" si="587"/>
        <v/>
      </c>
      <c r="AH1215" s="57" t="str">
        <f t="shared" si="582"/>
        <v/>
      </c>
      <c r="AI1215" s="56"/>
      <c r="AJ1215" s="57" t="str">
        <f t="shared" si="583"/>
        <v/>
      </c>
      <c r="AK1215" s="56"/>
      <c r="AL1215" s="57" t="str">
        <f t="shared" si="584"/>
        <v/>
      </c>
      <c r="AM1215" s="56"/>
      <c r="AN1215" s="57" t="str">
        <f t="shared" si="572"/>
        <v/>
      </c>
      <c r="AO1215" s="56"/>
      <c r="AP1215" s="57" t="str">
        <f t="shared" si="573"/>
        <v/>
      </c>
      <c r="AQ1215" s="56"/>
      <c r="AR1215" s="57" t="str">
        <f t="shared" si="574"/>
        <v/>
      </c>
      <c r="AS1215" s="56"/>
      <c r="AT1215" s="57" t="str">
        <f t="shared" si="575"/>
        <v/>
      </c>
      <c r="AU1215" s="58"/>
      <c r="AV1215" s="59"/>
      <c r="AW1215" s="59"/>
      <c r="AX1215" s="60"/>
      <c r="AY1215" s="61" t="str">
        <f t="shared" si="585"/>
        <v/>
      </c>
      <c r="AZ1215" s="62" t="str">
        <f t="shared" si="576"/>
        <v/>
      </c>
      <c r="BA1215" s="61" t="str">
        <f t="shared" si="577"/>
        <v/>
      </c>
      <c r="BB1215" s="62" t="str">
        <f t="shared" si="578"/>
        <v/>
      </c>
    </row>
    <row r="1216" spans="1:54" s="3" customFormat="1" hidden="1" x14ac:dyDescent="0.35">
      <c r="A1216" s="73">
        <f t="shared" si="561"/>
        <v>2019</v>
      </c>
      <c r="B1216" s="73" t="str">
        <f t="shared" si="562"/>
        <v>Nov</v>
      </c>
      <c r="C1216" s="74">
        <f t="shared" si="579"/>
        <v>17</v>
      </c>
      <c r="D1216" s="75">
        <f t="shared" si="563"/>
        <v>11</v>
      </c>
      <c r="E1216" s="76">
        <f t="shared" si="564"/>
        <v>27</v>
      </c>
      <c r="F1216" s="80"/>
      <c r="G1216" s="83"/>
      <c r="H1216" s="69" t="str">
        <f t="shared" si="580"/>
        <v>Senbur6_20191117_11_00</v>
      </c>
      <c r="I1216" s="70">
        <f t="shared" si="590"/>
        <v>1</v>
      </c>
      <c r="J1216" s="77" t="str">
        <f t="shared" si="590"/>
        <v>Senecio</v>
      </c>
      <c r="K1216" s="77" t="str">
        <f t="shared" si="590"/>
        <v>burtoni</v>
      </c>
      <c r="L1216" s="78">
        <f t="shared" si="590"/>
        <v>6</v>
      </c>
      <c r="M1216" s="78">
        <f t="shared" si="590"/>
        <v>12</v>
      </c>
      <c r="N1216" s="72">
        <f t="shared" si="590"/>
        <v>0</v>
      </c>
      <c r="O1216" s="45"/>
      <c r="P1216" s="46" t="str">
        <f t="shared" si="565"/>
        <v/>
      </c>
      <c r="Q1216" s="47" t="str">
        <f t="shared" si="566"/>
        <v/>
      </c>
      <c r="R1216" s="48" t="e">
        <f t="shared" si="567"/>
        <v>#VALUE!</v>
      </c>
      <c r="S1216" s="49" t="e">
        <f t="shared" si="560"/>
        <v>#VALUE!</v>
      </c>
      <c r="T1216" s="48" t="str">
        <f t="shared" si="568"/>
        <v/>
      </c>
      <c r="U1216" s="50"/>
      <c r="V1216" s="51"/>
      <c r="W1216" s="52" t="e">
        <f t="shared" si="569"/>
        <v>#VALUE!</v>
      </c>
      <c r="X1216" s="53"/>
      <c r="Y1216" s="53"/>
      <c r="Z1216" s="53"/>
      <c r="AA1216" s="48" t="e">
        <f>INDEX([1]!VISITORS[INSECT ORDER], MATCH(X1216,[1]!VISITORS[NAME USED],0))</f>
        <v>#REF!</v>
      </c>
      <c r="AB1216" s="48" t="e">
        <f t="shared" si="570"/>
        <v>#REF!</v>
      </c>
      <c r="AC1216" s="54" t="e">
        <f t="shared" si="571"/>
        <v>#VALUE!</v>
      </c>
      <c r="AD1216" s="55" t="str">
        <f t="shared" si="586"/>
        <v/>
      </c>
      <c r="AE1216" s="55"/>
      <c r="AF1216" s="55"/>
      <c r="AG1216" s="56" t="str">
        <f t="shared" si="587"/>
        <v/>
      </c>
      <c r="AH1216" s="57" t="str">
        <f t="shared" si="582"/>
        <v/>
      </c>
      <c r="AI1216" s="56"/>
      <c r="AJ1216" s="57" t="str">
        <f t="shared" si="583"/>
        <v/>
      </c>
      <c r="AK1216" s="56"/>
      <c r="AL1216" s="57" t="str">
        <f t="shared" si="584"/>
        <v/>
      </c>
      <c r="AM1216" s="56"/>
      <c r="AN1216" s="57" t="str">
        <f t="shared" si="572"/>
        <v/>
      </c>
      <c r="AO1216" s="56"/>
      <c r="AP1216" s="57" t="str">
        <f t="shared" si="573"/>
        <v/>
      </c>
      <c r="AQ1216" s="56"/>
      <c r="AR1216" s="57" t="str">
        <f t="shared" si="574"/>
        <v/>
      </c>
      <c r="AS1216" s="56"/>
      <c r="AT1216" s="57" t="str">
        <f t="shared" si="575"/>
        <v/>
      </c>
      <c r="AU1216" s="58"/>
      <c r="AV1216" s="59"/>
      <c r="AW1216" s="59"/>
      <c r="AX1216" s="60"/>
      <c r="AY1216" s="61" t="str">
        <f t="shared" si="585"/>
        <v/>
      </c>
      <c r="AZ1216" s="62" t="str">
        <f t="shared" si="576"/>
        <v/>
      </c>
      <c r="BA1216" s="61" t="str">
        <f t="shared" si="577"/>
        <v/>
      </c>
      <c r="BB1216" s="62" t="str">
        <f t="shared" si="578"/>
        <v/>
      </c>
    </row>
    <row r="1217" spans="1:54" s="3" customFormat="1" hidden="1" x14ac:dyDescent="0.35">
      <c r="A1217" s="73">
        <f t="shared" si="561"/>
        <v>2019</v>
      </c>
      <c r="B1217" s="73" t="str">
        <f t="shared" si="562"/>
        <v>Nov</v>
      </c>
      <c r="C1217" s="74">
        <f t="shared" si="579"/>
        <v>17</v>
      </c>
      <c r="D1217" s="75">
        <f t="shared" si="563"/>
        <v>11</v>
      </c>
      <c r="E1217" s="76">
        <f t="shared" si="564"/>
        <v>28</v>
      </c>
      <c r="F1217" s="80"/>
      <c r="G1217" s="83"/>
      <c r="H1217" s="69" t="str">
        <f t="shared" si="580"/>
        <v>Senbur6_20191117_11_00</v>
      </c>
      <c r="I1217" s="70">
        <f t="shared" si="590"/>
        <v>1</v>
      </c>
      <c r="J1217" s="77" t="str">
        <f t="shared" si="590"/>
        <v>Senecio</v>
      </c>
      <c r="K1217" s="77" t="str">
        <f t="shared" si="590"/>
        <v>burtoni</v>
      </c>
      <c r="L1217" s="78">
        <f t="shared" si="590"/>
        <v>6</v>
      </c>
      <c r="M1217" s="78">
        <f t="shared" si="590"/>
        <v>12</v>
      </c>
      <c r="N1217" s="72">
        <f t="shared" si="590"/>
        <v>0</v>
      </c>
      <c r="O1217" s="45"/>
      <c r="P1217" s="46" t="str">
        <f t="shared" si="565"/>
        <v/>
      </c>
      <c r="Q1217" s="47" t="str">
        <f t="shared" si="566"/>
        <v/>
      </c>
      <c r="R1217" s="48" t="e">
        <f t="shared" si="567"/>
        <v>#VALUE!</v>
      </c>
      <c r="S1217" s="49" t="e">
        <f t="shared" si="560"/>
        <v>#VALUE!</v>
      </c>
      <c r="T1217" s="48" t="str">
        <f t="shared" si="568"/>
        <v/>
      </c>
      <c r="U1217" s="50"/>
      <c r="V1217" s="51"/>
      <c r="W1217" s="52" t="e">
        <f t="shared" si="569"/>
        <v>#VALUE!</v>
      </c>
      <c r="X1217" s="53"/>
      <c r="Y1217" s="53"/>
      <c r="Z1217" s="53"/>
      <c r="AA1217" s="48" t="e">
        <f>INDEX([1]!VISITORS[INSECT ORDER], MATCH(X1217,[1]!VISITORS[NAME USED],0))</f>
        <v>#REF!</v>
      </c>
      <c r="AB1217" s="48" t="e">
        <f t="shared" si="570"/>
        <v>#REF!</v>
      </c>
      <c r="AC1217" s="54" t="e">
        <f t="shared" si="571"/>
        <v>#VALUE!</v>
      </c>
      <c r="AD1217" s="55" t="str">
        <f t="shared" si="586"/>
        <v/>
      </c>
      <c r="AE1217" s="55"/>
      <c r="AF1217" s="55"/>
      <c r="AG1217" s="56" t="str">
        <f t="shared" si="587"/>
        <v/>
      </c>
      <c r="AH1217" s="57" t="str">
        <f t="shared" si="582"/>
        <v/>
      </c>
      <c r="AI1217" s="56"/>
      <c r="AJ1217" s="57" t="str">
        <f t="shared" si="583"/>
        <v/>
      </c>
      <c r="AK1217" s="56"/>
      <c r="AL1217" s="57" t="str">
        <f t="shared" si="584"/>
        <v/>
      </c>
      <c r="AM1217" s="56"/>
      <c r="AN1217" s="57" t="str">
        <f t="shared" si="572"/>
        <v/>
      </c>
      <c r="AO1217" s="56"/>
      <c r="AP1217" s="57" t="str">
        <f t="shared" si="573"/>
        <v/>
      </c>
      <c r="AQ1217" s="56"/>
      <c r="AR1217" s="57" t="str">
        <f t="shared" si="574"/>
        <v/>
      </c>
      <c r="AS1217" s="56"/>
      <c r="AT1217" s="57" t="str">
        <f t="shared" si="575"/>
        <v/>
      </c>
      <c r="AU1217" s="58"/>
      <c r="AV1217" s="59"/>
      <c r="AW1217" s="59"/>
      <c r="AX1217" s="60"/>
      <c r="AY1217" s="61" t="str">
        <f t="shared" si="585"/>
        <v/>
      </c>
      <c r="AZ1217" s="62" t="str">
        <f t="shared" si="576"/>
        <v/>
      </c>
      <c r="BA1217" s="61" t="str">
        <f t="shared" si="577"/>
        <v/>
      </c>
      <c r="BB1217" s="62" t="str">
        <f t="shared" si="578"/>
        <v/>
      </c>
    </row>
    <row r="1218" spans="1:54" s="3" customFormat="1" hidden="1" x14ac:dyDescent="0.35">
      <c r="A1218" s="73">
        <f t="shared" si="561"/>
        <v>2019</v>
      </c>
      <c r="B1218" s="73" t="str">
        <f t="shared" si="562"/>
        <v>Nov</v>
      </c>
      <c r="C1218" s="74">
        <f t="shared" si="579"/>
        <v>17</v>
      </c>
      <c r="D1218" s="75">
        <f t="shared" si="563"/>
        <v>11</v>
      </c>
      <c r="E1218" s="76">
        <f t="shared" si="564"/>
        <v>29</v>
      </c>
      <c r="F1218" s="80"/>
      <c r="G1218" s="83"/>
      <c r="H1218" s="69" t="str">
        <f t="shared" si="580"/>
        <v>Senbur6_20191117_11_00</v>
      </c>
      <c r="I1218" s="70">
        <f t="shared" si="590"/>
        <v>1</v>
      </c>
      <c r="J1218" s="77" t="str">
        <f t="shared" si="590"/>
        <v>Senecio</v>
      </c>
      <c r="K1218" s="77" t="str">
        <f t="shared" si="590"/>
        <v>burtoni</v>
      </c>
      <c r="L1218" s="78">
        <f t="shared" si="590"/>
        <v>6</v>
      </c>
      <c r="M1218" s="78">
        <f t="shared" si="590"/>
        <v>12</v>
      </c>
      <c r="N1218" s="72">
        <f t="shared" si="590"/>
        <v>0</v>
      </c>
      <c r="O1218" s="45"/>
      <c r="P1218" s="46" t="str">
        <f t="shared" si="565"/>
        <v/>
      </c>
      <c r="Q1218" s="47" t="str">
        <f t="shared" si="566"/>
        <v/>
      </c>
      <c r="R1218" s="48" t="e">
        <f t="shared" si="567"/>
        <v>#VALUE!</v>
      </c>
      <c r="S1218" s="49" t="e">
        <f t="shared" si="560"/>
        <v>#VALUE!</v>
      </c>
      <c r="T1218" s="48" t="str">
        <f t="shared" si="568"/>
        <v/>
      </c>
      <c r="U1218" s="50"/>
      <c r="V1218" s="51"/>
      <c r="W1218" s="52" t="e">
        <f t="shared" si="569"/>
        <v>#VALUE!</v>
      </c>
      <c r="X1218" s="53"/>
      <c r="Y1218" s="53"/>
      <c r="Z1218" s="53"/>
      <c r="AA1218" s="48" t="e">
        <f>INDEX([1]!VISITORS[INSECT ORDER], MATCH(X1218,[1]!VISITORS[NAME USED],0))</f>
        <v>#REF!</v>
      </c>
      <c r="AB1218" s="48" t="e">
        <f t="shared" si="570"/>
        <v>#REF!</v>
      </c>
      <c r="AC1218" s="54" t="e">
        <f t="shared" si="571"/>
        <v>#VALUE!</v>
      </c>
      <c r="AD1218" s="55" t="str">
        <f t="shared" si="586"/>
        <v/>
      </c>
      <c r="AE1218" s="55"/>
      <c r="AF1218" s="55"/>
      <c r="AG1218" s="56" t="str">
        <f t="shared" si="587"/>
        <v/>
      </c>
      <c r="AH1218" s="57" t="str">
        <f t="shared" si="582"/>
        <v/>
      </c>
      <c r="AI1218" s="56"/>
      <c r="AJ1218" s="57" t="str">
        <f t="shared" si="583"/>
        <v/>
      </c>
      <c r="AK1218" s="56"/>
      <c r="AL1218" s="57" t="str">
        <f t="shared" si="584"/>
        <v/>
      </c>
      <c r="AM1218" s="56"/>
      <c r="AN1218" s="57" t="str">
        <f t="shared" si="572"/>
        <v/>
      </c>
      <c r="AO1218" s="56"/>
      <c r="AP1218" s="57" t="str">
        <f t="shared" si="573"/>
        <v/>
      </c>
      <c r="AQ1218" s="56"/>
      <c r="AR1218" s="57" t="str">
        <f t="shared" si="574"/>
        <v/>
      </c>
      <c r="AS1218" s="56"/>
      <c r="AT1218" s="57" t="str">
        <f t="shared" si="575"/>
        <v/>
      </c>
      <c r="AU1218" s="58"/>
      <c r="AV1218" s="59"/>
      <c r="AW1218" s="59"/>
      <c r="AX1218" s="60"/>
      <c r="AY1218" s="61" t="str">
        <f t="shared" si="585"/>
        <v/>
      </c>
      <c r="AZ1218" s="62" t="str">
        <f t="shared" si="576"/>
        <v/>
      </c>
      <c r="BA1218" s="61" t="str">
        <f t="shared" si="577"/>
        <v/>
      </c>
      <c r="BB1218" s="62" t="str">
        <f t="shared" si="578"/>
        <v/>
      </c>
    </row>
    <row r="1219" spans="1:54" s="3" customFormat="1" hidden="1" x14ac:dyDescent="0.35">
      <c r="A1219" s="73">
        <f t="shared" si="561"/>
        <v>2019</v>
      </c>
      <c r="B1219" s="73" t="str">
        <f t="shared" si="562"/>
        <v>Nov</v>
      </c>
      <c r="C1219" s="74">
        <f t="shared" si="579"/>
        <v>17</v>
      </c>
      <c r="D1219" s="75">
        <f t="shared" si="563"/>
        <v>11</v>
      </c>
      <c r="E1219" s="76">
        <f t="shared" si="564"/>
        <v>30</v>
      </c>
      <c r="F1219" s="80"/>
      <c r="G1219" s="83"/>
      <c r="H1219" s="69" t="str">
        <f t="shared" si="580"/>
        <v>Senbur6_20191117_11_00</v>
      </c>
      <c r="I1219" s="70">
        <f t="shared" si="590"/>
        <v>1</v>
      </c>
      <c r="J1219" s="77" t="str">
        <f t="shared" si="590"/>
        <v>Senecio</v>
      </c>
      <c r="K1219" s="77" t="str">
        <f t="shared" si="590"/>
        <v>burtoni</v>
      </c>
      <c r="L1219" s="78">
        <f t="shared" si="590"/>
        <v>6</v>
      </c>
      <c r="M1219" s="78">
        <f t="shared" si="590"/>
        <v>12</v>
      </c>
      <c r="N1219" s="72">
        <f t="shared" si="590"/>
        <v>0</v>
      </c>
      <c r="O1219" s="45"/>
      <c r="P1219" s="46" t="str">
        <f t="shared" si="565"/>
        <v/>
      </c>
      <c r="Q1219" s="47" t="str">
        <f t="shared" si="566"/>
        <v/>
      </c>
      <c r="R1219" s="48" t="e">
        <f t="shared" si="567"/>
        <v>#VALUE!</v>
      </c>
      <c r="S1219" s="49" t="e">
        <f t="shared" ref="S1219:S1283" si="591">IF(T1219&lt;D1219, (T1219*3600+U1219*60+V1219)+((23*3600+59*60+60)-(D1219*3600+E1219*60+LEFT(F1219,2))), (T1219*3600+U1219*60+V1219)-(D1219*3600+E1219*60+LEFT(F1219,2)))</f>
        <v>#VALUE!</v>
      </c>
      <c r="T1219" s="48" t="str">
        <f t="shared" si="568"/>
        <v/>
      </c>
      <c r="U1219" s="50"/>
      <c r="V1219" s="51"/>
      <c r="W1219" s="52" t="e">
        <f t="shared" si="569"/>
        <v>#VALUE!</v>
      </c>
      <c r="X1219" s="53"/>
      <c r="Y1219" s="53"/>
      <c r="Z1219" s="53"/>
      <c r="AA1219" s="48" t="e">
        <f>INDEX([1]!VISITORS[INSECT ORDER], MATCH(X1219,[1]!VISITORS[NAME USED],0))</f>
        <v>#REF!</v>
      </c>
      <c r="AB1219" s="48" t="e">
        <f t="shared" si="570"/>
        <v>#REF!</v>
      </c>
      <c r="AC1219" s="54" t="e">
        <f t="shared" si="571"/>
        <v>#VALUE!</v>
      </c>
      <c r="AD1219" s="55" t="str">
        <f t="shared" si="586"/>
        <v/>
      </c>
      <c r="AE1219" s="55"/>
      <c r="AF1219" s="55"/>
      <c r="AG1219" s="56" t="str">
        <f t="shared" si="587"/>
        <v/>
      </c>
      <c r="AH1219" s="57" t="str">
        <f t="shared" si="582"/>
        <v/>
      </c>
      <c r="AI1219" s="56"/>
      <c r="AJ1219" s="57" t="str">
        <f t="shared" si="583"/>
        <v/>
      </c>
      <c r="AK1219" s="56"/>
      <c r="AL1219" s="57" t="str">
        <f t="shared" si="584"/>
        <v/>
      </c>
      <c r="AM1219" s="56"/>
      <c r="AN1219" s="57" t="str">
        <f t="shared" si="572"/>
        <v/>
      </c>
      <c r="AO1219" s="56"/>
      <c r="AP1219" s="57" t="str">
        <f t="shared" si="573"/>
        <v/>
      </c>
      <c r="AQ1219" s="56"/>
      <c r="AR1219" s="57" t="str">
        <f t="shared" si="574"/>
        <v/>
      </c>
      <c r="AS1219" s="56"/>
      <c r="AT1219" s="57" t="str">
        <f t="shared" si="575"/>
        <v/>
      </c>
      <c r="AU1219" s="58"/>
      <c r="AV1219" s="59"/>
      <c r="AW1219" s="59"/>
      <c r="AX1219" s="60"/>
      <c r="AY1219" s="61" t="str">
        <f t="shared" si="585"/>
        <v/>
      </c>
      <c r="AZ1219" s="62" t="str">
        <f t="shared" si="576"/>
        <v/>
      </c>
      <c r="BA1219" s="61" t="str">
        <f t="shared" si="577"/>
        <v/>
      </c>
      <c r="BB1219" s="62" t="str">
        <f t="shared" si="578"/>
        <v/>
      </c>
    </row>
    <row r="1220" spans="1:54" s="3" customFormat="1" hidden="1" x14ac:dyDescent="0.35">
      <c r="A1220" s="73">
        <f t="shared" ref="A1220:A1284" si="592">A1219</f>
        <v>2019</v>
      </c>
      <c r="B1220" s="73" t="str">
        <f t="shared" ref="B1220:B1284" si="593">IF(C1219-C1220&gt;0, TEXT(DATE(2016,(MONTH(DATEVALUE(B1219&amp;"1"))+1),1),"mmm"), B1219)</f>
        <v>Nov</v>
      </c>
      <c r="C1220" s="74">
        <f t="shared" si="579"/>
        <v>17</v>
      </c>
      <c r="D1220" s="75">
        <f t="shared" ref="D1220:D1284" si="594">IF(IF(E1219=59,D1219+1,D1219)=24,0,IF(E1219=59,D1219+1,D1219))</f>
        <v>11</v>
      </c>
      <c r="E1220" s="76">
        <f t="shared" ref="E1220:E1284" si="595">IF(E1219&lt;59,E1219+1,0)</f>
        <v>31</v>
      </c>
      <c r="F1220" s="80"/>
      <c r="G1220" s="83"/>
      <c r="H1220" s="69" t="str">
        <f t="shared" si="580"/>
        <v>Senbur6_20191117_11_00</v>
      </c>
      <c r="I1220" s="70">
        <f t="shared" si="590"/>
        <v>1</v>
      </c>
      <c r="J1220" s="77" t="str">
        <f t="shared" si="590"/>
        <v>Senecio</v>
      </c>
      <c r="K1220" s="77" t="str">
        <f t="shared" si="590"/>
        <v>burtoni</v>
      </c>
      <c r="L1220" s="78">
        <f t="shared" si="590"/>
        <v>6</v>
      </c>
      <c r="M1220" s="78">
        <f t="shared" si="590"/>
        <v>12</v>
      </c>
      <c r="N1220" s="72">
        <f t="shared" si="590"/>
        <v>0</v>
      </c>
      <c r="O1220" s="45"/>
      <c r="P1220" s="46" t="str">
        <f t="shared" ref="P1220:P1284" si="596">IF(F1220="","",1)</f>
        <v/>
      </c>
      <c r="Q1220" s="47" t="str">
        <f t="shared" ref="Q1220:Q1284" si="597">TEXT(IF(P1220=1,CONCATENATE($D1220,":",$E1220,":",(LEFT($F1220,2))),""),"hh:mm:ss")</f>
        <v/>
      </c>
      <c r="R1220" s="48" t="e">
        <f t="shared" ref="R1220:R1284" si="598">TEXT(Q1220-TIME(0,RIGHT($H1220,2),$G$9)+(Q1220&gt;TIME(0,RIGHT($H1220,2),$G$9)),"mm:ss")</f>
        <v>#VALUE!</v>
      </c>
      <c r="S1220" s="49" t="e">
        <f t="shared" si="591"/>
        <v>#VALUE!</v>
      </c>
      <c r="T1220" s="48" t="str">
        <f t="shared" ref="T1220:T1284" si="599">TEXT(IF(P1220=1,D1220,""),"00")</f>
        <v/>
      </c>
      <c r="U1220" s="50"/>
      <c r="V1220" s="51"/>
      <c r="W1220" s="52" t="e">
        <f t="shared" ref="W1220:W1284" si="600">IF(O1220=0,TEXT(TIME(T1220,U1220,V1220)-TIME(D1220,E1220,RIGHT(F1220,2))+TIME(0,LEFT(R1220,2),RIGHT(R1220,2)),"mm:ss"),TEXT(TIME(T1220,U1220,V1220)-TIME(D1220,E1220,RIGHT(F1220,2))+TIME(0,LEFT(R1220,2),RIGHT(R1220,2))-TIME(0,($G$10*O1220),0),"mm:ss"))</f>
        <v>#VALUE!</v>
      </c>
      <c r="X1220" s="53"/>
      <c r="Y1220" s="53"/>
      <c r="Z1220" s="53"/>
      <c r="AA1220" s="48" t="e">
        <f>INDEX([1]!VISITORS[INSECT ORDER], MATCH(X1220,[1]!VISITORS[NAME USED],0))</f>
        <v>#REF!</v>
      </c>
      <c r="AB1220" s="48" t="e">
        <f t="shared" ref="AB1220:AB1284" si="601">IF(AA1220&lt;&gt;0,"NA","")</f>
        <v>#REF!</v>
      </c>
      <c r="AC1220" s="54" t="e">
        <f t="shared" ref="AC1220:AC1284" si="602">IF(SUM(AH1220,AJ1220,AL1220,AN1220,AP1220,AR1220,AT1220)=S1220,,"")</f>
        <v>#VALUE!</v>
      </c>
      <c r="AD1220" s="55" t="str">
        <f t="shared" ref="AD1220:AD1284" si="603">IF(P1220=1,1,"")</f>
        <v/>
      </c>
      <c r="AE1220" s="55"/>
      <c r="AF1220" s="55"/>
      <c r="AG1220" s="56" t="str">
        <f t="shared" ref="AG1220:AG1284" si="604">IF(OR(X1220="Something small"),1,"")</f>
        <v/>
      </c>
      <c r="AH1220" s="57" t="str">
        <f t="shared" ref="AH1220:AH1284" si="605">IF(AG1220=1,$S1220,"")</f>
        <v/>
      </c>
      <c r="AI1220" s="56"/>
      <c r="AJ1220" s="57" t="str">
        <f t="shared" ref="AJ1220:AJ1284" si="606">IF(AI1220=1,$S1220,"")</f>
        <v/>
      </c>
      <c r="AK1220" s="56"/>
      <c r="AL1220" s="57" t="str">
        <f t="shared" ref="AL1220:AL1284" si="607">IF(AK1220=1,$S1220,"")</f>
        <v/>
      </c>
      <c r="AM1220" s="56"/>
      <c r="AN1220" s="57" t="str">
        <f t="shared" ref="AN1220:AN1284" si="608">IF(AM1220=1,$S1220,"")</f>
        <v/>
      </c>
      <c r="AO1220" s="56"/>
      <c r="AP1220" s="57" t="str">
        <f t="shared" ref="AP1220:AP1284" si="609">IF(AO1220=1,$S1220,"")</f>
        <v/>
      </c>
      <c r="AQ1220" s="56"/>
      <c r="AR1220" s="57" t="str">
        <f t="shared" ref="AR1220:AR1284" si="610">IF(AQ1220=1,$S1220,"")</f>
        <v/>
      </c>
      <c r="AS1220" s="56"/>
      <c r="AT1220" s="57" t="str">
        <f t="shared" ref="AT1220:AT1284" si="611">IF(AS1220=1,$S1220,"")</f>
        <v/>
      </c>
      <c r="AU1220" s="58"/>
      <c r="AV1220" s="59"/>
      <c r="AW1220" s="59"/>
      <c r="AX1220" s="60"/>
      <c r="AY1220" s="61" t="str">
        <f t="shared" ref="AY1220:AY1284" si="612">IF(P1220=1,0,"")</f>
        <v/>
      </c>
      <c r="AZ1220" s="62" t="str">
        <f t="shared" ref="AZ1220:AZ1284" si="613">IF(AY1220=1,AD1220,"")</f>
        <v/>
      </c>
      <c r="BA1220" s="61" t="str">
        <f t="shared" ref="BA1220:BA1284" si="614">IF(P1220=1,0,"")</f>
        <v/>
      </c>
      <c r="BB1220" s="62" t="str">
        <f t="shared" ref="BB1220:BB1284" si="615">IF(BA1220=1,AD1220,"")</f>
        <v/>
      </c>
    </row>
    <row r="1221" spans="1:54" s="3" customFormat="1" hidden="1" x14ac:dyDescent="0.35">
      <c r="A1221" s="73">
        <f t="shared" si="592"/>
        <v>2019</v>
      </c>
      <c r="B1221" s="73" t="str">
        <f t="shared" si="593"/>
        <v>Nov</v>
      </c>
      <c r="C1221" s="74">
        <f t="shared" ref="C1221:C1285" si="616">IF(AND(D1221=0, E1221=0), IF(TEXT(C1220,"dd")=TEXT(EOMONTH(DATE(A1220,MONTH(DATEVALUE(B1220&amp;"1")),C1220),0), "dd"), 1, C1220+1), C1220)</f>
        <v>17</v>
      </c>
      <c r="D1221" s="75">
        <f t="shared" si="594"/>
        <v>11</v>
      </c>
      <c r="E1221" s="76">
        <f t="shared" si="595"/>
        <v>32</v>
      </c>
      <c r="F1221" s="80">
        <v>1</v>
      </c>
      <c r="G1221" s="83"/>
      <c r="H1221" s="69" t="str">
        <f t="shared" ref="H1221:H1285" si="617">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Senbur6_20191117_11_00</v>
      </c>
      <c r="I1221" s="70">
        <f t="shared" ref="I1221:N1236" si="618">I1220</f>
        <v>1</v>
      </c>
      <c r="J1221" s="77" t="str">
        <f t="shared" si="618"/>
        <v>Senecio</v>
      </c>
      <c r="K1221" s="77" t="str">
        <f t="shared" si="618"/>
        <v>burtoni</v>
      </c>
      <c r="L1221" s="78">
        <f t="shared" si="618"/>
        <v>6</v>
      </c>
      <c r="M1221" s="78">
        <f t="shared" si="618"/>
        <v>12</v>
      </c>
      <c r="N1221" s="72">
        <f t="shared" si="618"/>
        <v>0</v>
      </c>
      <c r="O1221" s="45"/>
      <c r="P1221" s="46">
        <f t="shared" si="596"/>
        <v>1</v>
      </c>
      <c r="Q1221" s="47" t="str">
        <f t="shared" si="597"/>
        <v>11:32:01</v>
      </c>
      <c r="R1221" s="48" t="str">
        <f t="shared" si="598"/>
        <v>32:01</v>
      </c>
      <c r="S1221" s="49">
        <f t="shared" si="591"/>
        <v>130</v>
      </c>
      <c r="T1221" s="48" t="str">
        <f t="shared" si="599"/>
        <v>11</v>
      </c>
      <c r="U1221" s="50">
        <v>34</v>
      </c>
      <c r="V1221" s="51">
        <v>11</v>
      </c>
      <c r="W1221" s="52" t="str">
        <f t="shared" si="600"/>
        <v>34:11</v>
      </c>
      <c r="X1221" s="53" t="s">
        <v>59</v>
      </c>
      <c r="Y1221" s="97" t="s">
        <v>78</v>
      </c>
      <c r="Z1221" s="97"/>
      <c r="AA1221" s="48" t="s">
        <v>60</v>
      </c>
      <c r="AB1221" s="48" t="str">
        <f t="shared" si="601"/>
        <v>NA</v>
      </c>
      <c r="AC1221" s="54">
        <f t="shared" si="602"/>
        <v>0</v>
      </c>
      <c r="AD1221" s="55">
        <v>2</v>
      </c>
      <c r="AE1221" s="55"/>
      <c r="AF1221" s="55"/>
      <c r="AG1221" s="56" t="str">
        <f t="shared" si="604"/>
        <v/>
      </c>
      <c r="AH1221" s="57" t="str">
        <f t="shared" si="605"/>
        <v/>
      </c>
      <c r="AI1221" s="56">
        <v>1</v>
      </c>
      <c r="AJ1221" s="57">
        <v>1</v>
      </c>
      <c r="AK1221" s="56">
        <v>1</v>
      </c>
      <c r="AL1221" s="57">
        <v>129</v>
      </c>
      <c r="AM1221" s="56"/>
      <c r="AN1221" s="57" t="str">
        <f t="shared" si="608"/>
        <v/>
      </c>
      <c r="AO1221" s="56"/>
      <c r="AP1221" s="57" t="str">
        <f t="shared" si="609"/>
        <v/>
      </c>
      <c r="AQ1221" s="56"/>
      <c r="AR1221" s="57" t="str">
        <f t="shared" si="610"/>
        <v/>
      </c>
      <c r="AS1221" s="56"/>
      <c r="AT1221" s="57" t="str">
        <f t="shared" si="611"/>
        <v/>
      </c>
      <c r="AU1221" s="58"/>
      <c r="AV1221" s="59"/>
      <c r="AW1221" s="59"/>
      <c r="AX1221" s="60"/>
      <c r="AY1221" s="61">
        <v>1</v>
      </c>
      <c r="AZ1221" s="62">
        <v>1</v>
      </c>
      <c r="BA1221" s="61">
        <f t="shared" si="614"/>
        <v>0</v>
      </c>
      <c r="BB1221" s="62" t="str">
        <f t="shared" si="615"/>
        <v/>
      </c>
    </row>
    <row r="1222" spans="1:54" s="3" customFormat="1" hidden="1" x14ac:dyDescent="0.35">
      <c r="A1222" s="73">
        <f t="shared" si="592"/>
        <v>2019</v>
      </c>
      <c r="B1222" s="73" t="str">
        <f t="shared" si="593"/>
        <v>Nov</v>
      </c>
      <c r="C1222" s="74">
        <f t="shared" si="616"/>
        <v>17</v>
      </c>
      <c r="D1222" s="75">
        <f t="shared" si="594"/>
        <v>11</v>
      </c>
      <c r="E1222" s="76">
        <v>32</v>
      </c>
      <c r="F1222" s="80">
        <v>56</v>
      </c>
      <c r="G1222" s="83"/>
      <c r="H1222" s="69" t="str">
        <f t="shared" si="617"/>
        <v>Senbur6_20191117_11_00</v>
      </c>
      <c r="I1222" s="70">
        <f t="shared" si="618"/>
        <v>1</v>
      </c>
      <c r="J1222" s="77" t="str">
        <f t="shared" si="618"/>
        <v>Senecio</v>
      </c>
      <c r="K1222" s="77" t="str">
        <f t="shared" si="618"/>
        <v>burtoni</v>
      </c>
      <c r="L1222" s="78">
        <f t="shared" si="618"/>
        <v>6</v>
      </c>
      <c r="M1222" s="78">
        <f t="shared" si="618"/>
        <v>12</v>
      </c>
      <c r="N1222" s="72">
        <f t="shared" si="618"/>
        <v>0</v>
      </c>
      <c r="O1222" s="45"/>
      <c r="P1222" s="46">
        <f t="shared" si="596"/>
        <v>1</v>
      </c>
      <c r="Q1222" s="47" t="str">
        <f t="shared" si="597"/>
        <v>11:32:56</v>
      </c>
      <c r="R1222" s="48" t="str">
        <f t="shared" si="598"/>
        <v>32:56</v>
      </c>
      <c r="S1222" s="49">
        <f t="shared" si="591"/>
        <v>31</v>
      </c>
      <c r="T1222" s="48" t="str">
        <f t="shared" si="599"/>
        <v>11</v>
      </c>
      <c r="U1222" s="50">
        <v>33</v>
      </c>
      <c r="V1222" s="51">
        <v>27</v>
      </c>
      <c r="W1222" s="52" t="str">
        <f t="shared" si="600"/>
        <v>33:27</v>
      </c>
      <c r="X1222" s="53" t="s">
        <v>59</v>
      </c>
      <c r="Y1222" s="97" t="s">
        <v>78</v>
      </c>
      <c r="Z1222" s="97"/>
      <c r="AA1222" s="48" t="s">
        <v>60</v>
      </c>
      <c r="AB1222" s="48" t="str">
        <f t="shared" si="601"/>
        <v>NA</v>
      </c>
      <c r="AC1222" s="54">
        <f t="shared" si="602"/>
        <v>0</v>
      </c>
      <c r="AD1222" s="55">
        <v>2</v>
      </c>
      <c r="AE1222" s="55"/>
      <c r="AF1222" s="55"/>
      <c r="AG1222" s="56">
        <v>1</v>
      </c>
      <c r="AH1222" s="57">
        <v>13</v>
      </c>
      <c r="AI1222" s="56">
        <v>1</v>
      </c>
      <c r="AJ1222" s="57">
        <v>1</v>
      </c>
      <c r="AK1222" s="56">
        <v>1</v>
      </c>
      <c r="AL1222" s="57">
        <v>17</v>
      </c>
      <c r="AM1222" s="56"/>
      <c r="AN1222" s="57" t="str">
        <f t="shared" si="608"/>
        <v/>
      </c>
      <c r="AO1222" s="56"/>
      <c r="AP1222" s="57" t="str">
        <f t="shared" si="609"/>
        <v/>
      </c>
      <c r="AQ1222" s="56"/>
      <c r="AR1222" s="57" t="str">
        <f t="shared" si="610"/>
        <v/>
      </c>
      <c r="AS1222" s="56"/>
      <c r="AT1222" s="57" t="str">
        <f t="shared" si="611"/>
        <v/>
      </c>
      <c r="AU1222" s="58"/>
      <c r="AV1222" s="59"/>
      <c r="AW1222" s="59"/>
      <c r="AX1222" s="60"/>
      <c r="AY1222" s="61">
        <v>1</v>
      </c>
      <c r="AZ1222" s="62">
        <f t="shared" si="613"/>
        <v>2</v>
      </c>
      <c r="BA1222" s="61">
        <f t="shared" si="614"/>
        <v>0</v>
      </c>
      <c r="BB1222" s="62" t="str">
        <f t="shared" si="615"/>
        <v/>
      </c>
    </row>
    <row r="1223" spans="1:54" s="3" customFormat="1" hidden="1" x14ac:dyDescent="0.35">
      <c r="A1223" s="73">
        <f t="shared" si="592"/>
        <v>2019</v>
      </c>
      <c r="B1223" s="73" t="str">
        <f t="shared" si="593"/>
        <v>Nov</v>
      </c>
      <c r="C1223" s="74">
        <f t="shared" si="616"/>
        <v>17</v>
      </c>
      <c r="D1223" s="75">
        <f t="shared" si="594"/>
        <v>11</v>
      </c>
      <c r="E1223" s="76">
        <f t="shared" si="595"/>
        <v>33</v>
      </c>
      <c r="F1223" s="80"/>
      <c r="G1223" s="83"/>
      <c r="H1223" s="69" t="str">
        <f t="shared" si="617"/>
        <v>Senbur6_20191117_11_00</v>
      </c>
      <c r="I1223" s="70">
        <f t="shared" si="618"/>
        <v>1</v>
      </c>
      <c r="J1223" s="77" t="str">
        <f t="shared" si="618"/>
        <v>Senecio</v>
      </c>
      <c r="K1223" s="77" t="str">
        <f t="shared" si="618"/>
        <v>burtoni</v>
      </c>
      <c r="L1223" s="78">
        <f t="shared" si="618"/>
        <v>6</v>
      </c>
      <c r="M1223" s="78">
        <f t="shared" si="618"/>
        <v>12</v>
      </c>
      <c r="N1223" s="72">
        <f t="shared" si="618"/>
        <v>0</v>
      </c>
      <c r="O1223" s="45"/>
      <c r="P1223" s="46" t="str">
        <f t="shared" si="596"/>
        <v/>
      </c>
      <c r="Q1223" s="47" t="str">
        <f t="shared" si="597"/>
        <v/>
      </c>
      <c r="R1223" s="48" t="e">
        <f t="shared" si="598"/>
        <v>#VALUE!</v>
      </c>
      <c r="S1223" s="49" t="e">
        <f t="shared" si="591"/>
        <v>#VALUE!</v>
      </c>
      <c r="T1223" s="48" t="str">
        <f t="shared" si="599"/>
        <v/>
      </c>
      <c r="U1223" s="50"/>
      <c r="V1223" s="51"/>
      <c r="W1223" s="52" t="e">
        <f t="shared" si="600"/>
        <v>#VALUE!</v>
      </c>
      <c r="X1223" s="53"/>
      <c r="Y1223" s="53"/>
      <c r="Z1223" s="53"/>
      <c r="AA1223" s="48" t="e">
        <f>INDEX([1]!VISITORS[INSECT ORDER], MATCH(X1223,[1]!VISITORS[NAME USED],0))</f>
        <v>#REF!</v>
      </c>
      <c r="AB1223" s="48" t="e">
        <f t="shared" si="601"/>
        <v>#REF!</v>
      </c>
      <c r="AC1223" s="54" t="e">
        <f t="shared" si="602"/>
        <v>#VALUE!</v>
      </c>
      <c r="AD1223" s="55" t="str">
        <f t="shared" si="603"/>
        <v/>
      </c>
      <c r="AE1223" s="55"/>
      <c r="AF1223" s="55"/>
      <c r="AG1223" s="56" t="str">
        <f t="shared" si="604"/>
        <v/>
      </c>
      <c r="AH1223" s="57" t="str">
        <f t="shared" si="605"/>
        <v/>
      </c>
      <c r="AI1223" s="56"/>
      <c r="AJ1223" s="57" t="str">
        <f t="shared" si="606"/>
        <v/>
      </c>
      <c r="AK1223" s="56"/>
      <c r="AL1223" s="57" t="str">
        <f t="shared" si="607"/>
        <v/>
      </c>
      <c r="AM1223" s="56"/>
      <c r="AN1223" s="57" t="str">
        <f t="shared" si="608"/>
        <v/>
      </c>
      <c r="AO1223" s="56"/>
      <c r="AP1223" s="57" t="str">
        <f t="shared" si="609"/>
        <v/>
      </c>
      <c r="AQ1223" s="56"/>
      <c r="AR1223" s="57" t="str">
        <f t="shared" si="610"/>
        <v/>
      </c>
      <c r="AS1223" s="56"/>
      <c r="AT1223" s="57" t="str">
        <f t="shared" si="611"/>
        <v/>
      </c>
      <c r="AU1223" s="58"/>
      <c r="AV1223" s="59"/>
      <c r="AW1223" s="59"/>
      <c r="AX1223" s="60"/>
      <c r="AY1223" s="61" t="str">
        <f t="shared" si="612"/>
        <v/>
      </c>
      <c r="AZ1223" s="62" t="str">
        <f t="shared" si="613"/>
        <v/>
      </c>
      <c r="BA1223" s="61" t="str">
        <f t="shared" si="614"/>
        <v/>
      </c>
      <c r="BB1223" s="62" t="str">
        <f t="shared" si="615"/>
        <v/>
      </c>
    </row>
    <row r="1224" spans="1:54" s="3" customFormat="1" hidden="1" x14ac:dyDescent="0.35">
      <c r="A1224" s="73">
        <f t="shared" si="592"/>
        <v>2019</v>
      </c>
      <c r="B1224" s="73" t="str">
        <f t="shared" si="593"/>
        <v>Nov</v>
      </c>
      <c r="C1224" s="74">
        <f t="shared" si="616"/>
        <v>17</v>
      </c>
      <c r="D1224" s="75">
        <f t="shared" si="594"/>
        <v>11</v>
      </c>
      <c r="E1224" s="76">
        <f t="shared" si="595"/>
        <v>34</v>
      </c>
      <c r="F1224" s="80"/>
      <c r="G1224" s="83"/>
      <c r="H1224" s="69" t="str">
        <f t="shared" si="617"/>
        <v>Senbur6_20191117_11_00</v>
      </c>
      <c r="I1224" s="70">
        <f t="shared" si="618"/>
        <v>1</v>
      </c>
      <c r="J1224" s="77" t="str">
        <f t="shared" si="618"/>
        <v>Senecio</v>
      </c>
      <c r="K1224" s="77" t="str">
        <f t="shared" si="618"/>
        <v>burtoni</v>
      </c>
      <c r="L1224" s="78">
        <f t="shared" si="618"/>
        <v>6</v>
      </c>
      <c r="M1224" s="78">
        <f t="shared" si="618"/>
        <v>12</v>
      </c>
      <c r="N1224" s="72">
        <f t="shared" si="618"/>
        <v>0</v>
      </c>
      <c r="O1224" s="45"/>
      <c r="P1224" s="46" t="str">
        <f t="shared" si="596"/>
        <v/>
      </c>
      <c r="Q1224" s="47" t="str">
        <f t="shared" si="597"/>
        <v/>
      </c>
      <c r="R1224" s="48" t="e">
        <f t="shared" si="598"/>
        <v>#VALUE!</v>
      </c>
      <c r="S1224" s="49" t="e">
        <f t="shared" si="591"/>
        <v>#VALUE!</v>
      </c>
      <c r="T1224" s="48" t="str">
        <f t="shared" si="599"/>
        <v/>
      </c>
      <c r="U1224" s="50"/>
      <c r="V1224" s="51"/>
      <c r="W1224" s="52" t="e">
        <f t="shared" si="600"/>
        <v>#VALUE!</v>
      </c>
      <c r="X1224" s="53"/>
      <c r="Y1224" s="53"/>
      <c r="Z1224" s="53"/>
      <c r="AA1224" s="48" t="e">
        <f>INDEX([1]!VISITORS[INSECT ORDER], MATCH(X1224,[1]!VISITORS[NAME USED],0))</f>
        <v>#REF!</v>
      </c>
      <c r="AB1224" s="48" t="e">
        <f t="shared" si="601"/>
        <v>#REF!</v>
      </c>
      <c r="AC1224" s="54" t="e">
        <f t="shared" si="602"/>
        <v>#VALUE!</v>
      </c>
      <c r="AD1224" s="55" t="str">
        <f t="shared" si="603"/>
        <v/>
      </c>
      <c r="AE1224" s="55"/>
      <c r="AF1224" s="55"/>
      <c r="AG1224" s="56" t="str">
        <f t="shared" si="604"/>
        <v/>
      </c>
      <c r="AH1224" s="57" t="str">
        <f t="shared" si="605"/>
        <v/>
      </c>
      <c r="AI1224" s="56"/>
      <c r="AJ1224" s="57" t="str">
        <f t="shared" si="606"/>
        <v/>
      </c>
      <c r="AK1224" s="56"/>
      <c r="AL1224" s="57" t="str">
        <f t="shared" si="607"/>
        <v/>
      </c>
      <c r="AM1224" s="56"/>
      <c r="AN1224" s="57" t="str">
        <f t="shared" si="608"/>
        <v/>
      </c>
      <c r="AO1224" s="56"/>
      <c r="AP1224" s="57" t="str">
        <f t="shared" si="609"/>
        <v/>
      </c>
      <c r="AQ1224" s="56"/>
      <c r="AR1224" s="57" t="str">
        <f t="shared" si="610"/>
        <v/>
      </c>
      <c r="AS1224" s="56"/>
      <c r="AT1224" s="57" t="str">
        <f t="shared" si="611"/>
        <v/>
      </c>
      <c r="AU1224" s="58"/>
      <c r="AV1224" s="59"/>
      <c r="AW1224" s="59"/>
      <c r="AX1224" s="60"/>
      <c r="AY1224" s="61" t="str">
        <f t="shared" si="612"/>
        <v/>
      </c>
      <c r="AZ1224" s="62" t="str">
        <f t="shared" si="613"/>
        <v/>
      </c>
      <c r="BA1224" s="61" t="str">
        <f t="shared" si="614"/>
        <v/>
      </c>
      <c r="BB1224" s="62" t="str">
        <f t="shared" si="615"/>
        <v/>
      </c>
    </row>
    <row r="1225" spans="1:54" s="3" customFormat="1" hidden="1" x14ac:dyDescent="0.35">
      <c r="A1225" s="73">
        <f t="shared" si="592"/>
        <v>2019</v>
      </c>
      <c r="B1225" s="73" t="str">
        <f t="shared" si="593"/>
        <v>Nov</v>
      </c>
      <c r="C1225" s="74">
        <f t="shared" si="616"/>
        <v>17</v>
      </c>
      <c r="D1225" s="75">
        <f t="shared" si="594"/>
        <v>11</v>
      </c>
      <c r="E1225" s="76">
        <f t="shared" si="595"/>
        <v>35</v>
      </c>
      <c r="F1225" s="80"/>
      <c r="G1225" s="83"/>
      <c r="H1225" s="69" t="str">
        <f t="shared" si="617"/>
        <v>Senbur6_20191117_11_00</v>
      </c>
      <c r="I1225" s="70">
        <f t="shared" si="618"/>
        <v>1</v>
      </c>
      <c r="J1225" s="77" t="str">
        <f t="shared" si="618"/>
        <v>Senecio</v>
      </c>
      <c r="K1225" s="77" t="str">
        <f t="shared" si="618"/>
        <v>burtoni</v>
      </c>
      <c r="L1225" s="78">
        <f t="shared" si="618"/>
        <v>6</v>
      </c>
      <c r="M1225" s="78">
        <f t="shared" si="618"/>
        <v>12</v>
      </c>
      <c r="N1225" s="72">
        <f t="shared" si="618"/>
        <v>0</v>
      </c>
      <c r="O1225" s="45"/>
      <c r="P1225" s="46" t="str">
        <f t="shared" si="596"/>
        <v/>
      </c>
      <c r="Q1225" s="47" t="str">
        <f t="shared" si="597"/>
        <v/>
      </c>
      <c r="R1225" s="48" t="e">
        <f t="shared" si="598"/>
        <v>#VALUE!</v>
      </c>
      <c r="S1225" s="49" t="e">
        <f t="shared" si="591"/>
        <v>#VALUE!</v>
      </c>
      <c r="T1225" s="48" t="str">
        <f t="shared" si="599"/>
        <v/>
      </c>
      <c r="U1225" s="50"/>
      <c r="V1225" s="51"/>
      <c r="W1225" s="52" t="e">
        <f t="shared" si="600"/>
        <v>#VALUE!</v>
      </c>
      <c r="X1225" s="53"/>
      <c r="Y1225" s="53"/>
      <c r="Z1225" s="53"/>
      <c r="AA1225" s="48" t="e">
        <f>INDEX([1]!VISITORS[INSECT ORDER], MATCH(X1225,[1]!VISITORS[NAME USED],0))</f>
        <v>#REF!</v>
      </c>
      <c r="AB1225" s="48" t="e">
        <f t="shared" si="601"/>
        <v>#REF!</v>
      </c>
      <c r="AC1225" s="54" t="e">
        <f t="shared" si="602"/>
        <v>#VALUE!</v>
      </c>
      <c r="AD1225" s="55" t="str">
        <f t="shared" si="603"/>
        <v/>
      </c>
      <c r="AE1225" s="55"/>
      <c r="AF1225" s="55"/>
      <c r="AG1225" s="56" t="str">
        <f t="shared" si="604"/>
        <v/>
      </c>
      <c r="AH1225" s="57" t="str">
        <f t="shared" si="605"/>
        <v/>
      </c>
      <c r="AI1225" s="56"/>
      <c r="AJ1225" s="57" t="str">
        <f t="shared" si="606"/>
        <v/>
      </c>
      <c r="AK1225" s="56"/>
      <c r="AL1225" s="57" t="str">
        <f t="shared" si="607"/>
        <v/>
      </c>
      <c r="AM1225" s="56"/>
      <c r="AN1225" s="57" t="str">
        <f t="shared" si="608"/>
        <v/>
      </c>
      <c r="AO1225" s="56"/>
      <c r="AP1225" s="57" t="str">
        <f t="shared" si="609"/>
        <v/>
      </c>
      <c r="AQ1225" s="56"/>
      <c r="AR1225" s="57" t="str">
        <f t="shared" si="610"/>
        <v/>
      </c>
      <c r="AS1225" s="56"/>
      <c r="AT1225" s="57" t="str">
        <f t="shared" si="611"/>
        <v/>
      </c>
      <c r="AU1225" s="58"/>
      <c r="AV1225" s="59"/>
      <c r="AW1225" s="59"/>
      <c r="AX1225" s="60"/>
      <c r="AY1225" s="61" t="str">
        <f t="shared" si="612"/>
        <v/>
      </c>
      <c r="AZ1225" s="62" t="str">
        <f t="shared" si="613"/>
        <v/>
      </c>
      <c r="BA1225" s="61" t="str">
        <f t="shared" si="614"/>
        <v/>
      </c>
      <c r="BB1225" s="62" t="str">
        <f t="shared" si="615"/>
        <v/>
      </c>
    </row>
    <row r="1226" spans="1:54" s="3" customFormat="1" hidden="1" x14ac:dyDescent="0.35">
      <c r="A1226" s="73">
        <f t="shared" si="592"/>
        <v>2019</v>
      </c>
      <c r="B1226" s="73" t="str">
        <f t="shared" si="593"/>
        <v>Nov</v>
      </c>
      <c r="C1226" s="74">
        <f t="shared" si="616"/>
        <v>17</v>
      </c>
      <c r="D1226" s="75">
        <f t="shared" si="594"/>
        <v>11</v>
      </c>
      <c r="E1226" s="76">
        <f t="shared" si="595"/>
        <v>36</v>
      </c>
      <c r="F1226" s="80"/>
      <c r="G1226" s="83"/>
      <c r="H1226" s="69" t="str">
        <f t="shared" si="617"/>
        <v>Senbur6_20191117_11_00</v>
      </c>
      <c r="I1226" s="70">
        <f t="shared" si="618"/>
        <v>1</v>
      </c>
      <c r="J1226" s="77" t="str">
        <f t="shared" si="618"/>
        <v>Senecio</v>
      </c>
      <c r="K1226" s="77" t="str">
        <f t="shared" si="618"/>
        <v>burtoni</v>
      </c>
      <c r="L1226" s="78">
        <f t="shared" si="618"/>
        <v>6</v>
      </c>
      <c r="M1226" s="78">
        <f t="shared" si="618"/>
        <v>12</v>
      </c>
      <c r="N1226" s="72">
        <f t="shared" si="618"/>
        <v>0</v>
      </c>
      <c r="O1226" s="45"/>
      <c r="P1226" s="46" t="str">
        <f t="shared" si="596"/>
        <v/>
      </c>
      <c r="Q1226" s="47" t="str">
        <f t="shared" si="597"/>
        <v/>
      </c>
      <c r="R1226" s="48" t="e">
        <f t="shared" si="598"/>
        <v>#VALUE!</v>
      </c>
      <c r="S1226" s="49" t="e">
        <f t="shared" si="591"/>
        <v>#VALUE!</v>
      </c>
      <c r="T1226" s="48" t="str">
        <f t="shared" si="599"/>
        <v/>
      </c>
      <c r="U1226" s="50"/>
      <c r="V1226" s="51"/>
      <c r="W1226" s="52" t="e">
        <f t="shared" si="600"/>
        <v>#VALUE!</v>
      </c>
      <c r="X1226" s="53"/>
      <c r="Y1226" s="53"/>
      <c r="Z1226" s="53"/>
      <c r="AA1226" s="48" t="e">
        <f>INDEX([1]!VISITORS[INSECT ORDER], MATCH(X1226,[1]!VISITORS[NAME USED],0))</f>
        <v>#REF!</v>
      </c>
      <c r="AB1226" s="48" t="e">
        <f t="shared" si="601"/>
        <v>#REF!</v>
      </c>
      <c r="AC1226" s="54" t="e">
        <f t="shared" si="602"/>
        <v>#VALUE!</v>
      </c>
      <c r="AD1226" s="55" t="str">
        <f t="shared" si="603"/>
        <v/>
      </c>
      <c r="AE1226" s="55"/>
      <c r="AF1226" s="55"/>
      <c r="AG1226" s="56" t="str">
        <f t="shared" si="604"/>
        <v/>
      </c>
      <c r="AH1226" s="57" t="str">
        <f t="shared" si="605"/>
        <v/>
      </c>
      <c r="AI1226" s="56"/>
      <c r="AJ1226" s="57" t="str">
        <f t="shared" si="606"/>
        <v/>
      </c>
      <c r="AK1226" s="56"/>
      <c r="AL1226" s="57" t="str">
        <f t="shared" si="607"/>
        <v/>
      </c>
      <c r="AM1226" s="56"/>
      <c r="AN1226" s="57" t="str">
        <f t="shared" si="608"/>
        <v/>
      </c>
      <c r="AO1226" s="56"/>
      <c r="AP1226" s="57" t="str">
        <f t="shared" si="609"/>
        <v/>
      </c>
      <c r="AQ1226" s="56"/>
      <c r="AR1226" s="57" t="str">
        <f t="shared" si="610"/>
        <v/>
      </c>
      <c r="AS1226" s="56"/>
      <c r="AT1226" s="57" t="str">
        <f t="shared" si="611"/>
        <v/>
      </c>
      <c r="AU1226" s="58"/>
      <c r="AV1226" s="59"/>
      <c r="AW1226" s="59"/>
      <c r="AX1226" s="60"/>
      <c r="AY1226" s="61" t="str">
        <f t="shared" si="612"/>
        <v/>
      </c>
      <c r="AZ1226" s="62" t="str">
        <f t="shared" si="613"/>
        <v/>
      </c>
      <c r="BA1226" s="61" t="str">
        <f t="shared" si="614"/>
        <v/>
      </c>
      <c r="BB1226" s="62" t="str">
        <f t="shared" si="615"/>
        <v/>
      </c>
    </row>
    <row r="1227" spans="1:54" s="3" customFormat="1" hidden="1" x14ac:dyDescent="0.35">
      <c r="A1227" s="73">
        <f t="shared" si="592"/>
        <v>2019</v>
      </c>
      <c r="B1227" s="73" t="str">
        <f t="shared" si="593"/>
        <v>Nov</v>
      </c>
      <c r="C1227" s="74">
        <f t="shared" si="616"/>
        <v>17</v>
      </c>
      <c r="D1227" s="75">
        <f t="shared" si="594"/>
        <v>11</v>
      </c>
      <c r="E1227" s="76">
        <f t="shared" si="595"/>
        <v>37</v>
      </c>
      <c r="F1227" s="80">
        <v>26</v>
      </c>
      <c r="G1227" s="83"/>
      <c r="H1227" s="69" t="str">
        <f t="shared" si="617"/>
        <v>Senbur6_20191117_11_00</v>
      </c>
      <c r="I1227" s="70">
        <f t="shared" si="618"/>
        <v>1</v>
      </c>
      <c r="J1227" s="77" t="str">
        <f t="shared" si="618"/>
        <v>Senecio</v>
      </c>
      <c r="K1227" s="77" t="str">
        <f t="shared" si="618"/>
        <v>burtoni</v>
      </c>
      <c r="L1227" s="78">
        <f t="shared" si="618"/>
        <v>6</v>
      </c>
      <c r="M1227" s="78">
        <f t="shared" si="618"/>
        <v>12</v>
      </c>
      <c r="N1227" s="72">
        <f t="shared" si="618"/>
        <v>0</v>
      </c>
      <c r="O1227" s="45"/>
      <c r="P1227" s="46">
        <f t="shared" si="596"/>
        <v>1</v>
      </c>
      <c r="Q1227" s="47" t="str">
        <f t="shared" si="597"/>
        <v>11:37:26</v>
      </c>
      <c r="R1227" s="48" t="str">
        <f t="shared" si="598"/>
        <v>37:26</v>
      </c>
      <c r="S1227" s="49">
        <f t="shared" si="591"/>
        <v>151</v>
      </c>
      <c r="T1227" s="48" t="str">
        <f t="shared" si="599"/>
        <v>11</v>
      </c>
      <c r="U1227" s="50">
        <v>39</v>
      </c>
      <c r="V1227" s="51">
        <v>57</v>
      </c>
      <c r="W1227" s="52" t="str">
        <f t="shared" si="600"/>
        <v>39:57</v>
      </c>
      <c r="X1227" s="53" t="s">
        <v>61</v>
      </c>
      <c r="Y1227" s="97" t="s">
        <v>84</v>
      </c>
      <c r="Z1227" s="97" t="s">
        <v>80</v>
      </c>
      <c r="AA1227" s="48" t="s">
        <v>60</v>
      </c>
      <c r="AB1227" s="48" t="str">
        <f t="shared" si="601"/>
        <v>NA</v>
      </c>
      <c r="AC1227" s="54">
        <f t="shared" si="602"/>
        <v>0</v>
      </c>
      <c r="AD1227" s="55">
        <f t="shared" si="603"/>
        <v>1</v>
      </c>
      <c r="AE1227" s="55"/>
      <c r="AF1227" s="55"/>
      <c r="AG1227" s="56">
        <v>1</v>
      </c>
      <c r="AH1227" s="57">
        <v>7</v>
      </c>
      <c r="AI1227" s="56">
        <v>1</v>
      </c>
      <c r="AJ1227" s="57">
        <v>2</v>
      </c>
      <c r="AK1227" s="56">
        <v>1</v>
      </c>
      <c r="AL1227" s="57">
        <v>142</v>
      </c>
      <c r="AM1227" s="56"/>
      <c r="AN1227" s="57" t="str">
        <f t="shared" si="608"/>
        <v/>
      </c>
      <c r="AO1227" s="56"/>
      <c r="AP1227" s="57" t="str">
        <f t="shared" si="609"/>
        <v/>
      </c>
      <c r="AQ1227" s="56"/>
      <c r="AR1227" s="57" t="str">
        <f t="shared" si="610"/>
        <v/>
      </c>
      <c r="AS1227" s="56"/>
      <c r="AT1227" s="57" t="str">
        <f t="shared" si="611"/>
        <v/>
      </c>
      <c r="AU1227" s="58"/>
      <c r="AV1227" s="59"/>
      <c r="AW1227" s="59"/>
      <c r="AX1227" s="60"/>
      <c r="AY1227" s="61">
        <v>1</v>
      </c>
      <c r="AZ1227" s="62">
        <f t="shared" si="613"/>
        <v>1</v>
      </c>
      <c r="BA1227" s="61">
        <f t="shared" si="614"/>
        <v>0</v>
      </c>
      <c r="BB1227" s="62" t="str">
        <f t="shared" si="615"/>
        <v/>
      </c>
    </row>
    <row r="1228" spans="1:54" s="3" customFormat="1" hidden="1" x14ac:dyDescent="0.35">
      <c r="A1228" s="73">
        <f t="shared" si="592"/>
        <v>2019</v>
      </c>
      <c r="B1228" s="73" t="str">
        <f t="shared" si="593"/>
        <v>Nov</v>
      </c>
      <c r="C1228" s="74">
        <f t="shared" si="616"/>
        <v>17</v>
      </c>
      <c r="D1228" s="75">
        <f t="shared" si="594"/>
        <v>11</v>
      </c>
      <c r="E1228" s="76">
        <f t="shared" si="595"/>
        <v>38</v>
      </c>
      <c r="F1228" s="80">
        <v>26</v>
      </c>
      <c r="G1228" s="83"/>
      <c r="H1228" s="69" t="str">
        <f t="shared" si="617"/>
        <v>Senbur6_20191117_11_00</v>
      </c>
      <c r="I1228" s="70">
        <f t="shared" si="618"/>
        <v>1</v>
      </c>
      <c r="J1228" s="77" t="str">
        <f t="shared" si="618"/>
        <v>Senecio</v>
      </c>
      <c r="K1228" s="77" t="str">
        <f t="shared" si="618"/>
        <v>burtoni</v>
      </c>
      <c r="L1228" s="78">
        <f t="shared" si="618"/>
        <v>6</v>
      </c>
      <c r="M1228" s="78">
        <f t="shared" si="618"/>
        <v>12</v>
      </c>
      <c r="N1228" s="72">
        <f t="shared" si="618"/>
        <v>0</v>
      </c>
      <c r="O1228" s="45"/>
      <c r="P1228" s="46">
        <f t="shared" si="596"/>
        <v>1</v>
      </c>
      <c r="Q1228" s="47" t="str">
        <f t="shared" si="597"/>
        <v>11:38:26</v>
      </c>
      <c r="R1228" s="48" t="str">
        <f t="shared" si="598"/>
        <v>38:26</v>
      </c>
      <c r="S1228" s="49">
        <f t="shared" si="591"/>
        <v>11</v>
      </c>
      <c r="T1228" s="48" t="str">
        <f t="shared" si="599"/>
        <v>11</v>
      </c>
      <c r="U1228" s="50">
        <v>38</v>
      </c>
      <c r="V1228" s="51">
        <v>37</v>
      </c>
      <c r="W1228" s="52" t="str">
        <f t="shared" si="600"/>
        <v>38:37</v>
      </c>
      <c r="X1228" s="53" t="s">
        <v>59</v>
      </c>
      <c r="Y1228" s="97" t="s">
        <v>78</v>
      </c>
      <c r="Z1228" s="97"/>
      <c r="AA1228" s="48" t="s">
        <v>60</v>
      </c>
      <c r="AB1228" s="48" t="str">
        <f t="shared" si="601"/>
        <v>NA</v>
      </c>
      <c r="AC1228" s="54">
        <f t="shared" si="602"/>
        <v>0</v>
      </c>
      <c r="AD1228" s="55">
        <f t="shared" si="603"/>
        <v>1</v>
      </c>
      <c r="AE1228" s="55"/>
      <c r="AF1228" s="55"/>
      <c r="AG1228" s="56">
        <v>1</v>
      </c>
      <c r="AH1228" s="57">
        <f t="shared" si="605"/>
        <v>11</v>
      </c>
      <c r="AI1228" s="56"/>
      <c r="AJ1228" s="57" t="str">
        <f t="shared" si="606"/>
        <v/>
      </c>
      <c r="AK1228" s="56"/>
      <c r="AL1228" s="57" t="str">
        <f t="shared" si="607"/>
        <v/>
      </c>
      <c r="AM1228" s="56"/>
      <c r="AN1228" s="57" t="str">
        <f t="shared" si="608"/>
        <v/>
      </c>
      <c r="AO1228" s="56"/>
      <c r="AP1228" s="57" t="str">
        <f t="shared" si="609"/>
        <v/>
      </c>
      <c r="AQ1228" s="56"/>
      <c r="AR1228" s="57" t="str">
        <f t="shared" si="610"/>
        <v/>
      </c>
      <c r="AS1228" s="56"/>
      <c r="AT1228" s="57" t="str">
        <f t="shared" si="611"/>
        <v/>
      </c>
      <c r="AU1228" s="58"/>
      <c r="AV1228" s="59"/>
      <c r="AW1228" s="59"/>
      <c r="AX1228" s="60"/>
      <c r="AY1228" s="61">
        <f t="shared" si="612"/>
        <v>0</v>
      </c>
      <c r="AZ1228" s="62" t="str">
        <f t="shared" si="613"/>
        <v/>
      </c>
      <c r="BA1228" s="61">
        <f t="shared" si="614"/>
        <v>0</v>
      </c>
      <c r="BB1228" s="62" t="str">
        <f t="shared" si="615"/>
        <v/>
      </c>
    </row>
    <row r="1229" spans="1:54" s="3" customFormat="1" hidden="1" x14ac:dyDescent="0.35">
      <c r="A1229" s="73">
        <f t="shared" si="592"/>
        <v>2019</v>
      </c>
      <c r="B1229" s="73" t="str">
        <f t="shared" si="593"/>
        <v>Nov</v>
      </c>
      <c r="C1229" s="74">
        <f t="shared" si="616"/>
        <v>17</v>
      </c>
      <c r="D1229" s="75">
        <f t="shared" si="594"/>
        <v>11</v>
      </c>
      <c r="E1229" s="76">
        <f t="shared" si="595"/>
        <v>39</v>
      </c>
      <c r="F1229" s="80"/>
      <c r="G1229" s="83"/>
      <c r="H1229" s="69" t="str">
        <f t="shared" si="617"/>
        <v>Senbur6_20191117_11_00</v>
      </c>
      <c r="I1229" s="70">
        <f t="shared" si="618"/>
        <v>1</v>
      </c>
      <c r="J1229" s="77" t="str">
        <f t="shared" si="618"/>
        <v>Senecio</v>
      </c>
      <c r="K1229" s="77" t="str">
        <f t="shared" si="618"/>
        <v>burtoni</v>
      </c>
      <c r="L1229" s="78">
        <f t="shared" si="618"/>
        <v>6</v>
      </c>
      <c r="M1229" s="78">
        <f t="shared" si="618"/>
        <v>12</v>
      </c>
      <c r="N1229" s="72">
        <f t="shared" si="618"/>
        <v>0</v>
      </c>
      <c r="O1229" s="45"/>
      <c r="P1229" s="46" t="str">
        <f t="shared" si="596"/>
        <v/>
      </c>
      <c r="Q1229" s="47" t="str">
        <f t="shared" si="597"/>
        <v/>
      </c>
      <c r="R1229" s="48" t="e">
        <f t="shared" si="598"/>
        <v>#VALUE!</v>
      </c>
      <c r="S1229" s="49" t="e">
        <f t="shared" si="591"/>
        <v>#VALUE!</v>
      </c>
      <c r="T1229" s="48" t="str">
        <f t="shared" si="599"/>
        <v/>
      </c>
      <c r="U1229" s="50"/>
      <c r="V1229" s="51"/>
      <c r="W1229" s="52" t="e">
        <f t="shared" si="600"/>
        <v>#VALUE!</v>
      </c>
      <c r="X1229" s="53"/>
      <c r="Y1229" s="53"/>
      <c r="Z1229" s="53"/>
      <c r="AA1229" s="48" t="e">
        <f>INDEX([1]!VISITORS[INSECT ORDER], MATCH(X1229,[1]!VISITORS[NAME USED],0))</f>
        <v>#REF!</v>
      </c>
      <c r="AB1229" s="48" t="e">
        <f t="shared" si="601"/>
        <v>#REF!</v>
      </c>
      <c r="AC1229" s="54" t="e">
        <f t="shared" si="602"/>
        <v>#VALUE!</v>
      </c>
      <c r="AD1229" s="55" t="str">
        <f t="shared" si="603"/>
        <v/>
      </c>
      <c r="AE1229" s="55"/>
      <c r="AF1229" s="55"/>
      <c r="AG1229" s="56" t="str">
        <f t="shared" si="604"/>
        <v/>
      </c>
      <c r="AH1229" s="57" t="str">
        <f t="shared" si="605"/>
        <v/>
      </c>
      <c r="AI1229" s="56"/>
      <c r="AJ1229" s="57" t="str">
        <f t="shared" si="606"/>
        <v/>
      </c>
      <c r="AK1229" s="56"/>
      <c r="AL1229" s="57" t="str">
        <f t="shared" si="607"/>
        <v/>
      </c>
      <c r="AM1229" s="56"/>
      <c r="AN1229" s="57" t="str">
        <f t="shared" si="608"/>
        <v/>
      </c>
      <c r="AO1229" s="56"/>
      <c r="AP1229" s="57" t="str">
        <f t="shared" si="609"/>
        <v/>
      </c>
      <c r="AQ1229" s="56"/>
      <c r="AR1229" s="57" t="str">
        <f t="shared" si="610"/>
        <v/>
      </c>
      <c r="AS1229" s="56"/>
      <c r="AT1229" s="57" t="str">
        <f t="shared" si="611"/>
        <v/>
      </c>
      <c r="AU1229" s="58"/>
      <c r="AV1229" s="59"/>
      <c r="AW1229" s="59"/>
      <c r="AX1229" s="60"/>
      <c r="AY1229" s="61" t="str">
        <f t="shared" si="612"/>
        <v/>
      </c>
      <c r="AZ1229" s="62" t="str">
        <f t="shared" si="613"/>
        <v/>
      </c>
      <c r="BA1229" s="61" t="str">
        <f t="shared" si="614"/>
        <v/>
      </c>
      <c r="BB1229" s="62" t="str">
        <f t="shared" si="615"/>
        <v/>
      </c>
    </row>
    <row r="1230" spans="1:54" s="3" customFormat="1" hidden="1" x14ac:dyDescent="0.35">
      <c r="A1230" s="73">
        <f t="shared" si="592"/>
        <v>2019</v>
      </c>
      <c r="B1230" s="73" t="str">
        <f t="shared" si="593"/>
        <v>Nov</v>
      </c>
      <c r="C1230" s="74">
        <f t="shared" si="616"/>
        <v>17</v>
      </c>
      <c r="D1230" s="75">
        <f t="shared" si="594"/>
        <v>11</v>
      </c>
      <c r="E1230" s="76">
        <f t="shared" si="595"/>
        <v>40</v>
      </c>
      <c r="F1230" s="80">
        <v>49</v>
      </c>
      <c r="G1230" s="83"/>
      <c r="H1230" s="69" t="str">
        <f t="shared" si="617"/>
        <v>Senbur6_20191117_11_00</v>
      </c>
      <c r="I1230" s="70">
        <f t="shared" si="618"/>
        <v>1</v>
      </c>
      <c r="J1230" s="77" t="str">
        <f t="shared" si="618"/>
        <v>Senecio</v>
      </c>
      <c r="K1230" s="77" t="str">
        <f t="shared" si="618"/>
        <v>burtoni</v>
      </c>
      <c r="L1230" s="78">
        <f t="shared" si="618"/>
        <v>6</v>
      </c>
      <c r="M1230" s="78">
        <f t="shared" si="618"/>
        <v>12</v>
      </c>
      <c r="N1230" s="72">
        <f t="shared" si="618"/>
        <v>0</v>
      </c>
      <c r="O1230" s="45"/>
      <c r="P1230" s="46">
        <f t="shared" si="596"/>
        <v>1</v>
      </c>
      <c r="Q1230" s="47" t="str">
        <f t="shared" si="597"/>
        <v>11:40:49</v>
      </c>
      <c r="R1230" s="48" t="str">
        <f t="shared" si="598"/>
        <v>40:49</v>
      </c>
      <c r="S1230" s="49">
        <f t="shared" si="591"/>
        <v>116</v>
      </c>
      <c r="T1230" s="48" t="str">
        <f t="shared" si="599"/>
        <v>11</v>
      </c>
      <c r="U1230" s="50">
        <v>42</v>
      </c>
      <c r="V1230" s="51">
        <v>45</v>
      </c>
      <c r="W1230" s="52" t="str">
        <f t="shared" si="600"/>
        <v>42:45</v>
      </c>
      <c r="X1230" s="53" t="s">
        <v>71</v>
      </c>
      <c r="Y1230" s="97" t="s">
        <v>89</v>
      </c>
      <c r="Z1230" s="97" t="s">
        <v>80</v>
      </c>
      <c r="AA1230" s="48" t="s">
        <v>63</v>
      </c>
      <c r="AB1230" s="48" t="str">
        <f t="shared" si="601"/>
        <v>NA</v>
      </c>
      <c r="AC1230" s="54">
        <f t="shared" si="602"/>
        <v>0</v>
      </c>
      <c r="AD1230" s="55">
        <v>5</v>
      </c>
      <c r="AE1230" s="55"/>
      <c r="AF1230" s="55"/>
      <c r="AG1230" s="56">
        <v>1</v>
      </c>
      <c r="AH1230" s="57">
        <v>8</v>
      </c>
      <c r="AI1230" s="56">
        <v>1</v>
      </c>
      <c r="AJ1230" s="57">
        <v>1</v>
      </c>
      <c r="AK1230" s="56">
        <v>1</v>
      </c>
      <c r="AL1230" s="57">
        <v>107</v>
      </c>
      <c r="AM1230" s="56"/>
      <c r="AN1230" s="57" t="str">
        <f t="shared" si="608"/>
        <v/>
      </c>
      <c r="AO1230" s="56"/>
      <c r="AP1230" s="57" t="str">
        <f t="shared" si="609"/>
        <v/>
      </c>
      <c r="AQ1230" s="56"/>
      <c r="AR1230" s="57" t="str">
        <f t="shared" si="610"/>
        <v/>
      </c>
      <c r="AS1230" s="56"/>
      <c r="AT1230" s="57" t="str">
        <f t="shared" si="611"/>
        <v/>
      </c>
      <c r="AU1230" s="58"/>
      <c r="AV1230" s="59"/>
      <c r="AW1230" s="59"/>
      <c r="AX1230" s="60"/>
      <c r="AY1230" s="61">
        <v>1</v>
      </c>
      <c r="AZ1230" s="62">
        <f t="shared" si="613"/>
        <v>5</v>
      </c>
      <c r="BA1230" s="61">
        <f t="shared" si="614"/>
        <v>0</v>
      </c>
      <c r="BB1230" s="62" t="str">
        <f t="shared" si="615"/>
        <v/>
      </c>
    </row>
    <row r="1231" spans="1:54" s="3" customFormat="1" hidden="1" x14ac:dyDescent="0.35">
      <c r="A1231" s="73">
        <f t="shared" si="592"/>
        <v>2019</v>
      </c>
      <c r="B1231" s="73" t="str">
        <f t="shared" si="593"/>
        <v>Nov</v>
      </c>
      <c r="C1231" s="74">
        <f t="shared" si="616"/>
        <v>17</v>
      </c>
      <c r="D1231" s="75">
        <f t="shared" si="594"/>
        <v>11</v>
      </c>
      <c r="E1231" s="76">
        <f t="shared" si="595"/>
        <v>41</v>
      </c>
      <c r="F1231" s="80"/>
      <c r="G1231" s="83"/>
      <c r="H1231" s="69" t="str">
        <f t="shared" si="617"/>
        <v>Senbur6_20191117_11_00</v>
      </c>
      <c r="I1231" s="70">
        <f t="shared" si="618"/>
        <v>1</v>
      </c>
      <c r="J1231" s="77" t="str">
        <f t="shared" si="618"/>
        <v>Senecio</v>
      </c>
      <c r="K1231" s="77" t="str">
        <f t="shared" si="618"/>
        <v>burtoni</v>
      </c>
      <c r="L1231" s="78">
        <f t="shared" si="618"/>
        <v>6</v>
      </c>
      <c r="M1231" s="78">
        <f t="shared" si="618"/>
        <v>12</v>
      </c>
      <c r="N1231" s="72">
        <f t="shared" si="618"/>
        <v>0</v>
      </c>
      <c r="O1231" s="45"/>
      <c r="P1231" s="46" t="str">
        <f t="shared" si="596"/>
        <v/>
      </c>
      <c r="Q1231" s="47" t="str">
        <f t="shared" si="597"/>
        <v/>
      </c>
      <c r="R1231" s="48" t="e">
        <f t="shared" si="598"/>
        <v>#VALUE!</v>
      </c>
      <c r="S1231" s="49" t="e">
        <f t="shared" si="591"/>
        <v>#VALUE!</v>
      </c>
      <c r="T1231" s="48" t="str">
        <f t="shared" si="599"/>
        <v/>
      </c>
      <c r="U1231" s="50"/>
      <c r="V1231" s="51"/>
      <c r="W1231" s="52" t="e">
        <f t="shared" si="600"/>
        <v>#VALUE!</v>
      </c>
      <c r="X1231" s="53"/>
      <c r="Y1231" s="53"/>
      <c r="Z1231" s="53"/>
      <c r="AA1231" s="48" t="e">
        <f>INDEX([1]!VISITORS[INSECT ORDER], MATCH(X1231,[1]!VISITORS[NAME USED],0))</f>
        <v>#REF!</v>
      </c>
      <c r="AB1231" s="48" t="e">
        <f t="shared" si="601"/>
        <v>#REF!</v>
      </c>
      <c r="AC1231" s="54" t="e">
        <f t="shared" si="602"/>
        <v>#VALUE!</v>
      </c>
      <c r="AD1231" s="55" t="str">
        <f t="shared" si="603"/>
        <v/>
      </c>
      <c r="AE1231" s="55"/>
      <c r="AF1231" s="55"/>
      <c r="AG1231" s="56" t="str">
        <f t="shared" si="604"/>
        <v/>
      </c>
      <c r="AH1231" s="57" t="str">
        <f t="shared" si="605"/>
        <v/>
      </c>
      <c r="AI1231" s="56"/>
      <c r="AJ1231" s="57" t="str">
        <f t="shared" si="606"/>
        <v/>
      </c>
      <c r="AK1231" s="56"/>
      <c r="AL1231" s="57" t="str">
        <f t="shared" si="607"/>
        <v/>
      </c>
      <c r="AM1231" s="56"/>
      <c r="AN1231" s="57" t="str">
        <f t="shared" si="608"/>
        <v/>
      </c>
      <c r="AO1231" s="56"/>
      <c r="AP1231" s="57" t="str">
        <f t="shared" si="609"/>
        <v/>
      </c>
      <c r="AQ1231" s="56"/>
      <c r="AR1231" s="57" t="str">
        <f t="shared" si="610"/>
        <v/>
      </c>
      <c r="AS1231" s="56"/>
      <c r="AT1231" s="57" t="str">
        <f t="shared" si="611"/>
        <v/>
      </c>
      <c r="AU1231" s="58"/>
      <c r="AV1231" s="59"/>
      <c r="AW1231" s="59"/>
      <c r="AX1231" s="60"/>
      <c r="AY1231" s="61" t="str">
        <f t="shared" si="612"/>
        <v/>
      </c>
      <c r="AZ1231" s="62" t="str">
        <f t="shared" si="613"/>
        <v/>
      </c>
      <c r="BA1231" s="61" t="str">
        <f t="shared" si="614"/>
        <v/>
      </c>
      <c r="BB1231" s="62" t="str">
        <f t="shared" si="615"/>
        <v/>
      </c>
    </row>
    <row r="1232" spans="1:54" s="3" customFormat="1" hidden="1" x14ac:dyDescent="0.35">
      <c r="A1232" s="73">
        <f t="shared" si="592"/>
        <v>2019</v>
      </c>
      <c r="B1232" s="73" t="str">
        <f t="shared" si="593"/>
        <v>Nov</v>
      </c>
      <c r="C1232" s="74">
        <f t="shared" si="616"/>
        <v>17</v>
      </c>
      <c r="D1232" s="75">
        <f t="shared" si="594"/>
        <v>11</v>
      </c>
      <c r="E1232" s="76">
        <f t="shared" si="595"/>
        <v>42</v>
      </c>
      <c r="F1232" s="80">
        <v>41</v>
      </c>
      <c r="G1232" s="83"/>
      <c r="H1232" s="69" t="str">
        <f t="shared" si="617"/>
        <v>Senbur6_20191117_11_00</v>
      </c>
      <c r="I1232" s="70">
        <f t="shared" si="618"/>
        <v>1</v>
      </c>
      <c r="J1232" s="77" t="str">
        <f t="shared" si="618"/>
        <v>Senecio</v>
      </c>
      <c r="K1232" s="77" t="str">
        <f t="shared" si="618"/>
        <v>burtoni</v>
      </c>
      <c r="L1232" s="78">
        <f t="shared" si="618"/>
        <v>6</v>
      </c>
      <c r="M1232" s="78">
        <f t="shared" si="618"/>
        <v>12</v>
      </c>
      <c r="N1232" s="72">
        <f t="shared" si="618"/>
        <v>0</v>
      </c>
      <c r="O1232" s="45"/>
      <c r="P1232" s="46">
        <f t="shared" si="596"/>
        <v>1</v>
      </c>
      <c r="Q1232" s="47" t="str">
        <f t="shared" si="597"/>
        <v>11:42:41</v>
      </c>
      <c r="R1232" s="48" t="str">
        <f t="shared" si="598"/>
        <v>42:41</v>
      </c>
      <c r="S1232" s="49">
        <f t="shared" si="591"/>
        <v>73</v>
      </c>
      <c r="T1232" s="48" t="str">
        <f t="shared" si="599"/>
        <v>11</v>
      </c>
      <c r="U1232" s="50">
        <v>43</v>
      </c>
      <c r="V1232" s="51">
        <v>54</v>
      </c>
      <c r="W1232" s="52" t="str">
        <f t="shared" si="600"/>
        <v>43:54</v>
      </c>
      <c r="X1232" s="53" t="s">
        <v>61</v>
      </c>
      <c r="Y1232" s="97" t="s">
        <v>84</v>
      </c>
      <c r="Z1232" s="97" t="s">
        <v>80</v>
      </c>
      <c r="AA1232" s="48" t="s">
        <v>60</v>
      </c>
      <c r="AB1232" s="48" t="str">
        <f t="shared" si="601"/>
        <v>NA</v>
      </c>
      <c r="AC1232" s="54">
        <f t="shared" si="602"/>
        <v>0</v>
      </c>
      <c r="AD1232" s="55">
        <f t="shared" si="603"/>
        <v>1</v>
      </c>
      <c r="AE1232" s="55"/>
      <c r="AF1232" s="55"/>
      <c r="AG1232" s="56">
        <v>1</v>
      </c>
      <c r="AH1232" s="57">
        <v>3</v>
      </c>
      <c r="AI1232" s="56"/>
      <c r="AJ1232" s="57" t="str">
        <f t="shared" si="606"/>
        <v/>
      </c>
      <c r="AK1232" s="56">
        <v>1</v>
      </c>
      <c r="AL1232" s="57">
        <v>70</v>
      </c>
      <c r="AM1232" s="56"/>
      <c r="AN1232" s="57" t="str">
        <f t="shared" si="608"/>
        <v/>
      </c>
      <c r="AO1232" s="56"/>
      <c r="AP1232" s="57" t="str">
        <f t="shared" si="609"/>
        <v/>
      </c>
      <c r="AQ1232" s="56"/>
      <c r="AR1232" s="57" t="str">
        <f t="shared" si="610"/>
        <v/>
      </c>
      <c r="AS1232" s="56"/>
      <c r="AT1232" s="57" t="str">
        <f t="shared" si="611"/>
        <v/>
      </c>
      <c r="AU1232" s="58"/>
      <c r="AV1232" s="59"/>
      <c r="AW1232" s="59"/>
      <c r="AX1232" s="60"/>
      <c r="AY1232" s="61">
        <v>1</v>
      </c>
      <c r="AZ1232" s="62">
        <f t="shared" si="613"/>
        <v>1</v>
      </c>
      <c r="BA1232" s="61">
        <f t="shared" si="614"/>
        <v>0</v>
      </c>
      <c r="BB1232" s="62" t="str">
        <f t="shared" si="615"/>
        <v/>
      </c>
    </row>
    <row r="1233" spans="1:54" s="3" customFormat="1" hidden="1" x14ac:dyDescent="0.35">
      <c r="A1233" s="73">
        <f t="shared" si="592"/>
        <v>2019</v>
      </c>
      <c r="B1233" s="73" t="str">
        <f t="shared" si="593"/>
        <v>Nov</v>
      </c>
      <c r="C1233" s="74">
        <f t="shared" si="616"/>
        <v>17</v>
      </c>
      <c r="D1233" s="75">
        <f t="shared" si="594"/>
        <v>11</v>
      </c>
      <c r="E1233" s="76">
        <f t="shared" si="595"/>
        <v>43</v>
      </c>
      <c r="F1233" s="80">
        <v>16</v>
      </c>
      <c r="G1233" s="83"/>
      <c r="H1233" s="69" t="str">
        <f t="shared" si="617"/>
        <v>Senbur6_20191117_11_00</v>
      </c>
      <c r="I1233" s="70">
        <f t="shared" si="618"/>
        <v>1</v>
      </c>
      <c r="J1233" s="77" t="str">
        <f t="shared" si="618"/>
        <v>Senecio</v>
      </c>
      <c r="K1233" s="77" t="str">
        <f t="shared" si="618"/>
        <v>burtoni</v>
      </c>
      <c r="L1233" s="78">
        <f t="shared" si="618"/>
        <v>6</v>
      </c>
      <c r="M1233" s="78">
        <f t="shared" si="618"/>
        <v>12</v>
      </c>
      <c r="N1233" s="72">
        <f t="shared" si="618"/>
        <v>0</v>
      </c>
      <c r="O1233" s="45"/>
      <c r="P1233" s="46">
        <f t="shared" si="596"/>
        <v>1</v>
      </c>
      <c r="Q1233" s="47" t="str">
        <f t="shared" si="597"/>
        <v>11:43:16</v>
      </c>
      <c r="R1233" s="48" t="str">
        <f t="shared" si="598"/>
        <v>43:16</v>
      </c>
      <c r="S1233" s="49">
        <f t="shared" si="591"/>
        <v>4</v>
      </c>
      <c r="T1233" s="48" t="str">
        <f t="shared" si="599"/>
        <v>11</v>
      </c>
      <c r="U1233" s="50">
        <v>43</v>
      </c>
      <c r="V1233" s="51">
        <v>20</v>
      </c>
      <c r="W1233" s="52" t="str">
        <f t="shared" si="600"/>
        <v>43:20</v>
      </c>
      <c r="X1233" s="53" t="s">
        <v>62</v>
      </c>
      <c r="Y1233" s="97" t="s">
        <v>81</v>
      </c>
      <c r="Z1233" s="97"/>
      <c r="AA1233" s="48" t="s">
        <v>63</v>
      </c>
      <c r="AB1233" s="48" t="str">
        <f t="shared" si="601"/>
        <v>NA</v>
      </c>
      <c r="AC1233" s="54">
        <f t="shared" si="602"/>
        <v>0</v>
      </c>
      <c r="AD1233" s="55">
        <f t="shared" si="603"/>
        <v>1</v>
      </c>
      <c r="AE1233" s="55"/>
      <c r="AF1233" s="55"/>
      <c r="AG1233" s="56">
        <v>1</v>
      </c>
      <c r="AH1233" s="57">
        <f t="shared" si="605"/>
        <v>4</v>
      </c>
      <c r="AI1233" s="56"/>
      <c r="AJ1233" s="57" t="str">
        <f t="shared" si="606"/>
        <v/>
      </c>
      <c r="AK1233" s="56"/>
      <c r="AL1233" s="57" t="str">
        <f t="shared" si="607"/>
        <v/>
      </c>
      <c r="AM1233" s="56"/>
      <c r="AN1233" s="57" t="str">
        <f t="shared" si="608"/>
        <v/>
      </c>
      <c r="AO1233" s="56"/>
      <c r="AP1233" s="57" t="str">
        <f t="shared" si="609"/>
        <v/>
      </c>
      <c r="AQ1233" s="56"/>
      <c r="AR1233" s="57" t="str">
        <f t="shared" si="610"/>
        <v/>
      </c>
      <c r="AS1233" s="56"/>
      <c r="AT1233" s="57" t="str">
        <f t="shared" si="611"/>
        <v/>
      </c>
      <c r="AU1233" s="58"/>
      <c r="AV1233" s="59"/>
      <c r="AW1233" s="59"/>
      <c r="AX1233" s="60"/>
      <c r="AY1233" s="61">
        <v>1</v>
      </c>
      <c r="AZ1233" s="62">
        <f t="shared" si="613"/>
        <v>1</v>
      </c>
      <c r="BA1233" s="61">
        <f t="shared" si="614"/>
        <v>0</v>
      </c>
      <c r="BB1233" s="62" t="str">
        <f t="shared" si="615"/>
        <v/>
      </c>
    </row>
    <row r="1234" spans="1:54" s="3" customFormat="1" hidden="1" x14ac:dyDescent="0.35">
      <c r="A1234" s="73">
        <f t="shared" si="592"/>
        <v>2019</v>
      </c>
      <c r="B1234" s="73" t="str">
        <f t="shared" si="593"/>
        <v>Nov</v>
      </c>
      <c r="C1234" s="74">
        <f t="shared" si="616"/>
        <v>17</v>
      </c>
      <c r="D1234" s="75">
        <f t="shared" si="594"/>
        <v>11</v>
      </c>
      <c r="E1234" s="76">
        <f t="shared" si="595"/>
        <v>44</v>
      </c>
      <c r="F1234" s="80"/>
      <c r="G1234" s="83"/>
      <c r="H1234" s="69" t="str">
        <f t="shared" si="617"/>
        <v>Senbur6_20191117_11_00</v>
      </c>
      <c r="I1234" s="70">
        <f t="shared" si="618"/>
        <v>1</v>
      </c>
      <c r="J1234" s="77" t="str">
        <f t="shared" si="618"/>
        <v>Senecio</v>
      </c>
      <c r="K1234" s="77" t="str">
        <f t="shared" si="618"/>
        <v>burtoni</v>
      </c>
      <c r="L1234" s="78">
        <f t="shared" si="618"/>
        <v>6</v>
      </c>
      <c r="M1234" s="78">
        <f t="shared" si="618"/>
        <v>12</v>
      </c>
      <c r="N1234" s="72">
        <f t="shared" si="618"/>
        <v>0</v>
      </c>
      <c r="O1234" s="45"/>
      <c r="P1234" s="46" t="str">
        <f t="shared" si="596"/>
        <v/>
      </c>
      <c r="Q1234" s="47" t="str">
        <f t="shared" si="597"/>
        <v/>
      </c>
      <c r="R1234" s="48" t="e">
        <f t="shared" si="598"/>
        <v>#VALUE!</v>
      </c>
      <c r="S1234" s="49" t="e">
        <f t="shared" si="591"/>
        <v>#VALUE!</v>
      </c>
      <c r="T1234" s="48" t="str">
        <f t="shared" si="599"/>
        <v/>
      </c>
      <c r="U1234" s="50"/>
      <c r="V1234" s="51"/>
      <c r="W1234" s="52" t="e">
        <f t="shared" si="600"/>
        <v>#VALUE!</v>
      </c>
      <c r="X1234" s="53"/>
      <c r="Y1234" s="53"/>
      <c r="Z1234" s="53"/>
      <c r="AA1234" s="48" t="e">
        <f>INDEX([1]!VISITORS[INSECT ORDER], MATCH(X1234,[1]!VISITORS[NAME USED],0))</f>
        <v>#REF!</v>
      </c>
      <c r="AB1234" s="48" t="e">
        <f t="shared" si="601"/>
        <v>#REF!</v>
      </c>
      <c r="AC1234" s="54" t="e">
        <f t="shared" si="602"/>
        <v>#VALUE!</v>
      </c>
      <c r="AD1234" s="55" t="str">
        <f t="shared" si="603"/>
        <v/>
      </c>
      <c r="AE1234" s="55"/>
      <c r="AF1234" s="55"/>
      <c r="AG1234" s="56" t="str">
        <f t="shared" si="604"/>
        <v/>
      </c>
      <c r="AH1234" s="57" t="str">
        <f t="shared" si="605"/>
        <v/>
      </c>
      <c r="AI1234" s="56"/>
      <c r="AJ1234" s="57" t="str">
        <f t="shared" si="606"/>
        <v/>
      </c>
      <c r="AK1234" s="56"/>
      <c r="AL1234" s="57" t="str">
        <f t="shared" si="607"/>
        <v/>
      </c>
      <c r="AM1234" s="56"/>
      <c r="AN1234" s="57" t="str">
        <f t="shared" si="608"/>
        <v/>
      </c>
      <c r="AO1234" s="56"/>
      <c r="AP1234" s="57" t="str">
        <f t="shared" si="609"/>
        <v/>
      </c>
      <c r="AQ1234" s="56"/>
      <c r="AR1234" s="57" t="str">
        <f t="shared" si="610"/>
        <v/>
      </c>
      <c r="AS1234" s="56"/>
      <c r="AT1234" s="57" t="str">
        <f t="shared" si="611"/>
        <v/>
      </c>
      <c r="AU1234" s="58"/>
      <c r="AV1234" s="59"/>
      <c r="AW1234" s="59"/>
      <c r="AX1234" s="60"/>
      <c r="AY1234" s="61" t="str">
        <f t="shared" si="612"/>
        <v/>
      </c>
      <c r="AZ1234" s="62" t="str">
        <f t="shared" si="613"/>
        <v/>
      </c>
      <c r="BA1234" s="61" t="str">
        <f t="shared" si="614"/>
        <v/>
      </c>
      <c r="BB1234" s="62" t="str">
        <f t="shared" si="615"/>
        <v/>
      </c>
    </row>
    <row r="1235" spans="1:54" s="3" customFormat="1" hidden="1" x14ac:dyDescent="0.35">
      <c r="A1235" s="73">
        <f t="shared" si="592"/>
        <v>2019</v>
      </c>
      <c r="B1235" s="73" t="str">
        <f t="shared" si="593"/>
        <v>Nov</v>
      </c>
      <c r="C1235" s="74">
        <f t="shared" si="616"/>
        <v>17</v>
      </c>
      <c r="D1235" s="75">
        <f t="shared" si="594"/>
        <v>11</v>
      </c>
      <c r="E1235" s="76">
        <f t="shared" si="595"/>
        <v>45</v>
      </c>
      <c r="F1235" s="80">
        <v>11</v>
      </c>
      <c r="G1235" s="83"/>
      <c r="H1235" s="69" t="str">
        <f t="shared" si="617"/>
        <v>Senbur6_20191117_11_00</v>
      </c>
      <c r="I1235" s="70">
        <f t="shared" si="618"/>
        <v>1</v>
      </c>
      <c r="J1235" s="77" t="str">
        <f t="shared" si="618"/>
        <v>Senecio</v>
      </c>
      <c r="K1235" s="77" t="str">
        <f t="shared" si="618"/>
        <v>burtoni</v>
      </c>
      <c r="L1235" s="78">
        <f t="shared" si="618"/>
        <v>6</v>
      </c>
      <c r="M1235" s="78">
        <f t="shared" si="618"/>
        <v>12</v>
      </c>
      <c r="N1235" s="72">
        <f t="shared" si="618"/>
        <v>0</v>
      </c>
      <c r="O1235" s="45"/>
      <c r="P1235" s="46">
        <f t="shared" si="596"/>
        <v>1</v>
      </c>
      <c r="Q1235" s="47" t="str">
        <f t="shared" si="597"/>
        <v>11:45:11</v>
      </c>
      <c r="R1235" s="48" t="str">
        <f t="shared" si="598"/>
        <v>45:11</v>
      </c>
      <c r="S1235" s="49">
        <f t="shared" si="591"/>
        <v>5</v>
      </c>
      <c r="T1235" s="48" t="str">
        <f t="shared" si="599"/>
        <v>11</v>
      </c>
      <c r="U1235" s="50">
        <v>45</v>
      </c>
      <c r="V1235" s="51">
        <v>16</v>
      </c>
      <c r="W1235" s="52" t="str">
        <f t="shared" si="600"/>
        <v>45:16</v>
      </c>
      <c r="X1235" s="53" t="s">
        <v>61</v>
      </c>
      <c r="Y1235" s="97" t="s">
        <v>78</v>
      </c>
      <c r="Z1235" s="97"/>
      <c r="AA1235" s="48" t="s">
        <v>60</v>
      </c>
      <c r="AB1235" s="48" t="str">
        <f t="shared" si="601"/>
        <v>NA</v>
      </c>
      <c r="AC1235" s="54">
        <f t="shared" si="602"/>
        <v>0</v>
      </c>
      <c r="AD1235" s="55">
        <f t="shared" si="603"/>
        <v>1</v>
      </c>
      <c r="AE1235" s="55"/>
      <c r="AF1235" s="55"/>
      <c r="AG1235" s="56">
        <v>1</v>
      </c>
      <c r="AH1235" s="57">
        <f t="shared" si="605"/>
        <v>5</v>
      </c>
      <c r="AI1235" s="56"/>
      <c r="AJ1235" s="57" t="str">
        <f t="shared" si="606"/>
        <v/>
      </c>
      <c r="AK1235" s="56"/>
      <c r="AL1235" s="57" t="str">
        <f t="shared" si="607"/>
        <v/>
      </c>
      <c r="AM1235" s="56"/>
      <c r="AN1235" s="57" t="str">
        <f t="shared" si="608"/>
        <v/>
      </c>
      <c r="AO1235" s="56"/>
      <c r="AP1235" s="57" t="str">
        <f t="shared" si="609"/>
        <v/>
      </c>
      <c r="AQ1235" s="56"/>
      <c r="AR1235" s="57" t="str">
        <f t="shared" si="610"/>
        <v/>
      </c>
      <c r="AS1235" s="56"/>
      <c r="AT1235" s="57" t="str">
        <f t="shared" si="611"/>
        <v/>
      </c>
      <c r="AU1235" s="58"/>
      <c r="AV1235" s="59"/>
      <c r="AW1235" s="59"/>
      <c r="AX1235" s="60"/>
      <c r="AY1235" s="61">
        <f t="shared" si="612"/>
        <v>0</v>
      </c>
      <c r="AZ1235" s="62" t="str">
        <f t="shared" si="613"/>
        <v/>
      </c>
      <c r="BA1235" s="61">
        <f t="shared" si="614"/>
        <v>0</v>
      </c>
      <c r="BB1235" s="62" t="str">
        <f t="shared" si="615"/>
        <v/>
      </c>
    </row>
    <row r="1236" spans="1:54" s="3" customFormat="1" hidden="1" x14ac:dyDescent="0.35">
      <c r="A1236" s="73">
        <f t="shared" si="592"/>
        <v>2019</v>
      </c>
      <c r="B1236" s="73" t="str">
        <f t="shared" si="593"/>
        <v>Nov</v>
      </c>
      <c r="C1236" s="74">
        <f t="shared" si="616"/>
        <v>17</v>
      </c>
      <c r="D1236" s="75">
        <f t="shared" si="594"/>
        <v>11</v>
      </c>
      <c r="E1236" s="76">
        <v>45</v>
      </c>
      <c r="F1236" s="80">
        <v>16</v>
      </c>
      <c r="G1236" s="83"/>
      <c r="H1236" s="69" t="str">
        <f t="shared" si="617"/>
        <v>Senbur6_20191117_11_00</v>
      </c>
      <c r="I1236" s="70">
        <f t="shared" si="618"/>
        <v>1</v>
      </c>
      <c r="J1236" s="77" t="str">
        <f t="shared" si="618"/>
        <v>Senecio</v>
      </c>
      <c r="K1236" s="77" t="str">
        <f t="shared" si="618"/>
        <v>burtoni</v>
      </c>
      <c r="L1236" s="78">
        <f t="shared" si="618"/>
        <v>6</v>
      </c>
      <c r="M1236" s="78">
        <f t="shared" si="618"/>
        <v>12</v>
      </c>
      <c r="N1236" s="72">
        <f t="shared" si="618"/>
        <v>0</v>
      </c>
      <c r="O1236" s="45"/>
      <c r="P1236" s="46">
        <f t="shared" si="596"/>
        <v>1</v>
      </c>
      <c r="Q1236" s="47" t="str">
        <f t="shared" si="597"/>
        <v>11:45:16</v>
      </c>
      <c r="R1236" s="48" t="str">
        <f t="shared" si="598"/>
        <v>45:16</v>
      </c>
      <c r="S1236" s="49">
        <f t="shared" si="591"/>
        <v>43</v>
      </c>
      <c r="T1236" s="48" t="str">
        <f t="shared" si="599"/>
        <v>11</v>
      </c>
      <c r="U1236" s="50">
        <v>45</v>
      </c>
      <c r="V1236" s="51">
        <v>59</v>
      </c>
      <c r="W1236" s="52" t="str">
        <f t="shared" si="600"/>
        <v>45:59</v>
      </c>
      <c r="X1236" s="53" t="s">
        <v>73</v>
      </c>
      <c r="Y1236" s="97" t="s">
        <v>89</v>
      </c>
      <c r="Z1236" s="97" t="s">
        <v>80</v>
      </c>
      <c r="AA1236" s="48" t="s">
        <v>63</v>
      </c>
      <c r="AB1236" s="48" t="str">
        <f t="shared" si="601"/>
        <v>NA</v>
      </c>
      <c r="AC1236" s="54">
        <f t="shared" si="602"/>
        <v>0</v>
      </c>
      <c r="AD1236" s="55">
        <v>5</v>
      </c>
      <c r="AE1236" s="55"/>
      <c r="AF1236" s="55"/>
      <c r="AG1236" s="56">
        <v>1</v>
      </c>
      <c r="AH1236" s="57">
        <v>13</v>
      </c>
      <c r="AI1236" s="56">
        <v>1</v>
      </c>
      <c r="AJ1236" s="57">
        <v>2</v>
      </c>
      <c r="AK1236" s="56">
        <v>1</v>
      </c>
      <c r="AL1236" s="57">
        <v>28</v>
      </c>
      <c r="AM1236" s="56"/>
      <c r="AN1236" s="57" t="str">
        <f t="shared" si="608"/>
        <v/>
      </c>
      <c r="AO1236" s="56"/>
      <c r="AP1236" s="57" t="str">
        <f t="shared" si="609"/>
        <v/>
      </c>
      <c r="AQ1236" s="56"/>
      <c r="AR1236" s="57" t="str">
        <f t="shared" si="610"/>
        <v/>
      </c>
      <c r="AS1236" s="56"/>
      <c r="AT1236" s="57" t="str">
        <f t="shared" si="611"/>
        <v/>
      </c>
      <c r="AU1236" s="58"/>
      <c r="AV1236" s="59"/>
      <c r="AW1236" s="59"/>
      <c r="AX1236" s="60"/>
      <c r="AY1236" s="61">
        <v>1</v>
      </c>
      <c r="AZ1236" s="62">
        <v>3</v>
      </c>
      <c r="BA1236" s="61">
        <f t="shared" si="614"/>
        <v>0</v>
      </c>
      <c r="BB1236" s="62" t="str">
        <f t="shared" si="615"/>
        <v/>
      </c>
    </row>
    <row r="1237" spans="1:54" s="3" customFormat="1" hidden="1" x14ac:dyDescent="0.35">
      <c r="A1237" s="73">
        <f t="shared" si="592"/>
        <v>2019</v>
      </c>
      <c r="B1237" s="73" t="str">
        <f t="shared" si="593"/>
        <v>Nov</v>
      </c>
      <c r="C1237" s="74">
        <f t="shared" si="616"/>
        <v>17</v>
      </c>
      <c r="D1237" s="75">
        <f t="shared" si="594"/>
        <v>11</v>
      </c>
      <c r="E1237" s="76">
        <f t="shared" si="595"/>
        <v>46</v>
      </c>
      <c r="F1237" s="80"/>
      <c r="G1237" s="83"/>
      <c r="H1237" s="69" t="str">
        <f t="shared" si="617"/>
        <v>Senbur6_20191117_11_00</v>
      </c>
      <c r="I1237" s="70">
        <f t="shared" ref="I1237:N1252" si="619">I1236</f>
        <v>1</v>
      </c>
      <c r="J1237" s="77" t="str">
        <f t="shared" si="619"/>
        <v>Senecio</v>
      </c>
      <c r="K1237" s="77" t="str">
        <f t="shared" si="619"/>
        <v>burtoni</v>
      </c>
      <c r="L1237" s="78">
        <f t="shared" si="619"/>
        <v>6</v>
      </c>
      <c r="M1237" s="78">
        <f t="shared" si="619"/>
        <v>12</v>
      </c>
      <c r="N1237" s="72">
        <f t="shared" si="619"/>
        <v>0</v>
      </c>
      <c r="O1237" s="45"/>
      <c r="P1237" s="46" t="str">
        <f t="shared" si="596"/>
        <v/>
      </c>
      <c r="Q1237" s="47" t="str">
        <f t="shared" si="597"/>
        <v/>
      </c>
      <c r="R1237" s="48" t="e">
        <f t="shared" si="598"/>
        <v>#VALUE!</v>
      </c>
      <c r="S1237" s="49" t="e">
        <f t="shared" si="591"/>
        <v>#VALUE!</v>
      </c>
      <c r="T1237" s="48" t="str">
        <f t="shared" si="599"/>
        <v/>
      </c>
      <c r="U1237" s="50"/>
      <c r="V1237" s="51"/>
      <c r="W1237" s="52" t="e">
        <f t="shared" si="600"/>
        <v>#VALUE!</v>
      </c>
      <c r="X1237" s="53"/>
      <c r="Y1237" s="53"/>
      <c r="Z1237" s="53"/>
      <c r="AA1237" s="48" t="e">
        <f>INDEX([1]!VISITORS[INSECT ORDER], MATCH(X1237,[1]!VISITORS[NAME USED],0))</f>
        <v>#REF!</v>
      </c>
      <c r="AB1237" s="48" t="e">
        <f t="shared" si="601"/>
        <v>#REF!</v>
      </c>
      <c r="AC1237" s="54" t="e">
        <f t="shared" si="602"/>
        <v>#VALUE!</v>
      </c>
      <c r="AD1237" s="55" t="str">
        <f t="shared" si="603"/>
        <v/>
      </c>
      <c r="AE1237" s="55"/>
      <c r="AF1237" s="55"/>
      <c r="AG1237" s="56" t="str">
        <f t="shared" si="604"/>
        <v/>
      </c>
      <c r="AH1237" s="57" t="str">
        <f t="shared" si="605"/>
        <v/>
      </c>
      <c r="AI1237" s="56"/>
      <c r="AJ1237" s="57" t="str">
        <f t="shared" si="606"/>
        <v/>
      </c>
      <c r="AK1237" s="56"/>
      <c r="AL1237" s="57" t="str">
        <f t="shared" si="607"/>
        <v/>
      </c>
      <c r="AM1237" s="56"/>
      <c r="AN1237" s="57" t="str">
        <f t="shared" si="608"/>
        <v/>
      </c>
      <c r="AO1237" s="56"/>
      <c r="AP1237" s="57" t="str">
        <f t="shared" si="609"/>
        <v/>
      </c>
      <c r="AQ1237" s="56"/>
      <c r="AR1237" s="57" t="str">
        <f t="shared" si="610"/>
        <v/>
      </c>
      <c r="AS1237" s="56"/>
      <c r="AT1237" s="57" t="str">
        <f t="shared" si="611"/>
        <v/>
      </c>
      <c r="AU1237" s="58"/>
      <c r="AV1237" s="59"/>
      <c r="AW1237" s="59"/>
      <c r="AX1237" s="60"/>
      <c r="AY1237" s="61" t="str">
        <f t="shared" si="612"/>
        <v/>
      </c>
      <c r="AZ1237" s="62" t="str">
        <f t="shared" si="613"/>
        <v/>
      </c>
      <c r="BA1237" s="61" t="str">
        <f t="shared" si="614"/>
        <v/>
      </c>
      <c r="BB1237" s="62" t="str">
        <f t="shared" si="615"/>
        <v/>
      </c>
    </row>
    <row r="1238" spans="1:54" s="3" customFormat="1" hidden="1" x14ac:dyDescent="0.35">
      <c r="A1238" s="73">
        <f t="shared" si="592"/>
        <v>2019</v>
      </c>
      <c r="B1238" s="73" t="str">
        <f t="shared" si="593"/>
        <v>Nov</v>
      </c>
      <c r="C1238" s="74">
        <f t="shared" si="616"/>
        <v>17</v>
      </c>
      <c r="D1238" s="75">
        <f t="shared" si="594"/>
        <v>11</v>
      </c>
      <c r="E1238" s="76">
        <f t="shared" si="595"/>
        <v>47</v>
      </c>
      <c r="F1238" s="80"/>
      <c r="G1238" s="83"/>
      <c r="H1238" s="69" t="str">
        <f t="shared" si="617"/>
        <v>Senbur6_20191117_11_00</v>
      </c>
      <c r="I1238" s="70">
        <f t="shared" si="619"/>
        <v>1</v>
      </c>
      <c r="J1238" s="77" t="str">
        <f t="shared" si="619"/>
        <v>Senecio</v>
      </c>
      <c r="K1238" s="77" t="str">
        <f t="shared" si="619"/>
        <v>burtoni</v>
      </c>
      <c r="L1238" s="78">
        <f t="shared" si="619"/>
        <v>6</v>
      </c>
      <c r="M1238" s="78">
        <f t="shared" si="619"/>
        <v>12</v>
      </c>
      <c r="N1238" s="72">
        <f t="shared" si="619"/>
        <v>0</v>
      </c>
      <c r="O1238" s="45"/>
      <c r="P1238" s="46" t="str">
        <f t="shared" si="596"/>
        <v/>
      </c>
      <c r="Q1238" s="47" t="str">
        <f t="shared" si="597"/>
        <v/>
      </c>
      <c r="R1238" s="48" t="e">
        <f t="shared" si="598"/>
        <v>#VALUE!</v>
      </c>
      <c r="S1238" s="49" t="e">
        <f t="shared" si="591"/>
        <v>#VALUE!</v>
      </c>
      <c r="T1238" s="48" t="str">
        <f t="shared" si="599"/>
        <v/>
      </c>
      <c r="U1238" s="50"/>
      <c r="V1238" s="51"/>
      <c r="W1238" s="52" t="e">
        <f t="shared" si="600"/>
        <v>#VALUE!</v>
      </c>
      <c r="X1238" s="53"/>
      <c r="Y1238" s="53"/>
      <c r="Z1238" s="53"/>
      <c r="AA1238" s="48" t="e">
        <f>INDEX([1]!VISITORS[INSECT ORDER], MATCH(X1238,[1]!VISITORS[NAME USED],0))</f>
        <v>#REF!</v>
      </c>
      <c r="AB1238" s="48" t="e">
        <f t="shared" si="601"/>
        <v>#REF!</v>
      </c>
      <c r="AC1238" s="54" t="e">
        <f t="shared" si="602"/>
        <v>#VALUE!</v>
      </c>
      <c r="AD1238" s="55" t="str">
        <f t="shared" si="603"/>
        <v/>
      </c>
      <c r="AE1238" s="55"/>
      <c r="AF1238" s="55"/>
      <c r="AG1238" s="56" t="str">
        <f t="shared" si="604"/>
        <v/>
      </c>
      <c r="AH1238" s="57" t="str">
        <f t="shared" si="605"/>
        <v/>
      </c>
      <c r="AI1238" s="56"/>
      <c r="AJ1238" s="57" t="str">
        <f t="shared" si="606"/>
        <v/>
      </c>
      <c r="AK1238" s="56"/>
      <c r="AL1238" s="57" t="str">
        <f t="shared" si="607"/>
        <v/>
      </c>
      <c r="AM1238" s="56"/>
      <c r="AN1238" s="57" t="str">
        <f t="shared" si="608"/>
        <v/>
      </c>
      <c r="AO1238" s="56"/>
      <c r="AP1238" s="57" t="str">
        <f t="shared" si="609"/>
        <v/>
      </c>
      <c r="AQ1238" s="56"/>
      <c r="AR1238" s="57" t="str">
        <f t="shared" si="610"/>
        <v/>
      </c>
      <c r="AS1238" s="56"/>
      <c r="AT1238" s="57" t="str">
        <f t="shared" si="611"/>
        <v/>
      </c>
      <c r="AU1238" s="58"/>
      <c r="AV1238" s="59"/>
      <c r="AW1238" s="59"/>
      <c r="AX1238" s="60"/>
      <c r="AY1238" s="61" t="str">
        <f t="shared" si="612"/>
        <v/>
      </c>
      <c r="AZ1238" s="62" t="str">
        <f t="shared" si="613"/>
        <v/>
      </c>
      <c r="BA1238" s="61" t="str">
        <f t="shared" si="614"/>
        <v/>
      </c>
      <c r="BB1238" s="62" t="str">
        <f t="shared" si="615"/>
        <v/>
      </c>
    </row>
    <row r="1239" spans="1:54" s="3" customFormat="1" hidden="1" x14ac:dyDescent="0.35">
      <c r="A1239" s="73">
        <f t="shared" si="592"/>
        <v>2019</v>
      </c>
      <c r="B1239" s="73" t="str">
        <f t="shared" si="593"/>
        <v>Nov</v>
      </c>
      <c r="C1239" s="74">
        <f t="shared" si="616"/>
        <v>17</v>
      </c>
      <c r="D1239" s="75">
        <f t="shared" si="594"/>
        <v>11</v>
      </c>
      <c r="E1239" s="76">
        <f t="shared" si="595"/>
        <v>48</v>
      </c>
      <c r="F1239" s="80"/>
      <c r="G1239" s="83"/>
      <c r="H1239" s="69" t="str">
        <f t="shared" si="617"/>
        <v>Senbur6_20191117_11_00</v>
      </c>
      <c r="I1239" s="70">
        <f t="shared" si="619"/>
        <v>1</v>
      </c>
      <c r="J1239" s="77" t="str">
        <f t="shared" si="619"/>
        <v>Senecio</v>
      </c>
      <c r="K1239" s="77" t="str">
        <f t="shared" si="619"/>
        <v>burtoni</v>
      </c>
      <c r="L1239" s="78">
        <f t="shared" si="619"/>
        <v>6</v>
      </c>
      <c r="M1239" s="78">
        <f t="shared" si="619"/>
        <v>12</v>
      </c>
      <c r="N1239" s="72">
        <f t="shared" si="619"/>
        <v>0</v>
      </c>
      <c r="O1239" s="45"/>
      <c r="P1239" s="46" t="str">
        <f t="shared" si="596"/>
        <v/>
      </c>
      <c r="Q1239" s="47" t="str">
        <f t="shared" si="597"/>
        <v/>
      </c>
      <c r="R1239" s="48" t="e">
        <f t="shared" si="598"/>
        <v>#VALUE!</v>
      </c>
      <c r="S1239" s="49" t="e">
        <f t="shared" si="591"/>
        <v>#VALUE!</v>
      </c>
      <c r="T1239" s="48" t="str">
        <f t="shared" si="599"/>
        <v/>
      </c>
      <c r="U1239" s="50"/>
      <c r="V1239" s="51"/>
      <c r="W1239" s="52" t="e">
        <f t="shared" si="600"/>
        <v>#VALUE!</v>
      </c>
      <c r="X1239" s="53"/>
      <c r="Y1239" s="53"/>
      <c r="Z1239" s="53"/>
      <c r="AA1239" s="48" t="e">
        <f>INDEX([1]!VISITORS[INSECT ORDER], MATCH(X1239,[1]!VISITORS[NAME USED],0))</f>
        <v>#REF!</v>
      </c>
      <c r="AB1239" s="48" t="e">
        <f t="shared" si="601"/>
        <v>#REF!</v>
      </c>
      <c r="AC1239" s="54" t="e">
        <f t="shared" si="602"/>
        <v>#VALUE!</v>
      </c>
      <c r="AD1239" s="55" t="str">
        <f t="shared" si="603"/>
        <v/>
      </c>
      <c r="AE1239" s="55"/>
      <c r="AF1239" s="55"/>
      <c r="AG1239" s="56" t="str">
        <f t="shared" si="604"/>
        <v/>
      </c>
      <c r="AH1239" s="57" t="str">
        <f t="shared" si="605"/>
        <v/>
      </c>
      <c r="AI1239" s="56"/>
      <c r="AJ1239" s="57" t="str">
        <f t="shared" si="606"/>
        <v/>
      </c>
      <c r="AK1239" s="56"/>
      <c r="AL1239" s="57" t="str">
        <f t="shared" si="607"/>
        <v/>
      </c>
      <c r="AM1239" s="56"/>
      <c r="AN1239" s="57" t="str">
        <f t="shared" si="608"/>
        <v/>
      </c>
      <c r="AO1239" s="56"/>
      <c r="AP1239" s="57" t="str">
        <f t="shared" si="609"/>
        <v/>
      </c>
      <c r="AQ1239" s="56"/>
      <c r="AR1239" s="57" t="str">
        <f t="shared" si="610"/>
        <v/>
      </c>
      <c r="AS1239" s="56"/>
      <c r="AT1239" s="57" t="str">
        <f t="shared" si="611"/>
        <v/>
      </c>
      <c r="AU1239" s="58"/>
      <c r="AV1239" s="59"/>
      <c r="AW1239" s="59"/>
      <c r="AX1239" s="60"/>
      <c r="AY1239" s="61" t="str">
        <f t="shared" si="612"/>
        <v/>
      </c>
      <c r="AZ1239" s="62" t="str">
        <f t="shared" si="613"/>
        <v/>
      </c>
      <c r="BA1239" s="61" t="str">
        <f t="shared" si="614"/>
        <v/>
      </c>
      <c r="BB1239" s="62" t="str">
        <f t="shared" si="615"/>
        <v/>
      </c>
    </row>
    <row r="1240" spans="1:54" s="3" customFormat="1" hidden="1" x14ac:dyDescent="0.35">
      <c r="A1240" s="73">
        <f t="shared" si="592"/>
        <v>2019</v>
      </c>
      <c r="B1240" s="73" t="str">
        <f t="shared" si="593"/>
        <v>Nov</v>
      </c>
      <c r="C1240" s="74">
        <f t="shared" si="616"/>
        <v>17</v>
      </c>
      <c r="D1240" s="75">
        <f t="shared" si="594"/>
        <v>11</v>
      </c>
      <c r="E1240" s="76">
        <f t="shared" si="595"/>
        <v>49</v>
      </c>
      <c r="F1240" s="80"/>
      <c r="G1240" s="83"/>
      <c r="H1240" s="69" t="str">
        <f t="shared" si="617"/>
        <v>Senbur6_20191117_11_00</v>
      </c>
      <c r="I1240" s="70">
        <f t="shared" si="619"/>
        <v>1</v>
      </c>
      <c r="J1240" s="77" t="str">
        <f t="shared" si="619"/>
        <v>Senecio</v>
      </c>
      <c r="K1240" s="77" t="str">
        <f t="shared" si="619"/>
        <v>burtoni</v>
      </c>
      <c r="L1240" s="78">
        <f t="shared" si="619"/>
        <v>6</v>
      </c>
      <c r="M1240" s="78">
        <f t="shared" si="619"/>
        <v>12</v>
      </c>
      <c r="N1240" s="72">
        <f t="shared" si="619"/>
        <v>0</v>
      </c>
      <c r="O1240" s="45"/>
      <c r="P1240" s="46" t="str">
        <f t="shared" si="596"/>
        <v/>
      </c>
      <c r="Q1240" s="47" t="str">
        <f t="shared" si="597"/>
        <v/>
      </c>
      <c r="R1240" s="48" t="e">
        <f t="shared" si="598"/>
        <v>#VALUE!</v>
      </c>
      <c r="S1240" s="49" t="e">
        <f t="shared" si="591"/>
        <v>#VALUE!</v>
      </c>
      <c r="T1240" s="48" t="str">
        <f t="shared" si="599"/>
        <v/>
      </c>
      <c r="U1240" s="50"/>
      <c r="V1240" s="51"/>
      <c r="W1240" s="52" t="e">
        <f t="shared" si="600"/>
        <v>#VALUE!</v>
      </c>
      <c r="X1240" s="53"/>
      <c r="Y1240" s="53"/>
      <c r="Z1240" s="53"/>
      <c r="AA1240" s="48" t="e">
        <f>INDEX([1]!VISITORS[INSECT ORDER], MATCH(X1240,[1]!VISITORS[NAME USED],0))</f>
        <v>#REF!</v>
      </c>
      <c r="AB1240" s="48" t="e">
        <f t="shared" si="601"/>
        <v>#REF!</v>
      </c>
      <c r="AC1240" s="54" t="e">
        <f t="shared" si="602"/>
        <v>#VALUE!</v>
      </c>
      <c r="AD1240" s="55" t="str">
        <f t="shared" si="603"/>
        <v/>
      </c>
      <c r="AE1240" s="55"/>
      <c r="AF1240" s="55"/>
      <c r="AG1240" s="56" t="str">
        <f t="shared" si="604"/>
        <v/>
      </c>
      <c r="AH1240" s="57" t="str">
        <f t="shared" si="605"/>
        <v/>
      </c>
      <c r="AI1240" s="56"/>
      <c r="AJ1240" s="57" t="str">
        <f t="shared" si="606"/>
        <v/>
      </c>
      <c r="AK1240" s="56"/>
      <c r="AL1240" s="57" t="str">
        <f t="shared" si="607"/>
        <v/>
      </c>
      <c r="AM1240" s="56"/>
      <c r="AN1240" s="57" t="str">
        <f t="shared" si="608"/>
        <v/>
      </c>
      <c r="AO1240" s="56"/>
      <c r="AP1240" s="57" t="str">
        <f t="shared" si="609"/>
        <v/>
      </c>
      <c r="AQ1240" s="56"/>
      <c r="AR1240" s="57" t="str">
        <f t="shared" si="610"/>
        <v/>
      </c>
      <c r="AS1240" s="56"/>
      <c r="AT1240" s="57" t="str">
        <f t="shared" si="611"/>
        <v/>
      </c>
      <c r="AU1240" s="58"/>
      <c r="AV1240" s="59"/>
      <c r="AW1240" s="59"/>
      <c r="AX1240" s="60"/>
      <c r="AY1240" s="61" t="str">
        <f t="shared" si="612"/>
        <v/>
      </c>
      <c r="AZ1240" s="62" t="str">
        <f t="shared" si="613"/>
        <v/>
      </c>
      <c r="BA1240" s="61" t="str">
        <f t="shared" si="614"/>
        <v/>
      </c>
      <c r="BB1240" s="62" t="str">
        <f t="shared" si="615"/>
        <v/>
      </c>
    </row>
    <row r="1241" spans="1:54" s="3" customFormat="1" hidden="1" x14ac:dyDescent="0.35">
      <c r="A1241" s="73">
        <f t="shared" si="592"/>
        <v>2019</v>
      </c>
      <c r="B1241" s="73" t="str">
        <f t="shared" si="593"/>
        <v>Nov</v>
      </c>
      <c r="C1241" s="74">
        <f t="shared" si="616"/>
        <v>17</v>
      </c>
      <c r="D1241" s="75">
        <f t="shared" si="594"/>
        <v>11</v>
      </c>
      <c r="E1241" s="76">
        <f t="shared" si="595"/>
        <v>50</v>
      </c>
      <c r="F1241" s="80"/>
      <c r="G1241" s="83"/>
      <c r="H1241" s="69" t="str">
        <f t="shared" si="617"/>
        <v>Senbur6_20191117_11_00</v>
      </c>
      <c r="I1241" s="70">
        <f t="shared" si="619"/>
        <v>1</v>
      </c>
      <c r="J1241" s="77" t="str">
        <f t="shared" si="619"/>
        <v>Senecio</v>
      </c>
      <c r="K1241" s="77" t="str">
        <f t="shared" si="619"/>
        <v>burtoni</v>
      </c>
      <c r="L1241" s="78">
        <f t="shared" si="619"/>
        <v>6</v>
      </c>
      <c r="M1241" s="78">
        <f t="shared" si="619"/>
        <v>12</v>
      </c>
      <c r="N1241" s="72">
        <f t="shared" si="619"/>
        <v>0</v>
      </c>
      <c r="O1241" s="45"/>
      <c r="P1241" s="46" t="str">
        <f t="shared" si="596"/>
        <v/>
      </c>
      <c r="Q1241" s="47" t="str">
        <f t="shared" si="597"/>
        <v/>
      </c>
      <c r="R1241" s="48" t="e">
        <f t="shared" si="598"/>
        <v>#VALUE!</v>
      </c>
      <c r="S1241" s="49" t="e">
        <f t="shared" si="591"/>
        <v>#VALUE!</v>
      </c>
      <c r="T1241" s="48" t="str">
        <f t="shared" si="599"/>
        <v/>
      </c>
      <c r="U1241" s="50"/>
      <c r="V1241" s="51"/>
      <c r="W1241" s="52" t="e">
        <f t="shared" si="600"/>
        <v>#VALUE!</v>
      </c>
      <c r="X1241" s="53"/>
      <c r="Y1241" s="53"/>
      <c r="Z1241" s="53"/>
      <c r="AA1241" s="48" t="e">
        <f>INDEX([1]!VISITORS[INSECT ORDER], MATCH(X1241,[1]!VISITORS[NAME USED],0))</f>
        <v>#REF!</v>
      </c>
      <c r="AB1241" s="48" t="e">
        <f t="shared" si="601"/>
        <v>#REF!</v>
      </c>
      <c r="AC1241" s="54" t="e">
        <f t="shared" si="602"/>
        <v>#VALUE!</v>
      </c>
      <c r="AD1241" s="55" t="str">
        <f t="shared" si="603"/>
        <v/>
      </c>
      <c r="AE1241" s="55"/>
      <c r="AF1241" s="55"/>
      <c r="AG1241" s="56" t="str">
        <f t="shared" si="604"/>
        <v/>
      </c>
      <c r="AH1241" s="57" t="str">
        <f t="shared" si="605"/>
        <v/>
      </c>
      <c r="AI1241" s="56"/>
      <c r="AJ1241" s="57" t="str">
        <f t="shared" si="606"/>
        <v/>
      </c>
      <c r="AK1241" s="56"/>
      <c r="AL1241" s="57" t="str">
        <f t="shared" si="607"/>
        <v/>
      </c>
      <c r="AM1241" s="56"/>
      <c r="AN1241" s="57" t="str">
        <f t="shared" si="608"/>
        <v/>
      </c>
      <c r="AO1241" s="56"/>
      <c r="AP1241" s="57" t="str">
        <f t="shared" si="609"/>
        <v/>
      </c>
      <c r="AQ1241" s="56"/>
      <c r="AR1241" s="57" t="str">
        <f t="shared" si="610"/>
        <v/>
      </c>
      <c r="AS1241" s="56"/>
      <c r="AT1241" s="57" t="str">
        <f t="shared" si="611"/>
        <v/>
      </c>
      <c r="AU1241" s="58"/>
      <c r="AV1241" s="59"/>
      <c r="AW1241" s="59"/>
      <c r="AX1241" s="60"/>
      <c r="AY1241" s="61" t="str">
        <f t="shared" si="612"/>
        <v/>
      </c>
      <c r="AZ1241" s="62" t="str">
        <f t="shared" si="613"/>
        <v/>
      </c>
      <c r="BA1241" s="61" t="str">
        <f t="shared" si="614"/>
        <v/>
      </c>
      <c r="BB1241" s="62" t="str">
        <f t="shared" si="615"/>
        <v/>
      </c>
    </row>
    <row r="1242" spans="1:54" s="3" customFormat="1" hidden="1" x14ac:dyDescent="0.35">
      <c r="A1242" s="73">
        <f t="shared" si="592"/>
        <v>2019</v>
      </c>
      <c r="B1242" s="73" t="str">
        <f t="shared" si="593"/>
        <v>Nov</v>
      </c>
      <c r="C1242" s="74">
        <f t="shared" si="616"/>
        <v>17</v>
      </c>
      <c r="D1242" s="75">
        <f t="shared" si="594"/>
        <v>11</v>
      </c>
      <c r="E1242" s="76">
        <f t="shared" si="595"/>
        <v>51</v>
      </c>
      <c r="F1242" s="80"/>
      <c r="G1242" s="83"/>
      <c r="H1242" s="69" t="str">
        <f t="shared" si="617"/>
        <v>Senbur6_20191117_11_00</v>
      </c>
      <c r="I1242" s="70">
        <f t="shared" si="619"/>
        <v>1</v>
      </c>
      <c r="J1242" s="77" t="str">
        <f t="shared" si="619"/>
        <v>Senecio</v>
      </c>
      <c r="K1242" s="77" t="str">
        <f t="shared" si="619"/>
        <v>burtoni</v>
      </c>
      <c r="L1242" s="78">
        <f t="shared" si="619"/>
        <v>6</v>
      </c>
      <c r="M1242" s="78">
        <f t="shared" si="619"/>
        <v>12</v>
      </c>
      <c r="N1242" s="72">
        <f t="shared" si="619"/>
        <v>0</v>
      </c>
      <c r="O1242" s="45"/>
      <c r="P1242" s="46" t="str">
        <f t="shared" si="596"/>
        <v/>
      </c>
      <c r="Q1242" s="47" t="str">
        <f t="shared" si="597"/>
        <v/>
      </c>
      <c r="R1242" s="48" t="e">
        <f t="shared" si="598"/>
        <v>#VALUE!</v>
      </c>
      <c r="S1242" s="49" t="e">
        <f t="shared" si="591"/>
        <v>#VALUE!</v>
      </c>
      <c r="T1242" s="48" t="str">
        <f t="shared" si="599"/>
        <v/>
      </c>
      <c r="U1242" s="50"/>
      <c r="V1242" s="51"/>
      <c r="W1242" s="52" t="e">
        <f t="shared" si="600"/>
        <v>#VALUE!</v>
      </c>
      <c r="X1242" s="53"/>
      <c r="Y1242" s="53"/>
      <c r="Z1242" s="53"/>
      <c r="AA1242" s="48" t="e">
        <f>INDEX([1]!VISITORS[INSECT ORDER], MATCH(X1242,[1]!VISITORS[NAME USED],0))</f>
        <v>#REF!</v>
      </c>
      <c r="AB1242" s="48" t="e">
        <f t="shared" si="601"/>
        <v>#REF!</v>
      </c>
      <c r="AC1242" s="54" t="e">
        <f t="shared" si="602"/>
        <v>#VALUE!</v>
      </c>
      <c r="AD1242" s="55" t="str">
        <f t="shared" si="603"/>
        <v/>
      </c>
      <c r="AE1242" s="55"/>
      <c r="AF1242" s="55"/>
      <c r="AG1242" s="56" t="str">
        <f t="shared" si="604"/>
        <v/>
      </c>
      <c r="AH1242" s="57" t="str">
        <f t="shared" si="605"/>
        <v/>
      </c>
      <c r="AI1242" s="56"/>
      <c r="AJ1242" s="57" t="str">
        <f t="shared" si="606"/>
        <v/>
      </c>
      <c r="AK1242" s="56"/>
      <c r="AL1242" s="57" t="str">
        <f t="shared" si="607"/>
        <v/>
      </c>
      <c r="AM1242" s="56"/>
      <c r="AN1242" s="57" t="str">
        <f t="shared" si="608"/>
        <v/>
      </c>
      <c r="AO1242" s="56"/>
      <c r="AP1242" s="57" t="str">
        <f t="shared" si="609"/>
        <v/>
      </c>
      <c r="AQ1242" s="56"/>
      <c r="AR1242" s="57" t="str">
        <f t="shared" si="610"/>
        <v/>
      </c>
      <c r="AS1242" s="56"/>
      <c r="AT1242" s="57" t="str">
        <f t="shared" si="611"/>
        <v/>
      </c>
      <c r="AU1242" s="58"/>
      <c r="AV1242" s="59"/>
      <c r="AW1242" s="59"/>
      <c r="AX1242" s="60"/>
      <c r="AY1242" s="61" t="str">
        <f t="shared" si="612"/>
        <v/>
      </c>
      <c r="AZ1242" s="62" t="str">
        <f t="shared" si="613"/>
        <v/>
      </c>
      <c r="BA1242" s="61" t="str">
        <f t="shared" si="614"/>
        <v/>
      </c>
      <c r="BB1242" s="62" t="str">
        <f t="shared" si="615"/>
        <v/>
      </c>
    </row>
    <row r="1243" spans="1:54" s="3" customFormat="1" hidden="1" x14ac:dyDescent="0.35">
      <c r="A1243" s="73">
        <f t="shared" si="592"/>
        <v>2019</v>
      </c>
      <c r="B1243" s="73" t="str">
        <f t="shared" si="593"/>
        <v>Nov</v>
      </c>
      <c r="C1243" s="74">
        <f t="shared" si="616"/>
        <v>17</v>
      </c>
      <c r="D1243" s="75">
        <f t="shared" si="594"/>
        <v>11</v>
      </c>
      <c r="E1243" s="76">
        <f t="shared" si="595"/>
        <v>52</v>
      </c>
      <c r="F1243" s="80">
        <v>17</v>
      </c>
      <c r="G1243" s="83"/>
      <c r="H1243" s="69" t="str">
        <f t="shared" si="617"/>
        <v>Senbur6_20191117_11_00</v>
      </c>
      <c r="I1243" s="70">
        <f t="shared" si="619"/>
        <v>1</v>
      </c>
      <c r="J1243" s="77" t="str">
        <f t="shared" si="619"/>
        <v>Senecio</v>
      </c>
      <c r="K1243" s="77" t="str">
        <f t="shared" si="619"/>
        <v>burtoni</v>
      </c>
      <c r="L1243" s="78">
        <f t="shared" si="619"/>
        <v>6</v>
      </c>
      <c r="M1243" s="78">
        <f t="shared" si="619"/>
        <v>12</v>
      </c>
      <c r="N1243" s="72">
        <f t="shared" si="619"/>
        <v>0</v>
      </c>
      <c r="O1243" s="45"/>
      <c r="P1243" s="46">
        <f t="shared" si="596"/>
        <v>1</v>
      </c>
      <c r="Q1243" s="47" t="str">
        <f t="shared" si="597"/>
        <v>11:52:17</v>
      </c>
      <c r="R1243" s="48" t="str">
        <f t="shared" si="598"/>
        <v>52:17</v>
      </c>
      <c r="S1243" s="49">
        <f t="shared" si="591"/>
        <v>15</v>
      </c>
      <c r="T1243" s="48" t="str">
        <f t="shared" si="599"/>
        <v>11</v>
      </c>
      <c r="U1243" s="50">
        <v>52</v>
      </c>
      <c r="V1243" s="51">
        <v>32</v>
      </c>
      <c r="W1243" s="52" t="str">
        <f t="shared" si="600"/>
        <v>52:32</v>
      </c>
      <c r="X1243" s="53" t="s">
        <v>70</v>
      </c>
      <c r="Y1243" s="97" t="s">
        <v>87</v>
      </c>
      <c r="Z1243" s="97"/>
      <c r="AA1243" s="48" t="s">
        <v>63</v>
      </c>
      <c r="AB1243" s="48" t="str">
        <f t="shared" si="601"/>
        <v>NA</v>
      </c>
      <c r="AC1243" s="54">
        <f t="shared" si="602"/>
        <v>0</v>
      </c>
      <c r="AD1243" s="55">
        <f t="shared" si="603"/>
        <v>1</v>
      </c>
      <c r="AE1243" s="55"/>
      <c r="AF1243" s="55"/>
      <c r="AG1243" s="56">
        <v>1</v>
      </c>
      <c r="AH1243" s="57">
        <v>6</v>
      </c>
      <c r="AI1243" s="56"/>
      <c r="AJ1243" s="57" t="str">
        <f t="shared" si="606"/>
        <v/>
      </c>
      <c r="AK1243" s="56">
        <v>1</v>
      </c>
      <c r="AL1243" s="57">
        <v>9</v>
      </c>
      <c r="AM1243" s="56"/>
      <c r="AN1243" s="57" t="str">
        <f t="shared" si="608"/>
        <v/>
      </c>
      <c r="AO1243" s="56"/>
      <c r="AP1243" s="57" t="str">
        <f t="shared" si="609"/>
        <v/>
      </c>
      <c r="AQ1243" s="56"/>
      <c r="AR1243" s="57" t="str">
        <f t="shared" si="610"/>
        <v/>
      </c>
      <c r="AS1243" s="56"/>
      <c r="AT1243" s="57" t="str">
        <f t="shared" si="611"/>
        <v/>
      </c>
      <c r="AU1243" s="58"/>
      <c r="AV1243" s="59"/>
      <c r="AW1243" s="59"/>
      <c r="AX1243" s="60"/>
      <c r="AY1243" s="61">
        <v>1</v>
      </c>
      <c r="AZ1243" s="62">
        <f t="shared" si="613"/>
        <v>1</v>
      </c>
      <c r="BA1243" s="61">
        <f t="shared" si="614"/>
        <v>0</v>
      </c>
      <c r="BB1243" s="62" t="str">
        <f t="shared" si="615"/>
        <v/>
      </c>
    </row>
    <row r="1244" spans="1:54" s="3" customFormat="1" hidden="1" x14ac:dyDescent="0.35">
      <c r="A1244" s="73">
        <f t="shared" si="592"/>
        <v>2019</v>
      </c>
      <c r="B1244" s="73" t="str">
        <f t="shared" si="593"/>
        <v>Nov</v>
      </c>
      <c r="C1244" s="74">
        <f t="shared" si="616"/>
        <v>17</v>
      </c>
      <c r="D1244" s="75">
        <f t="shared" si="594"/>
        <v>11</v>
      </c>
      <c r="E1244" s="76">
        <f t="shared" si="595"/>
        <v>53</v>
      </c>
      <c r="F1244" s="80">
        <v>56</v>
      </c>
      <c r="G1244" s="83"/>
      <c r="H1244" s="69" t="str">
        <f t="shared" si="617"/>
        <v>Senbur6_20191117_11_00</v>
      </c>
      <c r="I1244" s="70">
        <f t="shared" si="619"/>
        <v>1</v>
      </c>
      <c r="J1244" s="77" t="str">
        <f t="shared" si="619"/>
        <v>Senecio</v>
      </c>
      <c r="K1244" s="77" t="str">
        <f t="shared" si="619"/>
        <v>burtoni</v>
      </c>
      <c r="L1244" s="78">
        <f t="shared" si="619"/>
        <v>6</v>
      </c>
      <c r="M1244" s="78">
        <f t="shared" si="619"/>
        <v>12</v>
      </c>
      <c r="N1244" s="72">
        <f t="shared" si="619"/>
        <v>0</v>
      </c>
      <c r="O1244" s="45"/>
      <c r="P1244" s="46">
        <f t="shared" si="596"/>
        <v>1</v>
      </c>
      <c r="Q1244" s="47" t="str">
        <f t="shared" si="597"/>
        <v>11:53:56</v>
      </c>
      <c r="R1244" s="48" t="str">
        <f t="shared" si="598"/>
        <v>53:56</v>
      </c>
      <c r="S1244" s="49">
        <f t="shared" si="591"/>
        <v>164</v>
      </c>
      <c r="T1244" s="48" t="str">
        <f t="shared" si="599"/>
        <v>11</v>
      </c>
      <c r="U1244" s="50">
        <v>56</v>
      </c>
      <c r="V1244" s="51">
        <v>40</v>
      </c>
      <c r="W1244" s="52" t="str">
        <f t="shared" si="600"/>
        <v>56:40</v>
      </c>
      <c r="X1244" s="53" t="s">
        <v>59</v>
      </c>
      <c r="Y1244" s="97" t="s">
        <v>78</v>
      </c>
      <c r="Z1244" s="97"/>
      <c r="AA1244" s="48" t="s">
        <v>60</v>
      </c>
      <c r="AB1244" s="48" t="str">
        <f t="shared" si="601"/>
        <v>NA</v>
      </c>
      <c r="AC1244" s="54">
        <f t="shared" si="602"/>
        <v>0</v>
      </c>
      <c r="AD1244" s="55">
        <f t="shared" si="603"/>
        <v>1</v>
      </c>
      <c r="AE1244" s="55"/>
      <c r="AF1244" s="55"/>
      <c r="AG1244" s="56">
        <v>1</v>
      </c>
      <c r="AH1244" s="57">
        <v>3</v>
      </c>
      <c r="AI1244" s="56"/>
      <c r="AJ1244" s="57" t="str">
        <f t="shared" si="606"/>
        <v/>
      </c>
      <c r="AK1244" s="56">
        <v>1</v>
      </c>
      <c r="AL1244" s="57">
        <v>161</v>
      </c>
      <c r="AM1244" s="56"/>
      <c r="AN1244" s="57" t="str">
        <f t="shared" si="608"/>
        <v/>
      </c>
      <c r="AO1244" s="56"/>
      <c r="AP1244" s="57" t="str">
        <f t="shared" si="609"/>
        <v/>
      </c>
      <c r="AQ1244" s="56"/>
      <c r="AR1244" s="57" t="str">
        <f t="shared" si="610"/>
        <v/>
      </c>
      <c r="AS1244" s="56"/>
      <c r="AT1244" s="57" t="str">
        <f t="shared" si="611"/>
        <v/>
      </c>
      <c r="AU1244" s="58"/>
      <c r="AV1244" s="59"/>
      <c r="AW1244" s="59"/>
      <c r="AX1244" s="60"/>
      <c r="AY1244" s="61">
        <v>1</v>
      </c>
      <c r="AZ1244" s="62">
        <v>1</v>
      </c>
      <c r="BA1244" s="61">
        <f t="shared" si="614"/>
        <v>0</v>
      </c>
      <c r="BB1244" s="62" t="str">
        <f t="shared" si="615"/>
        <v/>
      </c>
    </row>
    <row r="1245" spans="1:54" s="3" customFormat="1" hidden="1" x14ac:dyDescent="0.35">
      <c r="A1245" s="73">
        <f t="shared" si="592"/>
        <v>2019</v>
      </c>
      <c r="B1245" s="73" t="str">
        <f t="shared" si="593"/>
        <v>Nov</v>
      </c>
      <c r="C1245" s="74">
        <f t="shared" si="616"/>
        <v>17</v>
      </c>
      <c r="D1245" s="75">
        <f t="shared" si="594"/>
        <v>11</v>
      </c>
      <c r="E1245" s="76">
        <f t="shared" si="595"/>
        <v>54</v>
      </c>
      <c r="F1245" s="80"/>
      <c r="G1245" s="83"/>
      <c r="H1245" s="69" t="str">
        <f t="shared" si="617"/>
        <v>Senbur6_20191117_11_00</v>
      </c>
      <c r="I1245" s="70">
        <f t="shared" si="619"/>
        <v>1</v>
      </c>
      <c r="J1245" s="77" t="str">
        <f t="shared" si="619"/>
        <v>Senecio</v>
      </c>
      <c r="K1245" s="77" t="str">
        <f t="shared" si="619"/>
        <v>burtoni</v>
      </c>
      <c r="L1245" s="78">
        <f t="shared" si="619"/>
        <v>6</v>
      </c>
      <c r="M1245" s="78">
        <f t="shared" si="619"/>
        <v>12</v>
      </c>
      <c r="N1245" s="72">
        <f t="shared" si="619"/>
        <v>0</v>
      </c>
      <c r="O1245" s="45"/>
      <c r="P1245" s="46" t="str">
        <f t="shared" si="596"/>
        <v/>
      </c>
      <c r="Q1245" s="47" t="str">
        <f t="shared" si="597"/>
        <v/>
      </c>
      <c r="R1245" s="48" t="e">
        <f t="shared" si="598"/>
        <v>#VALUE!</v>
      </c>
      <c r="S1245" s="49" t="e">
        <f t="shared" si="591"/>
        <v>#VALUE!</v>
      </c>
      <c r="T1245" s="48" t="str">
        <f t="shared" si="599"/>
        <v/>
      </c>
      <c r="U1245" s="50"/>
      <c r="V1245" s="51"/>
      <c r="W1245" s="52" t="e">
        <f t="shared" si="600"/>
        <v>#VALUE!</v>
      </c>
      <c r="X1245" s="53"/>
      <c r="Y1245" s="53"/>
      <c r="Z1245" s="53"/>
      <c r="AA1245" s="48" t="e">
        <f>INDEX([1]!VISITORS[INSECT ORDER], MATCH(X1245,[1]!VISITORS[NAME USED],0))</f>
        <v>#REF!</v>
      </c>
      <c r="AB1245" s="48" t="e">
        <f t="shared" si="601"/>
        <v>#REF!</v>
      </c>
      <c r="AC1245" s="54" t="e">
        <f t="shared" si="602"/>
        <v>#VALUE!</v>
      </c>
      <c r="AD1245" s="55" t="str">
        <f t="shared" si="603"/>
        <v/>
      </c>
      <c r="AE1245" s="55"/>
      <c r="AF1245" s="55"/>
      <c r="AG1245" s="56" t="str">
        <f t="shared" si="604"/>
        <v/>
      </c>
      <c r="AH1245" s="57" t="str">
        <f t="shared" si="605"/>
        <v/>
      </c>
      <c r="AI1245" s="56"/>
      <c r="AJ1245" s="57" t="str">
        <f t="shared" si="606"/>
        <v/>
      </c>
      <c r="AK1245" s="56"/>
      <c r="AL1245" s="57" t="str">
        <f t="shared" si="607"/>
        <v/>
      </c>
      <c r="AM1245" s="56"/>
      <c r="AN1245" s="57" t="str">
        <f t="shared" si="608"/>
        <v/>
      </c>
      <c r="AO1245" s="56"/>
      <c r="AP1245" s="57" t="str">
        <f t="shared" si="609"/>
        <v/>
      </c>
      <c r="AQ1245" s="56"/>
      <c r="AR1245" s="57" t="str">
        <f t="shared" si="610"/>
        <v/>
      </c>
      <c r="AS1245" s="56"/>
      <c r="AT1245" s="57" t="str">
        <f t="shared" si="611"/>
        <v/>
      </c>
      <c r="AU1245" s="58"/>
      <c r="AV1245" s="59"/>
      <c r="AW1245" s="59"/>
      <c r="AX1245" s="60"/>
      <c r="AY1245" s="61" t="str">
        <f t="shared" si="612"/>
        <v/>
      </c>
      <c r="AZ1245" s="62" t="str">
        <f t="shared" si="613"/>
        <v/>
      </c>
      <c r="BA1245" s="61" t="str">
        <f t="shared" si="614"/>
        <v/>
      </c>
      <c r="BB1245" s="62" t="str">
        <f t="shared" si="615"/>
        <v/>
      </c>
    </row>
    <row r="1246" spans="1:54" s="3" customFormat="1" hidden="1" x14ac:dyDescent="0.35">
      <c r="A1246" s="73">
        <f t="shared" si="592"/>
        <v>2019</v>
      </c>
      <c r="B1246" s="73" t="str">
        <f t="shared" si="593"/>
        <v>Nov</v>
      </c>
      <c r="C1246" s="74">
        <f t="shared" si="616"/>
        <v>17</v>
      </c>
      <c r="D1246" s="75">
        <f t="shared" si="594"/>
        <v>11</v>
      </c>
      <c r="E1246" s="76">
        <f t="shared" si="595"/>
        <v>55</v>
      </c>
      <c r="F1246" s="80">
        <v>46</v>
      </c>
      <c r="G1246" s="83"/>
      <c r="H1246" s="69" t="str">
        <f t="shared" si="617"/>
        <v>Senbur6_20191117_11_00</v>
      </c>
      <c r="I1246" s="70">
        <f t="shared" si="619"/>
        <v>1</v>
      </c>
      <c r="J1246" s="77" t="str">
        <f t="shared" si="619"/>
        <v>Senecio</v>
      </c>
      <c r="K1246" s="77" t="str">
        <f t="shared" si="619"/>
        <v>burtoni</v>
      </c>
      <c r="L1246" s="78">
        <f t="shared" si="619"/>
        <v>6</v>
      </c>
      <c r="M1246" s="78">
        <f t="shared" si="619"/>
        <v>12</v>
      </c>
      <c r="N1246" s="72">
        <f t="shared" si="619"/>
        <v>0</v>
      </c>
      <c r="O1246" s="45"/>
      <c r="P1246" s="46">
        <f t="shared" si="596"/>
        <v>1</v>
      </c>
      <c r="Q1246" s="47" t="str">
        <f t="shared" si="597"/>
        <v>11:55:46</v>
      </c>
      <c r="R1246" s="48" t="str">
        <f t="shared" si="598"/>
        <v>55:46</v>
      </c>
      <c r="S1246" s="49">
        <f t="shared" si="591"/>
        <v>73</v>
      </c>
      <c r="T1246" s="48" t="str">
        <f t="shared" si="599"/>
        <v>11</v>
      </c>
      <c r="U1246" s="50">
        <v>56</v>
      </c>
      <c r="V1246" s="51">
        <v>59</v>
      </c>
      <c r="W1246" s="52" t="str">
        <f t="shared" si="600"/>
        <v>56:59</v>
      </c>
      <c r="X1246" s="53" t="s">
        <v>61</v>
      </c>
      <c r="Y1246" s="97" t="s">
        <v>84</v>
      </c>
      <c r="Z1246" s="97" t="s">
        <v>80</v>
      </c>
      <c r="AA1246" s="48" t="s">
        <v>60</v>
      </c>
      <c r="AB1246" s="48" t="str">
        <f t="shared" si="601"/>
        <v>NA</v>
      </c>
      <c r="AC1246" s="54">
        <f t="shared" si="602"/>
        <v>0</v>
      </c>
      <c r="AD1246" s="55">
        <f t="shared" si="603"/>
        <v>1</v>
      </c>
      <c r="AE1246" s="55"/>
      <c r="AF1246" s="55"/>
      <c r="AG1246" s="56">
        <v>1</v>
      </c>
      <c r="AH1246" s="57">
        <v>2</v>
      </c>
      <c r="AI1246" s="56"/>
      <c r="AJ1246" s="57" t="str">
        <f t="shared" si="606"/>
        <v/>
      </c>
      <c r="AK1246" s="56">
        <v>1</v>
      </c>
      <c r="AL1246" s="57">
        <v>71</v>
      </c>
      <c r="AM1246" s="56"/>
      <c r="AN1246" s="57" t="str">
        <f t="shared" si="608"/>
        <v/>
      </c>
      <c r="AO1246" s="56"/>
      <c r="AP1246" s="57" t="str">
        <f t="shared" si="609"/>
        <v/>
      </c>
      <c r="AQ1246" s="56"/>
      <c r="AR1246" s="57" t="str">
        <f t="shared" si="610"/>
        <v/>
      </c>
      <c r="AS1246" s="56"/>
      <c r="AT1246" s="57" t="str">
        <f t="shared" si="611"/>
        <v/>
      </c>
      <c r="AU1246" s="58"/>
      <c r="AV1246" s="59"/>
      <c r="AW1246" s="59"/>
      <c r="AX1246" s="60"/>
      <c r="AY1246" s="61">
        <v>1</v>
      </c>
      <c r="AZ1246" s="62">
        <f t="shared" si="613"/>
        <v>1</v>
      </c>
      <c r="BA1246" s="61">
        <f t="shared" si="614"/>
        <v>0</v>
      </c>
      <c r="BB1246" s="62" t="str">
        <f t="shared" si="615"/>
        <v/>
      </c>
    </row>
    <row r="1247" spans="1:54" s="3" customFormat="1" hidden="1" x14ac:dyDescent="0.35">
      <c r="A1247" s="73">
        <f t="shared" si="592"/>
        <v>2019</v>
      </c>
      <c r="B1247" s="73" t="str">
        <f t="shared" si="593"/>
        <v>Nov</v>
      </c>
      <c r="C1247" s="74">
        <f t="shared" si="616"/>
        <v>17</v>
      </c>
      <c r="D1247" s="75">
        <f t="shared" si="594"/>
        <v>11</v>
      </c>
      <c r="E1247" s="76">
        <f t="shared" si="595"/>
        <v>56</v>
      </c>
      <c r="F1247" s="80">
        <v>57</v>
      </c>
      <c r="G1247" s="83"/>
      <c r="H1247" s="69" t="str">
        <f t="shared" si="617"/>
        <v>Senbur6_20191117_11_00</v>
      </c>
      <c r="I1247" s="70">
        <f t="shared" si="619"/>
        <v>1</v>
      </c>
      <c r="J1247" s="77" t="str">
        <f t="shared" si="619"/>
        <v>Senecio</v>
      </c>
      <c r="K1247" s="77" t="str">
        <f t="shared" si="619"/>
        <v>burtoni</v>
      </c>
      <c r="L1247" s="78">
        <f t="shared" si="619"/>
        <v>6</v>
      </c>
      <c r="M1247" s="78">
        <f t="shared" si="619"/>
        <v>12</v>
      </c>
      <c r="N1247" s="72">
        <f t="shared" si="619"/>
        <v>0</v>
      </c>
      <c r="O1247" s="45"/>
      <c r="P1247" s="46">
        <f t="shared" si="596"/>
        <v>1</v>
      </c>
      <c r="Q1247" s="47" t="str">
        <f t="shared" si="597"/>
        <v>11:56:57</v>
      </c>
      <c r="R1247" s="48" t="str">
        <f t="shared" si="598"/>
        <v>56:57</v>
      </c>
      <c r="S1247" s="49">
        <f t="shared" si="591"/>
        <v>2</v>
      </c>
      <c r="T1247" s="48" t="str">
        <f t="shared" si="599"/>
        <v>11</v>
      </c>
      <c r="U1247" s="50">
        <v>56</v>
      </c>
      <c r="V1247" s="51">
        <v>59</v>
      </c>
      <c r="W1247" s="52" t="str">
        <f t="shared" si="600"/>
        <v>56:59</v>
      </c>
      <c r="X1247" s="53" t="s">
        <v>59</v>
      </c>
      <c r="Y1247" s="97" t="s">
        <v>84</v>
      </c>
      <c r="Z1247" s="97" t="s">
        <v>80</v>
      </c>
      <c r="AA1247" s="48" t="s">
        <v>60</v>
      </c>
      <c r="AB1247" s="48" t="str">
        <f t="shared" si="601"/>
        <v>NA</v>
      </c>
      <c r="AC1247" s="54">
        <f t="shared" si="602"/>
        <v>0</v>
      </c>
      <c r="AD1247" s="55">
        <f t="shared" si="603"/>
        <v>1</v>
      </c>
      <c r="AE1247" s="55"/>
      <c r="AF1247" s="55"/>
      <c r="AG1247" s="56">
        <v>1</v>
      </c>
      <c r="AH1247" s="57">
        <f t="shared" si="605"/>
        <v>2</v>
      </c>
      <c r="AI1247" s="56"/>
      <c r="AJ1247" s="57" t="str">
        <f t="shared" si="606"/>
        <v/>
      </c>
      <c r="AK1247" s="56"/>
      <c r="AL1247" s="57" t="str">
        <f t="shared" si="607"/>
        <v/>
      </c>
      <c r="AM1247" s="56"/>
      <c r="AN1247" s="57" t="str">
        <f t="shared" si="608"/>
        <v/>
      </c>
      <c r="AO1247" s="56"/>
      <c r="AP1247" s="57" t="str">
        <f t="shared" si="609"/>
        <v/>
      </c>
      <c r="AQ1247" s="56"/>
      <c r="AR1247" s="57" t="str">
        <f t="shared" si="610"/>
        <v/>
      </c>
      <c r="AS1247" s="56"/>
      <c r="AT1247" s="57" t="str">
        <f t="shared" si="611"/>
        <v/>
      </c>
      <c r="AU1247" s="58"/>
      <c r="AV1247" s="59"/>
      <c r="AW1247" s="59"/>
      <c r="AX1247" s="60"/>
      <c r="AY1247" s="61">
        <f t="shared" si="612"/>
        <v>0</v>
      </c>
      <c r="AZ1247" s="62" t="str">
        <f t="shared" si="613"/>
        <v/>
      </c>
      <c r="BA1247" s="61">
        <f t="shared" si="614"/>
        <v>0</v>
      </c>
      <c r="BB1247" s="62" t="str">
        <f t="shared" si="615"/>
        <v/>
      </c>
    </row>
    <row r="1248" spans="1:54" s="3" customFormat="1" hidden="1" x14ac:dyDescent="0.35">
      <c r="A1248" s="73">
        <f t="shared" si="592"/>
        <v>2019</v>
      </c>
      <c r="B1248" s="73" t="str">
        <f t="shared" si="593"/>
        <v>Nov</v>
      </c>
      <c r="C1248" s="74">
        <f t="shared" si="616"/>
        <v>17</v>
      </c>
      <c r="D1248" s="75">
        <f t="shared" si="594"/>
        <v>11</v>
      </c>
      <c r="E1248" s="76">
        <f t="shared" si="595"/>
        <v>57</v>
      </c>
      <c r="F1248" s="80"/>
      <c r="G1248" s="83"/>
      <c r="H1248" s="69" t="str">
        <f t="shared" si="617"/>
        <v>Senbur6_20191117_11_00</v>
      </c>
      <c r="I1248" s="70">
        <f t="shared" si="619"/>
        <v>1</v>
      </c>
      <c r="J1248" s="77" t="str">
        <f t="shared" si="619"/>
        <v>Senecio</v>
      </c>
      <c r="K1248" s="77" t="str">
        <f t="shared" si="619"/>
        <v>burtoni</v>
      </c>
      <c r="L1248" s="78">
        <f t="shared" si="619"/>
        <v>6</v>
      </c>
      <c r="M1248" s="78">
        <f t="shared" si="619"/>
        <v>12</v>
      </c>
      <c r="N1248" s="72">
        <f t="shared" si="619"/>
        <v>0</v>
      </c>
      <c r="O1248" s="45"/>
      <c r="P1248" s="46" t="str">
        <f t="shared" si="596"/>
        <v/>
      </c>
      <c r="Q1248" s="47" t="str">
        <f t="shared" si="597"/>
        <v/>
      </c>
      <c r="R1248" s="48" t="e">
        <f t="shared" si="598"/>
        <v>#VALUE!</v>
      </c>
      <c r="S1248" s="49" t="e">
        <f t="shared" si="591"/>
        <v>#VALUE!</v>
      </c>
      <c r="T1248" s="48" t="str">
        <f t="shared" si="599"/>
        <v/>
      </c>
      <c r="U1248" s="50"/>
      <c r="V1248" s="51"/>
      <c r="W1248" s="52" t="e">
        <f t="shared" si="600"/>
        <v>#VALUE!</v>
      </c>
      <c r="X1248" s="53"/>
      <c r="Y1248" s="53"/>
      <c r="Z1248" s="53"/>
      <c r="AA1248" s="48" t="e">
        <f>INDEX([1]!VISITORS[INSECT ORDER], MATCH(X1248,[1]!VISITORS[NAME USED],0))</f>
        <v>#REF!</v>
      </c>
      <c r="AB1248" s="48" t="e">
        <f t="shared" si="601"/>
        <v>#REF!</v>
      </c>
      <c r="AC1248" s="54" t="e">
        <f t="shared" si="602"/>
        <v>#VALUE!</v>
      </c>
      <c r="AD1248" s="55" t="str">
        <f t="shared" si="603"/>
        <v/>
      </c>
      <c r="AE1248" s="55"/>
      <c r="AF1248" s="55"/>
      <c r="AG1248" s="56" t="str">
        <f t="shared" si="604"/>
        <v/>
      </c>
      <c r="AH1248" s="57" t="str">
        <f t="shared" si="605"/>
        <v/>
      </c>
      <c r="AI1248" s="56"/>
      <c r="AJ1248" s="57" t="str">
        <f t="shared" si="606"/>
        <v/>
      </c>
      <c r="AK1248" s="56"/>
      <c r="AL1248" s="57" t="str">
        <f t="shared" si="607"/>
        <v/>
      </c>
      <c r="AM1248" s="56"/>
      <c r="AN1248" s="57" t="str">
        <f t="shared" si="608"/>
        <v/>
      </c>
      <c r="AO1248" s="56"/>
      <c r="AP1248" s="57" t="str">
        <f t="shared" si="609"/>
        <v/>
      </c>
      <c r="AQ1248" s="56"/>
      <c r="AR1248" s="57" t="str">
        <f t="shared" si="610"/>
        <v/>
      </c>
      <c r="AS1248" s="56"/>
      <c r="AT1248" s="57" t="str">
        <f t="shared" si="611"/>
        <v/>
      </c>
      <c r="AU1248" s="58"/>
      <c r="AV1248" s="59"/>
      <c r="AW1248" s="59"/>
      <c r="AX1248" s="60"/>
      <c r="AY1248" s="61" t="str">
        <f t="shared" si="612"/>
        <v/>
      </c>
      <c r="AZ1248" s="62" t="str">
        <f t="shared" si="613"/>
        <v/>
      </c>
      <c r="BA1248" s="61" t="str">
        <f t="shared" si="614"/>
        <v/>
      </c>
      <c r="BB1248" s="62" t="str">
        <f t="shared" si="615"/>
        <v/>
      </c>
    </row>
    <row r="1249" spans="1:54" s="3" customFormat="1" hidden="1" x14ac:dyDescent="0.35">
      <c r="A1249" s="73">
        <f t="shared" si="592"/>
        <v>2019</v>
      </c>
      <c r="B1249" s="73" t="str">
        <f t="shared" si="593"/>
        <v>Nov</v>
      </c>
      <c r="C1249" s="74">
        <f t="shared" si="616"/>
        <v>17</v>
      </c>
      <c r="D1249" s="75">
        <f t="shared" si="594"/>
        <v>11</v>
      </c>
      <c r="E1249" s="76">
        <f t="shared" si="595"/>
        <v>58</v>
      </c>
      <c r="F1249" s="80"/>
      <c r="G1249" s="83"/>
      <c r="H1249" s="69" t="str">
        <f t="shared" si="617"/>
        <v>Senbur6_20191117_11_00</v>
      </c>
      <c r="I1249" s="70">
        <f t="shared" si="619"/>
        <v>1</v>
      </c>
      <c r="J1249" s="77" t="str">
        <f t="shared" si="619"/>
        <v>Senecio</v>
      </c>
      <c r="K1249" s="77" t="str">
        <f t="shared" si="619"/>
        <v>burtoni</v>
      </c>
      <c r="L1249" s="78">
        <f t="shared" si="619"/>
        <v>6</v>
      </c>
      <c r="M1249" s="78">
        <f t="shared" si="619"/>
        <v>12</v>
      </c>
      <c r="N1249" s="72">
        <f t="shared" si="619"/>
        <v>0</v>
      </c>
      <c r="O1249" s="45"/>
      <c r="P1249" s="46" t="str">
        <f t="shared" si="596"/>
        <v/>
      </c>
      <c r="Q1249" s="47" t="str">
        <f t="shared" si="597"/>
        <v/>
      </c>
      <c r="R1249" s="48" t="e">
        <f t="shared" si="598"/>
        <v>#VALUE!</v>
      </c>
      <c r="S1249" s="49" t="e">
        <f t="shared" si="591"/>
        <v>#VALUE!</v>
      </c>
      <c r="T1249" s="48" t="str">
        <f t="shared" si="599"/>
        <v/>
      </c>
      <c r="U1249" s="50"/>
      <c r="V1249" s="51"/>
      <c r="W1249" s="52" t="e">
        <f t="shared" si="600"/>
        <v>#VALUE!</v>
      </c>
      <c r="X1249" s="53"/>
      <c r="Y1249" s="53"/>
      <c r="Z1249" s="53"/>
      <c r="AA1249" s="48" t="e">
        <f>INDEX([1]!VISITORS[INSECT ORDER], MATCH(X1249,[1]!VISITORS[NAME USED],0))</f>
        <v>#REF!</v>
      </c>
      <c r="AB1249" s="48" t="e">
        <f t="shared" si="601"/>
        <v>#REF!</v>
      </c>
      <c r="AC1249" s="54" t="e">
        <f t="shared" si="602"/>
        <v>#VALUE!</v>
      </c>
      <c r="AD1249" s="55" t="str">
        <f t="shared" si="603"/>
        <v/>
      </c>
      <c r="AE1249" s="55"/>
      <c r="AF1249" s="55"/>
      <c r="AG1249" s="56" t="str">
        <f t="shared" si="604"/>
        <v/>
      </c>
      <c r="AH1249" s="57" t="str">
        <f t="shared" si="605"/>
        <v/>
      </c>
      <c r="AI1249" s="56"/>
      <c r="AJ1249" s="57" t="str">
        <f t="shared" si="606"/>
        <v/>
      </c>
      <c r="AK1249" s="56"/>
      <c r="AL1249" s="57" t="str">
        <f t="shared" si="607"/>
        <v/>
      </c>
      <c r="AM1249" s="56"/>
      <c r="AN1249" s="57" t="str">
        <f t="shared" si="608"/>
        <v/>
      </c>
      <c r="AO1249" s="56"/>
      <c r="AP1249" s="57" t="str">
        <f t="shared" si="609"/>
        <v/>
      </c>
      <c r="AQ1249" s="56"/>
      <c r="AR1249" s="57" t="str">
        <f t="shared" si="610"/>
        <v/>
      </c>
      <c r="AS1249" s="56"/>
      <c r="AT1249" s="57" t="str">
        <f t="shared" si="611"/>
        <v/>
      </c>
      <c r="AU1249" s="58"/>
      <c r="AV1249" s="59"/>
      <c r="AW1249" s="59"/>
      <c r="AX1249" s="60"/>
      <c r="AY1249" s="61" t="str">
        <f t="shared" si="612"/>
        <v/>
      </c>
      <c r="AZ1249" s="62" t="str">
        <f t="shared" si="613"/>
        <v/>
      </c>
      <c r="BA1249" s="61" t="str">
        <f t="shared" si="614"/>
        <v/>
      </c>
      <c r="BB1249" s="62" t="str">
        <f t="shared" si="615"/>
        <v/>
      </c>
    </row>
    <row r="1250" spans="1:54" s="3" customFormat="1" hidden="1" x14ac:dyDescent="0.35">
      <c r="A1250" s="73">
        <f t="shared" si="592"/>
        <v>2019</v>
      </c>
      <c r="B1250" s="73" t="str">
        <f t="shared" si="593"/>
        <v>Nov</v>
      </c>
      <c r="C1250" s="74">
        <f t="shared" si="616"/>
        <v>17</v>
      </c>
      <c r="D1250" s="75">
        <f t="shared" si="594"/>
        <v>11</v>
      </c>
      <c r="E1250" s="76">
        <f t="shared" si="595"/>
        <v>59</v>
      </c>
      <c r="F1250" s="80">
        <v>48</v>
      </c>
      <c r="G1250" s="83"/>
      <c r="H1250" s="69" t="str">
        <f t="shared" si="617"/>
        <v>Senbur6_20191117_11_00</v>
      </c>
      <c r="I1250" s="70">
        <f t="shared" si="619"/>
        <v>1</v>
      </c>
      <c r="J1250" s="77" t="str">
        <f t="shared" si="619"/>
        <v>Senecio</v>
      </c>
      <c r="K1250" s="77" t="str">
        <f t="shared" si="619"/>
        <v>burtoni</v>
      </c>
      <c r="L1250" s="78">
        <f t="shared" si="619"/>
        <v>6</v>
      </c>
      <c r="M1250" s="78">
        <f t="shared" si="619"/>
        <v>12</v>
      </c>
      <c r="N1250" s="72">
        <f t="shared" si="619"/>
        <v>0</v>
      </c>
      <c r="O1250" s="45"/>
      <c r="P1250" s="46">
        <f t="shared" si="596"/>
        <v>1</v>
      </c>
      <c r="Q1250" s="47" t="str">
        <f t="shared" si="597"/>
        <v>11:59:48</v>
      </c>
      <c r="R1250" s="48" t="str">
        <f t="shared" si="598"/>
        <v>59:48</v>
      </c>
      <c r="S1250" s="49">
        <f t="shared" si="591"/>
        <v>16</v>
      </c>
      <c r="T1250" s="48">
        <v>12</v>
      </c>
      <c r="U1250" s="50">
        <v>0</v>
      </c>
      <c r="V1250" s="51">
        <v>4</v>
      </c>
      <c r="W1250" s="52" t="str">
        <f t="shared" si="600"/>
        <v>00:04</v>
      </c>
      <c r="X1250" s="53" t="s">
        <v>59</v>
      </c>
      <c r="Y1250" s="97" t="s">
        <v>84</v>
      </c>
      <c r="Z1250" s="97" t="s">
        <v>80</v>
      </c>
      <c r="AA1250" s="48" t="s">
        <v>60</v>
      </c>
      <c r="AB1250" s="48" t="str">
        <f t="shared" si="601"/>
        <v>NA</v>
      </c>
      <c r="AC1250" s="54">
        <f t="shared" si="602"/>
        <v>0</v>
      </c>
      <c r="AD1250" s="55">
        <f t="shared" si="603"/>
        <v>1</v>
      </c>
      <c r="AE1250" s="55"/>
      <c r="AF1250" s="55"/>
      <c r="AG1250" s="56" t="str">
        <f t="shared" si="604"/>
        <v/>
      </c>
      <c r="AH1250" s="57" t="str">
        <f t="shared" si="605"/>
        <v/>
      </c>
      <c r="AI1250" s="56"/>
      <c r="AJ1250" s="57" t="str">
        <f t="shared" si="606"/>
        <v/>
      </c>
      <c r="AK1250" s="56">
        <v>1</v>
      </c>
      <c r="AL1250" s="57">
        <f t="shared" si="607"/>
        <v>16</v>
      </c>
      <c r="AM1250" s="56"/>
      <c r="AN1250" s="57" t="str">
        <f t="shared" si="608"/>
        <v/>
      </c>
      <c r="AO1250" s="56"/>
      <c r="AP1250" s="57" t="str">
        <f t="shared" si="609"/>
        <v/>
      </c>
      <c r="AQ1250" s="56"/>
      <c r="AR1250" s="57" t="str">
        <f t="shared" si="610"/>
        <v/>
      </c>
      <c r="AS1250" s="56"/>
      <c r="AT1250" s="57" t="str">
        <f t="shared" si="611"/>
        <v/>
      </c>
      <c r="AU1250" s="58"/>
      <c r="AV1250" s="59"/>
      <c r="AW1250" s="59"/>
      <c r="AX1250" s="60"/>
      <c r="AY1250" s="61">
        <v>1</v>
      </c>
      <c r="AZ1250" s="62">
        <f t="shared" si="613"/>
        <v>1</v>
      </c>
      <c r="BA1250" s="61">
        <f t="shared" si="614"/>
        <v>0</v>
      </c>
      <c r="BB1250" s="62" t="str">
        <f t="shared" si="615"/>
        <v/>
      </c>
    </row>
    <row r="1251" spans="1:54" s="3" customFormat="1" hidden="1" x14ac:dyDescent="0.35">
      <c r="A1251" s="73">
        <f t="shared" si="592"/>
        <v>2019</v>
      </c>
      <c r="B1251" s="73" t="str">
        <f t="shared" si="593"/>
        <v>Nov</v>
      </c>
      <c r="C1251" s="74">
        <f t="shared" si="616"/>
        <v>17</v>
      </c>
      <c r="D1251" s="75">
        <f t="shared" si="594"/>
        <v>12</v>
      </c>
      <c r="E1251" s="76">
        <f t="shared" si="595"/>
        <v>0</v>
      </c>
      <c r="F1251" s="80"/>
      <c r="G1251" s="83"/>
      <c r="H1251" s="69" t="str">
        <f t="shared" si="617"/>
        <v>Senbur6_20191117_12_00</v>
      </c>
      <c r="I1251" s="70">
        <f t="shared" si="619"/>
        <v>1</v>
      </c>
      <c r="J1251" s="77" t="str">
        <f t="shared" si="619"/>
        <v>Senecio</v>
      </c>
      <c r="K1251" s="77" t="str">
        <f t="shared" si="619"/>
        <v>burtoni</v>
      </c>
      <c r="L1251" s="78">
        <f t="shared" si="619"/>
        <v>6</v>
      </c>
      <c r="M1251" s="78">
        <f t="shared" si="619"/>
        <v>12</v>
      </c>
      <c r="N1251" s="72">
        <f t="shared" si="619"/>
        <v>0</v>
      </c>
      <c r="O1251" s="45"/>
      <c r="P1251" s="46" t="str">
        <f t="shared" si="596"/>
        <v/>
      </c>
      <c r="Q1251" s="47" t="str">
        <f t="shared" si="597"/>
        <v/>
      </c>
      <c r="R1251" s="48" t="e">
        <f t="shared" si="598"/>
        <v>#VALUE!</v>
      </c>
      <c r="S1251" s="49" t="e">
        <f t="shared" si="591"/>
        <v>#VALUE!</v>
      </c>
      <c r="T1251" s="48" t="str">
        <f t="shared" si="599"/>
        <v/>
      </c>
      <c r="U1251" s="50"/>
      <c r="V1251" s="51"/>
      <c r="W1251" s="52" t="e">
        <f t="shared" si="600"/>
        <v>#VALUE!</v>
      </c>
      <c r="X1251" s="53"/>
      <c r="Y1251" s="53"/>
      <c r="Z1251" s="53"/>
      <c r="AA1251" s="48" t="e">
        <f>INDEX([1]!VISITORS[INSECT ORDER], MATCH(X1251,[1]!VISITORS[NAME USED],0))</f>
        <v>#REF!</v>
      </c>
      <c r="AB1251" s="48" t="e">
        <f t="shared" si="601"/>
        <v>#REF!</v>
      </c>
      <c r="AC1251" s="54" t="e">
        <f t="shared" si="602"/>
        <v>#VALUE!</v>
      </c>
      <c r="AD1251" s="55" t="str">
        <f t="shared" si="603"/>
        <v/>
      </c>
      <c r="AE1251" s="55"/>
      <c r="AF1251" s="55"/>
      <c r="AG1251" s="56" t="str">
        <f t="shared" si="604"/>
        <v/>
      </c>
      <c r="AH1251" s="57" t="str">
        <f t="shared" si="605"/>
        <v/>
      </c>
      <c r="AI1251" s="56"/>
      <c r="AJ1251" s="57" t="str">
        <f t="shared" si="606"/>
        <v/>
      </c>
      <c r="AK1251" s="56"/>
      <c r="AL1251" s="57" t="str">
        <f t="shared" si="607"/>
        <v/>
      </c>
      <c r="AM1251" s="56"/>
      <c r="AN1251" s="57" t="str">
        <f t="shared" si="608"/>
        <v/>
      </c>
      <c r="AO1251" s="56"/>
      <c r="AP1251" s="57" t="str">
        <f t="shared" si="609"/>
        <v/>
      </c>
      <c r="AQ1251" s="56"/>
      <c r="AR1251" s="57" t="str">
        <f t="shared" si="610"/>
        <v/>
      </c>
      <c r="AS1251" s="56"/>
      <c r="AT1251" s="57" t="str">
        <f t="shared" si="611"/>
        <v/>
      </c>
      <c r="AU1251" s="58"/>
      <c r="AV1251" s="59"/>
      <c r="AW1251" s="59"/>
      <c r="AX1251" s="60"/>
      <c r="AY1251" s="61" t="str">
        <f t="shared" si="612"/>
        <v/>
      </c>
      <c r="AZ1251" s="62" t="str">
        <f t="shared" si="613"/>
        <v/>
      </c>
      <c r="BA1251" s="61" t="str">
        <f t="shared" si="614"/>
        <v/>
      </c>
      <c r="BB1251" s="62" t="str">
        <f t="shared" si="615"/>
        <v/>
      </c>
    </row>
    <row r="1252" spans="1:54" s="3" customFormat="1" hidden="1" x14ac:dyDescent="0.35">
      <c r="A1252" s="73">
        <f t="shared" si="592"/>
        <v>2019</v>
      </c>
      <c r="B1252" s="73" t="str">
        <f t="shared" si="593"/>
        <v>Nov</v>
      </c>
      <c r="C1252" s="74">
        <f t="shared" si="616"/>
        <v>17</v>
      </c>
      <c r="D1252" s="75">
        <f t="shared" si="594"/>
        <v>12</v>
      </c>
      <c r="E1252" s="76">
        <f t="shared" si="595"/>
        <v>1</v>
      </c>
      <c r="F1252" s="80"/>
      <c r="G1252" s="83"/>
      <c r="H1252" s="69" t="str">
        <f t="shared" si="617"/>
        <v>Senbur6_20191117_12_00</v>
      </c>
      <c r="I1252" s="70">
        <f t="shared" si="619"/>
        <v>1</v>
      </c>
      <c r="J1252" s="77" t="str">
        <f t="shared" si="619"/>
        <v>Senecio</v>
      </c>
      <c r="K1252" s="77" t="str">
        <f t="shared" si="619"/>
        <v>burtoni</v>
      </c>
      <c r="L1252" s="78">
        <f t="shared" si="619"/>
        <v>6</v>
      </c>
      <c r="M1252" s="78">
        <f t="shared" si="619"/>
        <v>12</v>
      </c>
      <c r="N1252" s="72">
        <f t="shared" si="619"/>
        <v>0</v>
      </c>
      <c r="O1252" s="45"/>
      <c r="P1252" s="46" t="str">
        <f t="shared" si="596"/>
        <v/>
      </c>
      <c r="Q1252" s="47" t="str">
        <f t="shared" si="597"/>
        <v/>
      </c>
      <c r="R1252" s="48" t="e">
        <f t="shared" si="598"/>
        <v>#VALUE!</v>
      </c>
      <c r="S1252" s="49" t="e">
        <f t="shared" si="591"/>
        <v>#VALUE!</v>
      </c>
      <c r="T1252" s="48" t="str">
        <f t="shared" si="599"/>
        <v/>
      </c>
      <c r="U1252" s="50"/>
      <c r="V1252" s="51"/>
      <c r="W1252" s="52" t="e">
        <f t="shared" si="600"/>
        <v>#VALUE!</v>
      </c>
      <c r="X1252" s="53"/>
      <c r="Y1252" s="53"/>
      <c r="Z1252" s="53"/>
      <c r="AA1252" s="48" t="e">
        <f>INDEX([1]!VISITORS[INSECT ORDER], MATCH(X1252,[1]!VISITORS[NAME USED],0))</f>
        <v>#REF!</v>
      </c>
      <c r="AB1252" s="48" t="e">
        <f t="shared" si="601"/>
        <v>#REF!</v>
      </c>
      <c r="AC1252" s="54" t="e">
        <f t="shared" si="602"/>
        <v>#VALUE!</v>
      </c>
      <c r="AD1252" s="55" t="str">
        <f t="shared" si="603"/>
        <v/>
      </c>
      <c r="AE1252" s="55"/>
      <c r="AF1252" s="55"/>
      <c r="AG1252" s="56" t="str">
        <f t="shared" si="604"/>
        <v/>
      </c>
      <c r="AH1252" s="57" t="str">
        <f t="shared" si="605"/>
        <v/>
      </c>
      <c r="AI1252" s="56"/>
      <c r="AJ1252" s="57" t="str">
        <f t="shared" si="606"/>
        <v/>
      </c>
      <c r="AK1252" s="56"/>
      <c r="AL1252" s="57" t="str">
        <f t="shared" si="607"/>
        <v/>
      </c>
      <c r="AM1252" s="56"/>
      <c r="AN1252" s="57" t="str">
        <f t="shared" si="608"/>
        <v/>
      </c>
      <c r="AO1252" s="56"/>
      <c r="AP1252" s="57" t="str">
        <f t="shared" si="609"/>
        <v/>
      </c>
      <c r="AQ1252" s="56"/>
      <c r="AR1252" s="57" t="str">
        <f t="shared" si="610"/>
        <v/>
      </c>
      <c r="AS1252" s="56"/>
      <c r="AT1252" s="57" t="str">
        <f t="shared" si="611"/>
        <v/>
      </c>
      <c r="AU1252" s="58"/>
      <c r="AV1252" s="59"/>
      <c r="AW1252" s="59"/>
      <c r="AX1252" s="60"/>
      <c r="AY1252" s="61" t="str">
        <f t="shared" si="612"/>
        <v/>
      </c>
      <c r="AZ1252" s="62" t="str">
        <f t="shared" si="613"/>
        <v/>
      </c>
      <c r="BA1252" s="61" t="str">
        <f t="shared" si="614"/>
        <v/>
      </c>
      <c r="BB1252" s="62" t="str">
        <f t="shared" si="615"/>
        <v/>
      </c>
    </row>
    <row r="1253" spans="1:54" s="3" customFormat="1" hidden="1" x14ac:dyDescent="0.35">
      <c r="A1253" s="73">
        <f t="shared" si="592"/>
        <v>2019</v>
      </c>
      <c r="B1253" s="73" t="str">
        <f t="shared" si="593"/>
        <v>Nov</v>
      </c>
      <c r="C1253" s="74">
        <f t="shared" si="616"/>
        <v>17</v>
      </c>
      <c r="D1253" s="75">
        <f t="shared" si="594"/>
        <v>12</v>
      </c>
      <c r="E1253" s="76">
        <f t="shared" si="595"/>
        <v>2</v>
      </c>
      <c r="F1253" s="80">
        <v>36</v>
      </c>
      <c r="G1253" s="83"/>
      <c r="H1253" s="69" t="str">
        <f t="shared" si="617"/>
        <v>Senbur6_20191117_12_00</v>
      </c>
      <c r="I1253" s="70">
        <f t="shared" ref="I1253:N1268" si="620">I1252</f>
        <v>1</v>
      </c>
      <c r="J1253" s="77" t="str">
        <f t="shared" si="620"/>
        <v>Senecio</v>
      </c>
      <c r="K1253" s="77" t="str">
        <f t="shared" si="620"/>
        <v>burtoni</v>
      </c>
      <c r="L1253" s="78">
        <f t="shared" si="620"/>
        <v>6</v>
      </c>
      <c r="M1253" s="78">
        <f t="shared" si="620"/>
        <v>12</v>
      </c>
      <c r="N1253" s="72">
        <f t="shared" si="620"/>
        <v>0</v>
      </c>
      <c r="O1253" s="45"/>
      <c r="P1253" s="46">
        <f t="shared" si="596"/>
        <v>1</v>
      </c>
      <c r="Q1253" s="47" t="str">
        <f t="shared" si="597"/>
        <v>12:02:36</v>
      </c>
      <c r="R1253" s="48" t="str">
        <f t="shared" si="598"/>
        <v>02:36</v>
      </c>
      <c r="S1253" s="49">
        <f t="shared" si="591"/>
        <v>60</v>
      </c>
      <c r="T1253" s="48" t="str">
        <f t="shared" si="599"/>
        <v>12</v>
      </c>
      <c r="U1253" s="50">
        <v>3</v>
      </c>
      <c r="V1253" s="51">
        <v>36</v>
      </c>
      <c r="W1253" s="52" t="str">
        <f t="shared" si="600"/>
        <v>03:36</v>
      </c>
      <c r="X1253" s="53" t="s">
        <v>73</v>
      </c>
      <c r="Y1253" s="97" t="s">
        <v>89</v>
      </c>
      <c r="Z1253" s="97" t="s">
        <v>80</v>
      </c>
      <c r="AA1253" s="48" t="s">
        <v>63</v>
      </c>
      <c r="AB1253" s="48" t="str">
        <f t="shared" si="601"/>
        <v>NA</v>
      </c>
      <c r="AC1253" s="54">
        <f t="shared" si="602"/>
        <v>0</v>
      </c>
      <c r="AD1253" s="55">
        <v>3</v>
      </c>
      <c r="AE1253" s="55"/>
      <c r="AF1253" s="55"/>
      <c r="AG1253" s="56">
        <v>1</v>
      </c>
      <c r="AH1253" s="57">
        <v>6</v>
      </c>
      <c r="AI1253" s="56"/>
      <c r="AJ1253" s="57" t="str">
        <f t="shared" si="606"/>
        <v/>
      </c>
      <c r="AK1253" s="56">
        <v>1</v>
      </c>
      <c r="AL1253" s="57">
        <v>54</v>
      </c>
      <c r="AM1253" s="56"/>
      <c r="AN1253" s="57" t="str">
        <f t="shared" si="608"/>
        <v/>
      </c>
      <c r="AO1253" s="56"/>
      <c r="AP1253" s="57" t="str">
        <f t="shared" si="609"/>
        <v/>
      </c>
      <c r="AQ1253" s="56"/>
      <c r="AR1253" s="57" t="str">
        <f t="shared" si="610"/>
        <v/>
      </c>
      <c r="AS1253" s="56"/>
      <c r="AT1253" s="57" t="str">
        <f t="shared" si="611"/>
        <v/>
      </c>
      <c r="AU1253" s="58"/>
      <c r="AV1253" s="59"/>
      <c r="AW1253" s="59"/>
      <c r="AX1253" s="60"/>
      <c r="AY1253" s="61">
        <v>1</v>
      </c>
      <c r="AZ1253" s="62">
        <f t="shared" si="613"/>
        <v>3</v>
      </c>
      <c r="BA1253" s="61">
        <f t="shared" si="614"/>
        <v>0</v>
      </c>
      <c r="BB1253" s="62" t="str">
        <f t="shared" si="615"/>
        <v/>
      </c>
    </row>
    <row r="1254" spans="1:54" s="3" customFormat="1" hidden="1" x14ac:dyDescent="0.35">
      <c r="A1254" s="73">
        <f t="shared" si="592"/>
        <v>2019</v>
      </c>
      <c r="B1254" s="73" t="str">
        <f t="shared" si="593"/>
        <v>Nov</v>
      </c>
      <c r="C1254" s="74">
        <f t="shared" si="616"/>
        <v>17</v>
      </c>
      <c r="D1254" s="75">
        <f t="shared" si="594"/>
        <v>12</v>
      </c>
      <c r="E1254" s="76">
        <f t="shared" si="595"/>
        <v>3</v>
      </c>
      <c r="F1254" s="80">
        <v>6</v>
      </c>
      <c r="G1254" s="83"/>
      <c r="H1254" s="69" t="str">
        <f t="shared" si="617"/>
        <v>Senbur6_20191117_12_00</v>
      </c>
      <c r="I1254" s="70">
        <f t="shared" si="620"/>
        <v>1</v>
      </c>
      <c r="J1254" s="77" t="str">
        <f t="shared" si="620"/>
        <v>Senecio</v>
      </c>
      <c r="K1254" s="77" t="str">
        <f t="shared" si="620"/>
        <v>burtoni</v>
      </c>
      <c r="L1254" s="78">
        <f t="shared" si="620"/>
        <v>6</v>
      </c>
      <c r="M1254" s="78">
        <f t="shared" si="620"/>
        <v>12</v>
      </c>
      <c r="N1254" s="72">
        <f t="shared" si="620"/>
        <v>0</v>
      </c>
      <c r="O1254" s="45"/>
      <c r="P1254" s="46">
        <f t="shared" si="596"/>
        <v>1</v>
      </c>
      <c r="Q1254" s="47" t="str">
        <f t="shared" si="597"/>
        <v>12:03:06</v>
      </c>
      <c r="R1254" s="48" t="str">
        <f t="shared" si="598"/>
        <v>03:06</v>
      </c>
      <c r="S1254" s="49">
        <f t="shared" si="591"/>
        <v>27</v>
      </c>
      <c r="T1254" s="48" t="str">
        <f t="shared" si="599"/>
        <v>12</v>
      </c>
      <c r="U1254" s="50">
        <v>3</v>
      </c>
      <c r="V1254" s="51">
        <v>33</v>
      </c>
      <c r="W1254" s="52" t="str">
        <f t="shared" si="600"/>
        <v>03:33</v>
      </c>
      <c r="X1254" s="53" t="s">
        <v>59</v>
      </c>
      <c r="Y1254" s="97" t="s">
        <v>84</v>
      </c>
      <c r="Z1254" s="97" t="s">
        <v>80</v>
      </c>
      <c r="AA1254" s="48" t="s">
        <v>60</v>
      </c>
      <c r="AB1254" s="48" t="str">
        <f t="shared" si="601"/>
        <v>NA</v>
      </c>
      <c r="AC1254" s="54">
        <f t="shared" si="602"/>
        <v>0</v>
      </c>
      <c r="AD1254" s="55">
        <f t="shared" si="603"/>
        <v>1</v>
      </c>
      <c r="AE1254" s="55"/>
      <c r="AF1254" s="55"/>
      <c r="AG1254" s="56">
        <v>1</v>
      </c>
      <c r="AH1254" s="57">
        <v>2</v>
      </c>
      <c r="AI1254" s="56"/>
      <c r="AJ1254" s="57" t="str">
        <f t="shared" si="606"/>
        <v/>
      </c>
      <c r="AK1254" s="56">
        <v>1</v>
      </c>
      <c r="AL1254" s="57">
        <v>25</v>
      </c>
      <c r="AM1254" s="56"/>
      <c r="AN1254" s="57" t="str">
        <f t="shared" si="608"/>
        <v/>
      </c>
      <c r="AO1254" s="56"/>
      <c r="AP1254" s="57" t="str">
        <f t="shared" si="609"/>
        <v/>
      </c>
      <c r="AQ1254" s="56"/>
      <c r="AR1254" s="57" t="str">
        <f t="shared" si="610"/>
        <v/>
      </c>
      <c r="AS1254" s="56"/>
      <c r="AT1254" s="57" t="str">
        <f t="shared" si="611"/>
        <v/>
      </c>
      <c r="AU1254" s="58"/>
      <c r="AV1254" s="59"/>
      <c r="AW1254" s="59"/>
      <c r="AX1254" s="60"/>
      <c r="AY1254" s="61">
        <v>1</v>
      </c>
      <c r="AZ1254" s="62">
        <f t="shared" si="613"/>
        <v>1</v>
      </c>
      <c r="BA1254" s="61">
        <f t="shared" si="614"/>
        <v>0</v>
      </c>
      <c r="BB1254" s="62" t="str">
        <f t="shared" si="615"/>
        <v/>
      </c>
    </row>
    <row r="1255" spans="1:54" s="3" customFormat="1" hidden="1" x14ac:dyDescent="0.35">
      <c r="A1255" s="73">
        <f t="shared" si="592"/>
        <v>2019</v>
      </c>
      <c r="B1255" s="73" t="str">
        <f t="shared" si="593"/>
        <v>Nov</v>
      </c>
      <c r="C1255" s="74">
        <f t="shared" si="616"/>
        <v>17</v>
      </c>
      <c r="D1255" s="75">
        <f t="shared" si="594"/>
        <v>12</v>
      </c>
      <c r="E1255" s="76">
        <f t="shared" si="595"/>
        <v>4</v>
      </c>
      <c r="F1255" s="80"/>
      <c r="G1255" s="83"/>
      <c r="H1255" s="69" t="str">
        <f t="shared" si="617"/>
        <v>Senbur6_20191117_12_00</v>
      </c>
      <c r="I1255" s="70">
        <f t="shared" si="620"/>
        <v>1</v>
      </c>
      <c r="J1255" s="77" t="str">
        <f t="shared" si="620"/>
        <v>Senecio</v>
      </c>
      <c r="K1255" s="77" t="str">
        <f t="shared" si="620"/>
        <v>burtoni</v>
      </c>
      <c r="L1255" s="78">
        <f t="shared" si="620"/>
        <v>6</v>
      </c>
      <c r="M1255" s="78">
        <f t="shared" si="620"/>
        <v>12</v>
      </c>
      <c r="N1255" s="72">
        <f t="shared" si="620"/>
        <v>0</v>
      </c>
      <c r="O1255" s="45"/>
      <c r="P1255" s="46" t="str">
        <f t="shared" si="596"/>
        <v/>
      </c>
      <c r="Q1255" s="47" t="str">
        <f t="shared" si="597"/>
        <v/>
      </c>
      <c r="R1255" s="48" t="e">
        <f t="shared" si="598"/>
        <v>#VALUE!</v>
      </c>
      <c r="S1255" s="49" t="e">
        <f t="shared" si="591"/>
        <v>#VALUE!</v>
      </c>
      <c r="T1255" s="48" t="str">
        <f t="shared" si="599"/>
        <v/>
      </c>
      <c r="U1255" s="50"/>
      <c r="V1255" s="51"/>
      <c r="W1255" s="52" t="e">
        <f t="shared" si="600"/>
        <v>#VALUE!</v>
      </c>
      <c r="X1255" s="53"/>
      <c r="Y1255" s="53"/>
      <c r="Z1255" s="53"/>
      <c r="AA1255" s="48" t="e">
        <f>INDEX([1]!VISITORS[INSECT ORDER], MATCH(X1255,[1]!VISITORS[NAME USED],0))</f>
        <v>#REF!</v>
      </c>
      <c r="AB1255" s="48" t="e">
        <f t="shared" si="601"/>
        <v>#REF!</v>
      </c>
      <c r="AC1255" s="54" t="e">
        <f t="shared" si="602"/>
        <v>#VALUE!</v>
      </c>
      <c r="AD1255" s="55" t="str">
        <f t="shared" si="603"/>
        <v/>
      </c>
      <c r="AE1255" s="55"/>
      <c r="AF1255" s="55"/>
      <c r="AG1255" s="56" t="str">
        <f t="shared" si="604"/>
        <v/>
      </c>
      <c r="AH1255" s="57" t="str">
        <f t="shared" si="605"/>
        <v/>
      </c>
      <c r="AI1255" s="56"/>
      <c r="AJ1255" s="57" t="str">
        <f t="shared" si="606"/>
        <v/>
      </c>
      <c r="AK1255" s="56"/>
      <c r="AL1255" s="57" t="str">
        <f t="shared" si="607"/>
        <v/>
      </c>
      <c r="AM1255" s="56"/>
      <c r="AN1255" s="57" t="str">
        <f t="shared" si="608"/>
        <v/>
      </c>
      <c r="AO1255" s="56"/>
      <c r="AP1255" s="57" t="str">
        <f t="shared" si="609"/>
        <v/>
      </c>
      <c r="AQ1255" s="56"/>
      <c r="AR1255" s="57" t="str">
        <f t="shared" si="610"/>
        <v/>
      </c>
      <c r="AS1255" s="56"/>
      <c r="AT1255" s="57" t="str">
        <f t="shared" si="611"/>
        <v/>
      </c>
      <c r="AU1255" s="58"/>
      <c r="AV1255" s="59"/>
      <c r="AW1255" s="59"/>
      <c r="AX1255" s="60"/>
      <c r="AY1255" s="61" t="str">
        <f t="shared" si="612"/>
        <v/>
      </c>
      <c r="AZ1255" s="62" t="str">
        <f t="shared" si="613"/>
        <v/>
      </c>
      <c r="BA1255" s="61" t="str">
        <f t="shared" si="614"/>
        <v/>
      </c>
      <c r="BB1255" s="62" t="str">
        <f t="shared" si="615"/>
        <v/>
      </c>
    </row>
    <row r="1256" spans="1:54" s="3" customFormat="1" hidden="1" x14ac:dyDescent="0.35">
      <c r="A1256" s="73">
        <f t="shared" si="592"/>
        <v>2019</v>
      </c>
      <c r="B1256" s="73" t="str">
        <f t="shared" si="593"/>
        <v>Nov</v>
      </c>
      <c r="C1256" s="74">
        <f t="shared" si="616"/>
        <v>17</v>
      </c>
      <c r="D1256" s="75">
        <f t="shared" si="594"/>
        <v>12</v>
      </c>
      <c r="E1256" s="76">
        <f t="shared" si="595"/>
        <v>5</v>
      </c>
      <c r="F1256" s="80"/>
      <c r="G1256" s="83"/>
      <c r="H1256" s="69" t="str">
        <f t="shared" si="617"/>
        <v>Senbur6_20191117_12_00</v>
      </c>
      <c r="I1256" s="70">
        <f t="shared" si="620"/>
        <v>1</v>
      </c>
      <c r="J1256" s="77" t="str">
        <f t="shared" si="620"/>
        <v>Senecio</v>
      </c>
      <c r="K1256" s="77" t="str">
        <f t="shared" si="620"/>
        <v>burtoni</v>
      </c>
      <c r="L1256" s="78">
        <f t="shared" si="620"/>
        <v>6</v>
      </c>
      <c r="M1256" s="78">
        <f t="shared" si="620"/>
        <v>12</v>
      </c>
      <c r="N1256" s="72">
        <f t="shared" si="620"/>
        <v>0</v>
      </c>
      <c r="O1256" s="45"/>
      <c r="P1256" s="46" t="str">
        <f t="shared" si="596"/>
        <v/>
      </c>
      <c r="Q1256" s="47" t="str">
        <f t="shared" si="597"/>
        <v/>
      </c>
      <c r="R1256" s="48" t="e">
        <f t="shared" si="598"/>
        <v>#VALUE!</v>
      </c>
      <c r="S1256" s="49" t="e">
        <f t="shared" si="591"/>
        <v>#VALUE!</v>
      </c>
      <c r="T1256" s="48" t="str">
        <f t="shared" si="599"/>
        <v/>
      </c>
      <c r="U1256" s="50"/>
      <c r="V1256" s="51"/>
      <c r="W1256" s="52" t="e">
        <f t="shared" si="600"/>
        <v>#VALUE!</v>
      </c>
      <c r="X1256" s="53"/>
      <c r="Y1256" s="53"/>
      <c r="Z1256" s="53"/>
      <c r="AA1256" s="48" t="e">
        <f>INDEX([1]!VISITORS[INSECT ORDER], MATCH(X1256,[1]!VISITORS[NAME USED],0))</f>
        <v>#REF!</v>
      </c>
      <c r="AB1256" s="48" t="e">
        <f t="shared" si="601"/>
        <v>#REF!</v>
      </c>
      <c r="AC1256" s="54" t="e">
        <f t="shared" si="602"/>
        <v>#VALUE!</v>
      </c>
      <c r="AD1256" s="55" t="str">
        <f t="shared" si="603"/>
        <v/>
      </c>
      <c r="AE1256" s="55"/>
      <c r="AF1256" s="55"/>
      <c r="AG1256" s="56" t="str">
        <f t="shared" si="604"/>
        <v/>
      </c>
      <c r="AH1256" s="57" t="str">
        <f t="shared" si="605"/>
        <v/>
      </c>
      <c r="AI1256" s="56"/>
      <c r="AJ1256" s="57" t="str">
        <f t="shared" si="606"/>
        <v/>
      </c>
      <c r="AK1256" s="56"/>
      <c r="AL1256" s="57" t="str">
        <f t="shared" si="607"/>
        <v/>
      </c>
      <c r="AM1256" s="56"/>
      <c r="AN1256" s="57" t="str">
        <f t="shared" si="608"/>
        <v/>
      </c>
      <c r="AO1256" s="56"/>
      <c r="AP1256" s="57" t="str">
        <f t="shared" si="609"/>
        <v/>
      </c>
      <c r="AQ1256" s="56"/>
      <c r="AR1256" s="57" t="str">
        <f t="shared" si="610"/>
        <v/>
      </c>
      <c r="AS1256" s="56"/>
      <c r="AT1256" s="57" t="str">
        <f t="shared" si="611"/>
        <v/>
      </c>
      <c r="AU1256" s="58"/>
      <c r="AV1256" s="59"/>
      <c r="AW1256" s="59"/>
      <c r="AX1256" s="60"/>
      <c r="AY1256" s="61" t="str">
        <f t="shared" si="612"/>
        <v/>
      </c>
      <c r="AZ1256" s="62" t="str">
        <f t="shared" si="613"/>
        <v/>
      </c>
      <c r="BA1256" s="61" t="str">
        <f t="shared" si="614"/>
        <v/>
      </c>
      <c r="BB1256" s="62" t="str">
        <f t="shared" si="615"/>
        <v/>
      </c>
    </row>
    <row r="1257" spans="1:54" s="3" customFormat="1" hidden="1" x14ac:dyDescent="0.35">
      <c r="A1257" s="73">
        <f t="shared" si="592"/>
        <v>2019</v>
      </c>
      <c r="B1257" s="73" t="str">
        <f t="shared" si="593"/>
        <v>Nov</v>
      </c>
      <c r="C1257" s="74">
        <f t="shared" si="616"/>
        <v>17</v>
      </c>
      <c r="D1257" s="75">
        <f t="shared" si="594"/>
        <v>12</v>
      </c>
      <c r="E1257" s="76">
        <f t="shared" si="595"/>
        <v>6</v>
      </c>
      <c r="F1257" s="80"/>
      <c r="G1257" s="83"/>
      <c r="H1257" s="69" t="str">
        <f t="shared" si="617"/>
        <v>Senbur6_20191117_12_00</v>
      </c>
      <c r="I1257" s="70">
        <f t="shared" si="620"/>
        <v>1</v>
      </c>
      <c r="J1257" s="77" t="str">
        <f t="shared" si="620"/>
        <v>Senecio</v>
      </c>
      <c r="K1257" s="77" t="str">
        <f t="shared" si="620"/>
        <v>burtoni</v>
      </c>
      <c r="L1257" s="78">
        <f t="shared" si="620"/>
        <v>6</v>
      </c>
      <c r="M1257" s="78">
        <f t="shared" si="620"/>
        <v>12</v>
      </c>
      <c r="N1257" s="72">
        <f t="shared" si="620"/>
        <v>0</v>
      </c>
      <c r="O1257" s="45"/>
      <c r="P1257" s="46" t="str">
        <f t="shared" si="596"/>
        <v/>
      </c>
      <c r="Q1257" s="47" t="str">
        <f t="shared" si="597"/>
        <v/>
      </c>
      <c r="R1257" s="48" t="e">
        <f t="shared" si="598"/>
        <v>#VALUE!</v>
      </c>
      <c r="S1257" s="49" t="e">
        <f t="shared" si="591"/>
        <v>#VALUE!</v>
      </c>
      <c r="T1257" s="48" t="str">
        <f t="shared" si="599"/>
        <v/>
      </c>
      <c r="U1257" s="50"/>
      <c r="V1257" s="51"/>
      <c r="W1257" s="52" t="e">
        <f t="shared" si="600"/>
        <v>#VALUE!</v>
      </c>
      <c r="X1257" s="53"/>
      <c r="Y1257" s="53"/>
      <c r="Z1257" s="53"/>
      <c r="AA1257" s="48" t="e">
        <f>INDEX([1]!VISITORS[INSECT ORDER], MATCH(X1257,[1]!VISITORS[NAME USED],0))</f>
        <v>#REF!</v>
      </c>
      <c r="AB1257" s="48" t="e">
        <f t="shared" si="601"/>
        <v>#REF!</v>
      </c>
      <c r="AC1257" s="54" t="e">
        <f t="shared" si="602"/>
        <v>#VALUE!</v>
      </c>
      <c r="AD1257" s="55" t="str">
        <f t="shared" si="603"/>
        <v/>
      </c>
      <c r="AE1257" s="55"/>
      <c r="AF1257" s="55"/>
      <c r="AG1257" s="56" t="str">
        <f t="shared" si="604"/>
        <v/>
      </c>
      <c r="AH1257" s="57" t="str">
        <f t="shared" si="605"/>
        <v/>
      </c>
      <c r="AI1257" s="56"/>
      <c r="AJ1257" s="57" t="str">
        <f t="shared" si="606"/>
        <v/>
      </c>
      <c r="AK1257" s="56"/>
      <c r="AL1257" s="57" t="str">
        <f t="shared" si="607"/>
        <v/>
      </c>
      <c r="AM1257" s="56"/>
      <c r="AN1257" s="57" t="str">
        <f t="shared" si="608"/>
        <v/>
      </c>
      <c r="AO1257" s="56"/>
      <c r="AP1257" s="57" t="str">
        <f t="shared" si="609"/>
        <v/>
      </c>
      <c r="AQ1257" s="56"/>
      <c r="AR1257" s="57" t="str">
        <f t="shared" si="610"/>
        <v/>
      </c>
      <c r="AS1257" s="56"/>
      <c r="AT1257" s="57" t="str">
        <f t="shared" si="611"/>
        <v/>
      </c>
      <c r="AU1257" s="58"/>
      <c r="AV1257" s="59"/>
      <c r="AW1257" s="59"/>
      <c r="AX1257" s="60"/>
      <c r="AY1257" s="61" t="str">
        <f t="shared" si="612"/>
        <v/>
      </c>
      <c r="AZ1257" s="62" t="str">
        <f t="shared" si="613"/>
        <v/>
      </c>
      <c r="BA1257" s="61" t="str">
        <f t="shared" si="614"/>
        <v/>
      </c>
      <c r="BB1257" s="62" t="str">
        <f t="shared" si="615"/>
        <v/>
      </c>
    </row>
    <row r="1258" spans="1:54" s="3" customFormat="1" hidden="1" x14ac:dyDescent="0.35">
      <c r="A1258" s="73">
        <f t="shared" si="592"/>
        <v>2019</v>
      </c>
      <c r="B1258" s="73" t="str">
        <f t="shared" si="593"/>
        <v>Nov</v>
      </c>
      <c r="C1258" s="74">
        <f t="shared" si="616"/>
        <v>17</v>
      </c>
      <c r="D1258" s="75">
        <f t="shared" si="594"/>
        <v>12</v>
      </c>
      <c r="E1258" s="76">
        <f t="shared" si="595"/>
        <v>7</v>
      </c>
      <c r="F1258" s="80"/>
      <c r="G1258" s="83"/>
      <c r="H1258" s="69" t="str">
        <f t="shared" si="617"/>
        <v>Senbur6_20191117_12_00</v>
      </c>
      <c r="I1258" s="70">
        <f t="shared" si="620"/>
        <v>1</v>
      </c>
      <c r="J1258" s="77" t="str">
        <f t="shared" si="620"/>
        <v>Senecio</v>
      </c>
      <c r="K1258" s="77" t="str">
        <f t="shared" si="620"/>
        <v>burtoni</v>
      </c>
      <c r="L1258" s="78">
        <f t="shared" si="620"/>
        <v>6</v>
      </c>
      <c r="M1258" s="78">
        <f t="shared" si="620"/>
        <v>12</v>
      </c>
      <c r="N1258" s="72">
        <f t="shared" si="620"/>
        <v>0</v>
      </c>
      <c r="O1258" s="45"/>
      <c r="P1258" s="46" t="str">
        <f t="shared" si="596"/>
        <v/>
      </c>
      <c r="Q1258" s="47" t="str">
        <f t="shared" si="597"/>
        <v/>
      </c>
      <c r="R1258" s="48" t="e">
        <f t="shared" si="598"/>
        <v>#VALUE!</v>
      </c>
      <c r="S1258" s="49" t="e">
        <f t="shared" si="591"/>
        <v>#VALUE!</v>
      </c>
      <c r="T1258" s="48" t="str">
        <f t="shared" si="599"/>
        <v/>
      </c>
      <c r="U1258" s="50"/>
      <c r="V1258" s="51"/>
      <c r="W1258" s="52" t="e">
        <f t="shared" si="600"/>
        <v>#VALUE!</v>
      </c>
      <c r="X1258" s="53"/>
      <c r="Y1258" s="53"/>
      <c r="Z1258" s="53"/>
      <c r="AA1258" s="48" t="e">
        <f>INDEX([1]!VISITORS[INSECT ORDER], MATCH(X1258,[1]!VISITORS[NAME USED],0))</f>
        <v>#REF!</v>
      </c>
      <c r="AB1258" s="48" t="e">
        <f t="shared" si="601"/>
        <v>#REF!</v>
      </c>
      <c r="AC1258" s="54" t="e">
        <f t="shared" si="602"/>
        <v>#VALUE!</v>
      </c>
      <c r="AD1258" s="55" t="str">
        <f t="shared" si="603"/>
        <v/>
      </c>
      <c r="AE1258" s="55"/>
      <c r="AF1258" s="55"/>
      <c r="AG1258" s="56" t="str">
        <f t="shared" si="604"/>
        <v/>
      </c>
      <c r="AH1258" s="57" t="str">
        <f t="shared" si="605"/>
        <v/>
      </c>
      <c r="AI1258" s="56"/>
      <c r="AJ1258" s="57" t="str">
        <f t="shared" si="606"/>
        <v/>
      </c>
      <c r="AK1258" s="56"/>
      <c r="AL1258" s="57" t="str">
        <f t="shared" si="607"/>
        <v/>
      </c>
      <c r="AM1258" s="56"/>
      <c r="AN1258" s="57" t="str">
        <f t="shared" si="608"/>
        <v/>
      </c>
      <c r="AO1258" s="56"/>
      <c r="AP1258" s="57" t="str">
        <f t="shared" si="609"/>
        <v/>
      </c>
      <c r="AQ1258" s="56"/>
      <c r="AR1258" s="57" t="str">
        <f t="shared" si="610"/>
        <v/>
      </c>
      <c r="AS1258" s="56"/>
      <c r="AT1258" s="57" t="str">
        <f t="shared" si="611"/>
        <v/>
      </c>
      <c r="AU1258" s="58"/>
      <c r="AV1258" s="59"/>
      <c r="AW1258" s="59"/>
      <c r="AX1258" s="60"/>
      <c r="AY1258" s="61" t="str">
        <f t="shared" si="612"/>
        <v/>
      </c>
      <c r="AZ1258" s="62" t="str">
        <f t="shared" si="613"/>
        <v/>
      </c>
      <c r="BA1258" s="61" t="str">
        <f t="shared" si="614"/>
        <v/>
      </c>
      <c r="BB1258" s="62" t="str">
        <f t="shared" si="615"/>
        <v/>
      </c>
    </row>
    <row r="1259" spans="1:54" s="3" customFormat="1" hidden="1" x14ac:dyDescent="0.35">
      <c r="A1259" s="73">
        <f t="shared" si="592"/>
        <v>2019</v>
      </c>
      <c r="B1259" s="73" t="str">
        <f t="shared" si="593"/>
        <v>Nov</v>
      </c>
      <c r="C1259" s="74">
        <f t="shared" si="616"/>
        <v>17</v>
      </c>
      <c r="D1259" s="75">
        <f t="shared" si="594"/>
        <v>12</v>
      </c>
      <c r="E1259" s="76">
        <f t="shared" si="595"/>
        <v>8</v>
      </c>
      <c r="F1259" s="80"/>
      <c r="G1259" s="83"/>
      <c r="H1259" s="69" t="str">
        <f t="shared" si="617"/>
        <v>Senbur6_20191117_12_00</v>
      </c>
      <c r="I1259" s="70">
        <f t="shared" si="620"/>
        <v>1</v>
      </c>
      <c r="J1259" s="77" t="str">
        <f t="shared" si="620"/>
        <v>Senecio</v>
      </c>
      <c r="K1259" s="77" t="str">
        <f t="shared" si="620"/>
        <v>burtoni</v>
      </c>
      <c r="L1259" s="78">
        <f t="shared" si="620"/>
        <v>6</v>
      </c>
      <c r="M1259" s="78">
        <f t="shared" si="620"/>
        <v>12</v>
      </c>
      <c r="N1259" s="72">
        <f t="shared" si="620"/>
        <v>0</v>
      </c>
      <c r="O1259" s="45"/>
      <c r="P1259" s="46" t="str">
        <f t="shared" si="596"/>
        <v/>
      </c>
      <c r="Q1259" s="47" t="str">
        <f t="shared" si="597"/>
        <v/>
      </c>
      <c r="R1259" s="48" t="e">
        <f t="shared" si="598"/>
        <v>#VALUE!</v>
      </c>
      <c r="S1259" s="49" t="e">
        <f t="shared" si="591"/>
        <v>#VALUE!</v>
      </c>
      <c r="T1259" s="48" t="str">
        <f t="shared" si="599"/>
        <v/>
      </c>
      <c r="U1259" s="50"/>
      <c r="V1259" s="51"/>
      <c r="W1259" s="52" t="e">
        <f t="shared" si="600"/>
        <v>#VALUE!</v>
      </c>
      <c r="X1259" s="53"/>
      <c r="Y1259" s="53"/>
      <c r="Z1259" s="53"/>
      <c r="AA1259" s="48" t="e">
        <f>INDEX([1]!VISITORS[INSECT ORDER], MATCH(X1259,[1]!VISITORS[NAME USED],0))</f>
        <v>#REF!</v>
      </c>
      <c r="AB1259" s="48" t="e">
        <f t="shared" si="601"/>
        <v>#REF!</v>
      </c>
      <c r="AC1259" s="54" t="e">
        <f t="shared" si="602"/>
        <v>#VALUE!</v>
      </c>
      <c r="AD1259" s="55" t="str">
        <f t="shared" si="603"/>
        <v/>
      </c>
      <c r="AE1259" s="55"/>
      <c r="AF1259" s="55"/>
      <c r="AG1259" s="56" t="str">
        <f t="shared" si="604"/>
        <v/>
      </c>
      <c r="AH1259" s="57" t="str">
        <f t="shared" si="605"/>
        <v/>
      </c>
      <c r="AI1259" s="56"/>
      <c r="AJ1259" s="57" t="str">
        <f t="shared" si="606"/>
        <v/>
      </c>
      <c r="AK1259" s="56"/>
      <c r="AL1259" s="57" t="str">
        <f t="shared" si="607"/>
        <v/>
      </c>
      <c r="AM1259" s="56"/>
      <c r="AN1259" s="57" t="str">
        <f t="shared" si="608"/>
        <v/>
      </c>
      <c r="AO1259" s="56"/>
      <c r="AP1259" s="57" t="str">
        <f t="shared" si="609"/>
        <v/>
      </c>
      <c r="AQ1259" s="56"/>
      <c r="AR1259" s="57" t="str">
        <f t="shared" si="610"/>
        <v/>
      </c>
      <c r="AS1259" s="56"/>
      <c r="AT1259" s="57" t="str">
        <f t="shared" si="611"/>
        <v/>
      </c>
      <c r="AU1259" s="58"/>
      <c r="AV1259" s="59"/>
      <c r="AW1259" s="59"/>
      <c r="AX1259" s="60"/>
      <c r="AY1259" s="61" t="str">
        <f t="shared" si="612"/>
        <v/>
      </c>
      <c r="AZ1259" s="62" t="str">
        <f t="shared" si="613"/>
        <v/>
      </c>
      <c r="BA1259" s="61" t="str">
        <f t="shared" si="614"/>
        <v/>
      </c>
      <c r="BB1259" s="62" t="str">
        <f t="shared" si="615"/>
        <v/>
      </c>
    </row>
    <row r="1260" spans="1:54" s="3" customFormat="1" hidden="1" x14ac:dyDescent="0.35">
      <c r="A1260" s="73">
        <f t="shared" si="592"/>
        <v>2019</v>
      </c>
      <c r="B1260" s="73" t="str">
        <f t="shared" si="593"/>
        <v>Nov</v>
      </c>
      <c r="C1260" s="74">
        <f t="shared" si="616"/>
        <v>17</v>
      </c>
      <c r="D1260" s="75">
        <f t="shared" si="594"/>
        <v>12</v>
      </c>
      <c r="E1260" s="76">
        <f t="shared" si="595"/>
        <v>9</v>
      </c>
      <c r="F1260" s="80"/>
      <c r="G1260" s="83"/>
      <c r="H1260" s="69" t="str">
        <f t="shared" si="617"/>
        <v>Senbur6_20191117_12_00</v>
      </c>
      <c r="I1260" s="70">
        <f t="shared" si="620"/>
        <v>1</v>
      </c>
      <c r="J1260" s="77" t="str">
        <f t="shared" si="620"/>
        <v>Senecio</v>
      </c>
      <c r="K1260" s="77" t="str">
        <f t="shared" si="620"/>
        <v>burtoni</v>
      </c>
      <c r="L1260" s="78">
        <f t="shared" si="620"/>
        <v>6</v>
      </c>
      <c r="M1260" s="78">
        <f t="shared" si="620"/>
        <v>12</v>
      </c>
      <c r="N1260" s="72">
        <f t="shared" si="620"/>
        <v>0</v>
      </c>
      <c r="O1260" s="45"/>
      <c r="P1260" s="46" t="str">
        <f t="shared" si="596"/>
        <v/>
      </c>
      <c r="Q1260" s="47" t="str">
        <f t="shared" si="597"/>
        <v/>
      </c>
      <c r="R1260" s="48" t="e">
        <f t="shared" si="598"/>
        <v>#VALUE!</v>
      </c>
      <c r="S1260" s="49" t="e">
        <f t="shared" si="591"/>
        <v>#VALUE!</v>
      </c>
      <c r="T1260" s="48" t="str">
        <f t="shared" si="599"/>
        <v/>
      </c>
      <c r="U1260" s="50"/>
      <c r="V1260" s="51"/>
      <c r="W1260" s="52" t="e">
        <f t="shared" si="600"/>
        <v>#VALUE!</v>
      </c>
      <c r="X1260" s="53"/>
      <c r="Y1260" s="53"/>
      <c r="Z1260" s="53"/>
      <c r="AA1260" s="48" t="e">
        <f>INDEX([1]!VISITORS[INSECT ORDER], MATCH(X1260,[1]!VISITORS[NAME USED],0))</f>
        <v>#REF!</v>
      </c>
      <c r="AB1260" s="48" t="e">
        <f t="shared" si="601"/>
        <v>#REF!</v>
      </c>
      <c r="AC1260" s="54" t="e">
        <f t="shared" si="602"/>
        <v>#VALUE!</v>
      </c>
      <c r="AD1260" s="55" t="str">
        <f t="shared" si="603"/>
        <v/>
      </c>
      <c r="AE1260" s="55"/>
      <c r="AF1260" s="55"/>
      <c r="AG1260" s="56" t="str">
        <f t="shared" si="604"/>
        <v/>
      </c>
      <c r="AH1260" s="57" t="str">
        <f t="shared" si="605"/>
        <v/>
      </c>
      <c r="AI1260" s="56"/>
      <c r="AJ1260" s="57" t="str">
        <f t="shared" si="606"/>
        <v/>
      </c>
      <c r="AK1260" s="56"/>
      <c r="AL1260" s="57" t="str">
        <f t="shared" si="607"/>
        <v/>
      </c>
      <c r="AM1260" s="56"/>
      <c r="AN1260" s="57" t="str">
        <f t="shared" si="608"/>
        <v/>
      </c>
      <c r="AO1260" s="56"/>
      <c r="AP1260" s="57" t="str">
        <f t="shared" si="609"/>
        <v/>
      </c>
      <c r="AQ1260" s="56"/>
      <c r="AR1260" s="57" t="str">
        <f t="shared" si="610"/>
        <v/>
      </c>
      <c r="AS1260" s="56"/>
      <c r="AT1260" s="57" t="str">
        <f t="shared" si="611"/>
        <v/>
      </c>
      <c r="AU1260" s="58"/>
      <c r="AV1260" s="59"/>
      <c r="AW1260" s="59"/>
      <c r="AX1260" s="60"/>
      <c r="AY1260" s="61" t="str">
        <f t="shared" si="612"/>
        <v/>
      </c>
      <c r="AZ1260" s="62" t="str">
        <f t="shared" si="613"/>
        <v/>
      </c>
      <c r="BA1260" s="61" t="str">
        <f t="shared" si="614"/>
        <v/>
      </c>
      <c r="BB1260" s="62" t="str">
        <f t="shared" si="615"/>
        <v/>
      </c>
    </row>
    <row r="1261" spans="1:54" s="3" customFormat="1" hidden="1" x14ac:dyDescent="0.35">
      <c r="A1261" s="73">
        <f t="shared" si="592"/>
        <v>2019</v>
      </c>
      <c r="B1261" s="73" t="str">
        <f t="shared" si="593"/>
        <v>Nov</v>
      </c>
      <c r="C1261" s="74">
        <f t="shared" si="616"/>
        <v>17</v>
      </c>
      <c r="D1261" s="75">
        <f t="shared" si="594"/>
        <v>12</v>
      </c>
      <c r="E1261" s="76">
        <f t="shared" si="595"/>
        <v>10</v>
      </c>
      <c r="F1261" s="80"/>
      <c r="G1261" s="83"/>
      <c r="H1261" s="69" t="str">
        <f t="shared" si="617"/>
        <v>Senbur6_20191117_12_00</v>
      </c>
      <c r="I1261" s="70">
        <f t="shared" si="620"/>
        <v>1</v>
      </c>
      <c r="J1261" s="77" t="str">
        <f t="shared" si="620"/>
        <v>Senecio</v>
      </c>
      <c r="K1261" s="77" t="str">
        <f t="shared" si="620"/>
        <v>burtoni</v>
      </c>
      <c r="L1261" s="78">
        <f t="shared" si="620"/>
        <v>6</v>
      </c>
      <c r="M1261" s="78">
        <f t="shared" si="620"/>
        <v>12</v>
      </c>
      <c r="N1261" s="72">
        <f t="shared" si="620"/>
        <v>0</v>
      </c>
      <c r="O1261" s="45"/>
      <c r="P1261" s="46" t="str">
        <f t="shared" si="596"/>
        <v/>
      </c>
      <c r="Q1261" s="47" t="str">
        <f t="shared" si="597"/>
        <v/>
      </c>
      <c r="R1261" s="48" t="e">
        <f t="shared" si="598"/>
        <v>#VALUE!</v>
      </c>
      <c r="S1261" s="49" t="e">
        <f t="shared" si="591"/>
        <v>#VALUE!</v>
      </c>
      <c r="T1261" s="48" t="str">
        <f t="shared" si="599"/>
        <v/>
      </c>
      <c r="U1261" s="50"/>
      <c r="V1261" s="51"/>
      <c r="W1261" s="52" t="e">
        <f t="shared" si="600"/>
        <v>#VALUE!</v>
      </c>
      <c r="X1261" s="53"/>
      <c r="Y1261" s="53"/>
      <c r="Z1261" s="53"/>
      <c r="AA1261" s="48" t="e">
        <f>INDEX([1]!VISITORS[INSECT ORDER], MATCH(X1261,[1]!VISITORS[NAME USED],0))</f>
        <v>#REF!</v>
      </c>
      <c r="AB1261" s="48" t="e">
        <f t="shared" si="601"/>
        <v>#REF!</v>
      </c>
      <c r="AC1261" s="54" t="e">
        <f t="shared" si="602"/>
        <v>#VALUE!</v>
      </c>
      <c r="AD1261" s="55" t="str">
        <f t="shared" si="603"/>
        <v/>
      </c>
      <c r="AE1261" s="55"/>
      <c r="AF1261" s="55"/>
      <c r="AG1261" s="56" t="str">
        <f t="shared" si="604"/>
        <v/>
      </c>
      <c r="AH1261" s="57" t="str">
        <f t="shared" si="605"/>
        <v/>
      </c>
      <c r="AI1261" s="56"/>
      <c r="AJ1261" s="57" t="str">
        <f t="shared" si="606"/>
        <v/>
      </c>
      <c r="AK1261" s="56"/>
      <c r="AL1261" s="57" t="str">
        <f t="shared" si="607"/>
        <v/>
      </c>
      <c r="AM1261" s="56"/>
      <c r="AN1261" s="57" t="str">
        <f t="shared" si="608"/>
        <v/>
      </c>
      <c r="AO1261" s="56"/>
      <c r="AP1261" s="57" t="str">
        <f t="shared" si="609"/>
        <v/>
      </c>
      <c r="AQ1261" s="56"/>
      <c r="AR1261" s="57" t="str">
        <f t="shared" si="610"/>
        <v/>
      </c>
      <c r="AS1261" s="56"/>
      <c r="AT1261" s="57" t="str">
        <f t="shared" si="611"/>
        <v/>
      </c>
      <c r="AU1261" s="58"/>
      <c r="AV1261" s="59"/>
      <c r="AW1261" s="59"/>
      <c r="AX1261" s="60"/>
      <c r="AY1261" s="61" t="str">
        <f t="shared" si="612"/>
        <v/>
      </c>
      <c r="AZ1261" s="62" t="str">
        <f t="shared" si="613"/>
        <v/>
      </c>
      <c r="BA1261" s="61" t="str">
        <f t="shared" si="614"/>
        <v/>
      </c>
      <c r="BB1261" s="62" t="str">
        <f t="shared" si="615"/>
        <v/>
      </c>
    </row>
    <row r="1262" spans="1:54" s="3" customFormat="1" hidden="1" x14ac:dyDescent="0.35">
      <c r="A1262" s="73">
        <f t="shared" si="592"/>
        <v>2019</v>
      </c>
      <c r="B1262" s="73" t="str">
        <f t="shared" si="593"/>
        <v>Nov</v>
      </c>
      <c r="C1262" s="74">
        <f t="shared" si="616"/>
        <v>17</v>
      </c>
      <c r="D1262" s="75">
        <f t="shared" si="594"/>
        <v>12</v>
      </c>
      <c r="E1262" s="76">
        <f t="shared" si="595"/>
        <v>11</v>
      </c>
      <c r="F1262" s="80"/>
      <c r="G1262" s="83"/>
      <c r="H1262" s="69" t="str">
        <f t="shared" si="617"/>
        <v>Senbur6_20191117_12_00</v>
      </c>
      <c r="I1262" s="70">
        <f t="shared" si="620"/>
        <v>1</v>
      </c>
      <c r="J1262" s="77" t="str">
        <f t="shared" si="620"/>
        <v>Senecio</v>
      </c>
      <c r="K1262" s="77" t="str">
        <f t="shared" si="620"/>
        <v>burtoni</v>
      </c>
      <c r="L1262" s="78">
        <f t="shared" si="620"/>
        <v>6</v>
      </c>
      <c r="M1262" s="78">
        <f t="shared" si="620"/>
        <v>12</v>
      </c>
      <c r="N1262" s="72">
        <f t="shared" si="620"/>
        <v>0</v>
      </c>
      <c r="O1262" s="45"/>
      <c r="P1262" s="46" t="str">
        <f t="shared" si="596"/>
        <v/>
      </c>
      <c r="Q1262" s="47" t="str">
        <f t="shared" si="597"/>
        <v/>
      </c>
      <c r="R1262" s="48" t="e">
        <f t="shared" si="598"/>
        <v>#VALUE!</v>
      </c>
      <c r="S1262" s="49" t="e">
        <f t="shared" si="591"/>
        <v>#VALUE!</v>
      </c>
      <c r="T1262" s="48" t="str">
        <f t="shared" si="599"/>
        <v/>
      </c>
      <c r="U1262" s="50"/>
      <c r="V1262" s="51"/>
      <c r="W1262" s="52" t="e">
        <f t="shared" si="600"/>
        <v>#VALUE!</v>
      </c>
      <c r="X1262" s="53"/>
      <c r="Y1262" s="53"/>
      <c r="Z1262" s="53"/>
      <c r="AA1262" s="48" t="e">
        <f>INDEX([1]!VISITORS[INSECT ORDER], MATCH(X1262,[1]!VISITORS[NAME USED],0))</f>
        <v>#REF!</v>
      </c>
      <c r="AB1262" s="48" t="e">
        <f t="shared" si="601"/>
        <v>#REF!</v>
      </c>
      <c r="AC1262" s="54" t="e">
        <f t="shared" si="602"/>
        <v>#VALUE!</v>
      </c>
      <c r="AD1262" s="55" t="str">
        <f t="shared" si="603"/>
        <v/>
      </c>
      <c r="AE1262" s="55"/>
      <c r="AF1262" s="55"/>
      <c r="AG1262" s="56" t="str">
        <f t="shared" si="604"/>
        <v/>
      </c>
      <c r="AH1262" s="57" t="str">
        <f t="shared" si="605"/>
        <v/>
      </c>
      <c r="AI1262" s="56"/>
      <c r="AJ1262" s="57" t="str">
        <f t="shared" si="606"/>
        <v/>
      </c>
      <c r="AK1262" s="56"/>
      <c r="AL1262" s="57" t="str">
        <f t="shared" si="607"/>
        <v/>
      </c>
      <c r="AM1262" s="56"/>
      <c r="AN1262" s="57" t="str">
        <f t="shared" si="608"/>
        <v/>
      </c>
      <c r="AO1262" s="56"/>
      <c r="AP1262" s="57" t="str">
        <f t="shared" si="609"/>
        <v/>
      </c>
      <c r="AQ1262" s="56"/>
      <c r="AR1262" s="57" t="str">
        <f t="shared" si="610"/>
        <v/>
      </c>
      <c r="AS1262" s="56"/>
      <c r="AT1262" s="57" t="str">
        <f t="shared" si="611"/>
        <v/>
      </c>
      <c r="AU1262" s="58"/>
      <c r="AV1262" s="59"/>
      <c r="AW1262" s="59"/>
      <c r="AX1262" s="60"/>
      <c r="AY1262" s="61" t="str">
        <f t="shared" si="612"/>
        <v/>
      </c>
      <c r="AZ1262" s="62" t="str">
        <f t="shared" si="613"/>
        <v/>
      </c>
      <c r="BA1262" s="61" t="str">
        <f t="shared" si="614"/>
        <v/>
      </c>
      <c r="BB1262" s="62" t="str">
        <f t="shared" si="615"/>
        <v/>
      </c>
    </row>
    <row r="1263" spans="1:54" s="3" customFormat="1" hidden="1" x14ac:dyDescent="0.35">
      <c r="A1263" s="73">
        <f t="shared" si="592"/>
        <v>2019</v>
      </c>
      <c r="B1263" s="73" t="str">
        <f t="shared" si="593"/>
        <v>Nov</v>
      </c>
      <c r="C1263" s="74">
        <f t="shared" si="616"/>
        <v>17</v>
      </c>
      <c r="D1263" s="75">
        <f t="shared" si="594"/>
        <v>12</v>
      </c>
      <c r="E1263" s="76">
        <f t="shared" si="595"/>
        <v>12</v>
      </c>
      <c r="F1263" s="80"/>
      <c r="G1263" s="83"/>
      <c r="H1263" s="69" t="str">
        <f t="shared" si="617"/>
        <v>Senbur6_20191117_12_00</v>
      </c>
      <c r="I1263" s="70">
        <f t="shared" si="620"/>
        <v>1</v>
      </c>
      <c r="J1263" s="77" t="str">
        <f t="shared" si="620"/>
        <v>Senecio</v>
      </c>
      <c r="K1263" s="77" t="str">
        <f t="shared" si="620"/>
        <v>burtoni</v>
      </c>
      <c r="L1263" s="78">
        <f t="shared" si="620"/>
        <v>6</v>
      </c>
      <c r="M1263" s="78">
        <f t="shared" si="620"/>
        <v>12</v>
      </c>
      <c r="N1263" s="72">
        <f t="shared" si="620"/>
        <v>0</v>
      </c>
      <c r="O1263" s="45"/>
      <c r="P1263" s="46" t="str">
        <f t="shared" si="596"/>
        <v/>
      </c>
      <c r="Q1263" s="47" t="str">
        <f t="shared" si="597"/>
        <v/>
      </c>
      <c r="R1263" s="48" t="e">
        <f t="shared" si="598"/>
        <v>#VALUE!</v>
      </c>
      <c r="S1263" s="49" t="e">
        <f t="shared" si="591"/>
        <v>#VALUE!</v>
      </c>
      <c r="T1263" s="48" t="str">
        <f t="shared" si="599"/>
        <v/>
      </c>
      <c r="U1263" s="50"/>
      <c r="V1263" s="51"/>
      <c r="W1263" s="52" t="e">
        <f t="shared" si="600"/>
        <v>#VALUE!</v>
      </c>
      <c r="X1263" s="53"/>
      <c r="Y1263" s="53"/>
      <c r="Z1263" s="53"/>
      <c r="AA1263" s="48" t="e">
        <f>INDEX([1]!VISITORS[INSECT ORDER], MATCH(X1263,[1]!VISITORS[NAME USED],0))</f>
        <v>#REF!</v>
      </c>
      <c r="AB1263" s="48" t="e">
        <f t="shared" si="601"/>
        <v>#REF!</v>
      </c>
      <c r="AC1263" s="54" t="e">
        <f t="shared" si="602"/>
        <v>#VALUE!</v>
      </c>
      <c r="AD1263" s="55" t="str">
        <f t="shared" si="603"/>
        <v/>
      </c>
      <c r="AE1263" s="55"/>
      <c r="AF1263" s="55"/>
      <c r="AG1263" s="56" t="str">
        <f t="shared" si="604"/>
        <v/>
      </c>
      <c r="AH1263" s="57" t="str">
        <f t="shared" si="605"/>
        <v/>
      </c>
      <c r="AI1263" s="56"/>
      <c r="AJ1263" s="57" t="str">
        <f t="shared" si="606"/>
        <v/>
      </c>
      <c r="AK1263" s="56"/>
      <c r="AL1263" s="57" t="str">
        <f t="shared" si="607"/>
        <v/>
      </c>
      <c r="AM1263" s="56"/>
      <c r="AN1263" s="57" t="str">
        <f t="shared" si="608"/>
        <v/>
      </c>
      <c r="AO1263" s="56"/>
      <c r="AP1263" s="57" t="str">
        <f t="shared" si="609"/>
        <v/>
      </c>
      <c r="AQ1263" s="56"/>
      <c r="AR1263" s="57" t="str">
        <f t="shared" si="610"/>
        <v/>
      </c>
      <c r="AS1263" s="56"/>
      <c r="AT1263" s="57" t="str">
        <f t="shared" si="611"/>
        <v/>
      </c>
      <c r="AU1263" s="58"/>
      <c r="AV1263" s="59"/>
      <c r="AW1263" s="59"/>
      <c r="AX1263" s="60"/>
      <c r="AY1263" s="61" t="str">
        <f t="shared" si="612"/>
        <v/>
      </c>
      <c r="AZ1263" s="62" t="str">
        <f t="shared" si="613"/>
        <v/>
      </c>
      <c r="BA1263" s="61" t="str">
        <f t="shared" si="614"/>
        <v/>
      </c>
      <c r="BB1263" s="62" t="str">
        <f t="shared" si="615"/>
        <v/>
      </c>
    </row>
    <row r="1264" spans="1:54" s="3" customFormat="1" hidden="1" x14ac:dyDescent="0.35">
      <c r="A1264" s="73">
        <f t="shared" si="592"/>
        <v>2019</v>
      </c>
      <c r="B1264" s="73" t="str">
        <f t="shared" si="593"/>
        <v>Nov</v>
      </c>
      <c r="C1264" s="74">
        <f t="shared" si="616"/>
        <v>17</v>
      </c>
      <c r="D1264" s="75">
        <f t="shared" si="594"/>
        <v>12</v>
      </c>
      <c r="E1264" s="76">
        <f t="shared" si="595"/>
        <v>13</v>
      </c>
      <c r="F1264" s="80"/>
      <c r="G1264" s="83"/>
      <c r="H1264" s="69" t="str">
        <f t="shared" si="617"/>
        <v>Senbur6_20191117_12_00</v>
      </c>
      <c r="I1264" s="70">
        <f t="shared" si="620"/>
        <v>1</v>
      </c>
      <c r="J1264" s="77" t="str">
        <f t="shared" si="620"/>
        <v>Senecio</v>
      </c>
      <c r="K1264" s="77" t="str">
        <f t="shared" si="620"/>
        <v>burtoni</v>
      </c>
      <c r="L1264" s="78">
        <f t="shared" si="620"/>
        <v>6</v>
      </c>
      <c r="M1264" s="78">
        <f t="shared" si="620"/>
        <v>12</v>
      </c>
      <c r="N1264" s="72">
        <f t="shared" si="620"/>
        <v>0</v>
      </c>
      <c r="O1264" s="45"/>
      <c r="P1264" s="46" t="str">
        <f t="shared" si="596"/>
        <v/>
      </c>
      <c r="Q1264" s="47" t="str">
        <f t="shared" si="597"/>
        <v/>
      </c>
      <c r="R1264" s="48" t="e">
        <f t="shared" si="598"/>
        <v>#VALUE!</v>
      </c>
      <c r="S1264" s="49" t="e">
        <f t="shared" si="591"/>
        <v>#VALUE!</v>
      </c>
      <c r="T1264" s="48" t="str">
        <f t="shared" si="599"/>
        <v/>
      </c>
      <c r="U1264" s="50"/>
      <c r="V1264" s="51"/>
      <c r="W1264" s="52" t="e">
        <f t="shared" si="600"/>
        <v>#VALUE!</v>
      </c>
      <c r="X1264" s="53"/>
      <c r="Y1264" s="53"/>
      <c r="Z1264" s="53"/>
      <c r="AA1264" s="48" t="e">
        <f>INDEX([1]!VISITORS[INSECT ORDER], MATCH(X1264,[1]!VISITORS[NAME USED],0))</f>
        <v>#REF!</v>
      </c>
      <c r="AB1264" s="48" t="e">
        <f t="shared" si="601"/>
        <v>#REF!</v>
      </c>
      <c r="AC1264" s="54" t="e">
        <f t="shared" si="602"/>
        <v>#VALUE!</v>
      </c>
      <c r="AD1264" s="55" t="str">
        <f t="shared" si="603"/>
        <v/>
      </c>
      <c r="AE1264" s="55"/>
      <c r="AF1264" s="55"/>
      <c r="AG1264" s="56" t="str">
        <f t="shared" si="604"/>
        <v/>
      </c>
      <c r="AH1264" s="57" t="str">
        <f t="shared" si="605"/>
        <v/>
      </c>
      <c r="AI1264" s="56"/>
      <c r="AJ1264" s="57" t="str">
        <f t="shared" si="606"/>
        <v/>
      </c>
      <c r="AK1264" s="56"/>
      <c r="AL1264" s="57" t="str">
        <f t="shared" si="607"/>
        <v/>
      </c>
      <c r="AM1264" s="56"/>
      <c r="AN1264" s="57" t="str">
        <f t="shared" si="608"/>
        <v/>
      </c>
      <c r="AO1264" s="56"/>
      <c r="AP1264" s="57" t="str">
        <f t="shared" si="609"/>
        <v/>
      </c>
      <c r="AQ1264" s="56"/>
      <c r="AR1264" s="57" t="str">
        <f t="shared" si="610"/>
        <v/>
      </c>
      <c r="AS1264" s="56"/>
      <c r="AT1264" s="57" t="str">
        <f t="shared" si="611"/>
        <v/>
      </c>
      <c r="AU1264" s="58"/>
      <c r="AV1264" s="59"/>
      <c r="AW1264" s="59"/>
      <c r="AX1264" s="60"/>
      <c r="AY1264" s="61" t="str">
        <f t="shared" si="612"/>
        <v/>
      </c>
      <c r="AZ1264" s="62" t="str">
        <f t="shared" si="613"/>
        <v/>
      </c>
      <c r="BA1264" s="61" t="str">
        <f t="shared" si="614"/>
        <v/>
      </c>
      <c r="BB1264" s="62" t="str">
        <f t="shared" si="615"/>
        <v/>
      </c>
    </row>
    <row r="1265" spans="1:54" s="3" customFormat="1" hidden="1" x14ac:dyDescent="0.35">
      <c r="A1265" s="73">
        <f t="shared" si="592"/>
        <v>2019</v>
      </c>
      <c r="B1265" s="73" t="str">
        <f t="shared" si="593"/>
        <v>Nov</v>
      </c>
      <c r="C1265" s="74">
        <f t="shared" si="616"/>
        <v>17</v>
      </c>
      <c r="D1265" s="75">
        <f t="shared" si="594"/>
        <v>12</v>
      </c>
      <c r="E1265" s="76">
        <f t="shared" si="595"/>
        <v>14</v>
      </c>
      <c r="F1265" s="80"/>
      <c r="G1265" s="83"/>
      <c r="H1265" s="69" t="str">
        <f t="shared" si="617"/>
        <v>Senbur6_20191117_12_00</v>
      </c>
      <c r="I1265" s="70">
        <f t="shared" si="620"/>
        <v>1</v>
      </c>
      <c r="J1265" s="77" t="str">
        <f t="shared" si="620"/>
        <v>Senecio</v>
      </c>
      <c r="K1265" s="77" t="str">
        <f t="shared" si="620"/>
        <v>burtoni</v>
      </c>
      <c r="L1265" s="78">
        <f t="shared" si="620"/>
        <v>6</v>
      </c>
      <c r="M1265" s="78">
        <f t="shared" si="620"/>
        <v>12</v>
      </c>
      <c r="N1265" s="72">
        <f t="shared" si="620"/>
        <v>0</v>
      </c>
      <c r="O1265" s="45"/>
      <c r="P1265" s="46" t="str">
        <f t="shared" si="596"/>
        <v/>
      </c>
      <c r="Q1265" s="47" t="str">
        <f t="shared" si="597"/>
        <v/>
      </c>
      <c r="R1265" s="48" t="e">
        <f t="shared" si="598"/>
        <v>#VALUE!</v>
      </c>
      <c r="S1265" s="49" t="e">
        <f t="shared" si="591"/>
        <v>#VALUE!</v>
      </c>
      <c r="T1265" s="48" t="str">
        <f t="shared" si="599"/>
        <v/>
      </c>
      <c r="U1265" s="50"/>
      <c r="V1265" s="51"/>
      <c r="W1265" s="52" t="e">
        <f t="shared" si="600"/>
        <v>#VALUE!</v>
      </c>
      <c r="X1265" s="53"/>
      <c r="Y1265" s="53"/>
      <c r="Z1265" s="53"/>
      <c r="AA1265" s="48" t="e">
        <f>INDEX([1]!VISITORS[INSECT ORDER], MATCH(X1265,[1]!VISITORS[NAME USED],0))</f>
        <v>#REF!</v>
      </c>
      <c r="AB1265" s="48" t="e">
        <f t="shared" si="601"/>
        <v>#REF!</v>
      </c>
      <c r="AC1265" s="54" t="e">
        <f t="shared" si="602"/>
        <v>#VALUE!</v>
      </c>
      <c r="AD1265" s="55" t="str">
        <f t="shared" si="603"/>
        <v/>
      </c>
      <c r="AE1265" s="55"/>
      <c r="AF1265" s="55"/>
      <c r="AG1265" s="56" t="str">
        <f t="shared" si="604"/>
        <v/>
      </c>
      <c r="AH1265" s="57" t="str">
        <f t="shared" si="605"/>
        <v/>
      </c>
      <c r="AI1265" s="56"/>
      <c r="AJ1265" s="57" t="str">
        <f t="shared" si="606"/>
        <v/>
      </c>
      <c r="AK1265" s="56"/>
      <c r="AL1265" s="57" t="str">
        <f t="shared" si="607"/>
        <v/>
      </c>
      <c r="AM1265" s="56"/>
      <c r="AN1265" s="57" t="str">
        <f t="shared" si="608"/>
        <v/>
      </c>
      <c r="AO1265" s="56"/>
      <c r="AP1265" s="57" t="str">
        <f t="shared" si="609"/>
        <v/>
      </c>
      <c r="AQ1265" s="56"/>
      <c r="AR1265" s="57" t="str">
        <f t="shared" si="610"/>
        <v/>
      </c>
      <c r="AS1265" s="56"/>
      <c r="AT1265" s="57" t="str">
        <f t="shared" si="611"/>
        <v/>
      </c>
      <c r="AU1265" s="58"/>
      <c r="AV1265" s="59"/>
      <c r="AW1265" s="59"/>
      <c r="AX1265" s="60"/>
      <c r="AY1265" s="61" t="str">
        <f t="shared" si="612"/>
        <v/>
      </c>
      <c r="AZ1265" s="62" t="str">
        <f t="shared" si="613"/>
        <v/>
      </c>
      <c r="BA1265" s="61" t="str">
        <f t="shared" si="614"/>
        <v/>
      </c>
      <c r="BB1265" s="62" t="str">
        <f t="shared" si="615"/>
        <v/>
      </c>
    </row>
    <row r="1266" spans="1:54" s="3" customFormat="1" hidden="1" x14ac:dyDescent="0.35">
      <c r="A1266" s="73">
        <f t="shared" si="592"/>
        <v>2019</v>
      </c>
      <c r="B1266" s="73" t="str">
        <f t="shared" si="593"/>
        <v>Nov</v>
      </c>
      <c r="C1266" s="74">
        <f t="shared" si="616"/>
        <v>17</v>
      </c>
      <c r="D1266" s="75">
        <f t="shared" si="594"/>
        <v>12</v>
      </c>
      <c r="E1266" s="76">
        <f t="shared" si="595"/>
        <v>15</v>
      </c>
      <c r="F1266" s="80"/>
      <c r="G1266" s="83"/>
      <c r="H1266" s="69" t="str">
        <f t="shared" si="617"/>
        <v>Senbur6_20191117_12_00</v>
      </c>
      <c r="I1266" s="70">
        <f t="shared" si="620"/>
        <v>1</v>
      </c>
      <c r="J1266" s="77" t="str">
        <f t="shared" si="620"/>
        <v>Senecio</v>
      </c>
      <c r="K1266" s="77" t="str">
        <f t="shared" si="620"/>
        <v>burtoni</v>
      </c>
      <c r="L1266" s="78">
        <f t="shared" si="620"/>
        <v>6</v>
      </c>
      <c r="M1266" s="78">
        <f t="shared" si="620"/>
        <v>12</v>
      </c>
      <c r="N1266" s="72">
        <f t="shared" si="620"/>
        <v>0</v>
      </c>
      <c r="O1266" s="45"/>
      <c r="P1266" s="46" t="str">
        <f t="shared" si="596"/>
        <v/>
      </c>
      <c r="Q1266" s="47" t="str">
        <f t="shared" si="597"/>
        <v/>
      </c>
      <c r="R1266" s="48" t="e">
        <f t="shared" si="598"/>
        <v>#VALUE!</v>
      </c>
      <c r="S1266" s="49" t="e">
        <f t="shared" si="591"/>
        <v>#VALUE!</v>
      </c>
      <c r="T1266" s="48" t="str">
        <f t="shared" si="599"/>
        <v/>
      </c>
      <c r="U1266" s="50"/>
      <c r="V1266" s="51"/>
      <c r="W1266" s="52" t="e">
        <f t="shared" si="600"/>
        <v>#VALUE!</v>
      </c>
      <c r="X1266" s="53"/>
      <c r="Y1266" s="53"/>
      <c r="Z1266" s="53"/>
      <c r="AA1266" s="48" t="e">
        <f>INDEX([1]!VISITORS[INSECT ORDER], MATCH(X1266,[1]!VISITORS[NAME USED],0))</f>
        <v>#REF!</v>
      </c>
      <c r="AB1266" s="48" t="e">
        <f t="shared" si="601"/>
        <v>#REF!</v>
      </c>
      <c r="AC1266" s="54" t="e">
        <f t="shared" si="602"/>
        <v>#VALUE!</v>
      </c>
      <c r="AD1266" s="55" t="str">
        <f t="shared" si="603"/>
        <v/>
      </c>
      <c r="AE1266" s="55"/>
      <c r="AF1266" s="55"/>
      <c r="AG1266" s="56" t="str">
        <f t="shared" si="604"/>
        <v/>
      </c>
      <c r="AH1266" s="57" t="str">
        <f t="shared" si="605"/>
        <v/>
      </c>
      <c r="AI1266" s="56"/>
      <c r="AJ1266" s="57" t="str">
        <f t="shared" si="606"/>
        <v/>
      </c>
      <c r="AK1266" s="56"/>
      <c r="AL1266" s="57" t="str">
        <f t="shared" si="607"/>
        <v/>
      </c>
      <c r="AM1266" s="56"/>
      <c r="AN1266" s="57" t="str">
        <f t="shared" si="608"/>
        <v/>
      </c>
      <c r="AO1266" s="56"/>
      <c r="AP1266" s="57" t="str">
        <f t="shared" si="609"/>
        <v/>
      </c>
      <c r="AQ1266" s="56"/>
      <c r="AR1266" s="57" t="str">
        <f t="shared" si="610"/>
        <v/>
      </c>
      <c r="AS1266" s="56"/>
      <c r="AT1266" s="57" t="str">
        <f t="shared" si="611"/>
        <v/>
      </c>
      <c r="AU1266" s="58"/>
      <c r="AV1266" s="59"/>
      <c r="AW1266" s="59"/>
      <c r="AX1266" s="60"/>
      <c r="AY1266" s="61" t="str">
        <f t="shared" si="612"/>
        <v/>
      </c>
      <c r="AZ1266" s="62" t="str">
        <f t="shared" si="613"/>
        <v/>
      </c>
      <c r="BA1266" s="61" t="str">
        <f t="shared" si="614"/>
        <v/>
      </c>
      <c r="BB1266" s="62" t="str">
        <f t="shared" si="615"/>
        <v/>
      </c>
    </row>
    <row r="1267" spans="1:54" s="3" customFormat="1" hidden="1" x14ac:dyDescent="0.35">
      <c r="A1267" s="73">
        <f t="shared" si="592"/>
        <v>2019</v>
      </c>
      <c r="B1267" s="73" t="str">
        <f t="shared" si="593"/>
        <v>Nov</v>
      </c>
      <c r="C1267" s="74">
        <f t="shared" si="616"/>
        <v>17</v>
      </c>
      <c r="D1267" s="75">
        <f t="shared" si="594"/>
        <v>12</v>
      </c>
      <c r="E1267" s="76">
        <f t="shared" si="595"/>
        <v>16</v>
      </c>
      <c r="F1267" s="80">
        <v>52</v>
      </c>
      <c r="G1267" s="83"/>
      <c r="H1267" s="69" t="str">
        <f t="shared" si="617"/>
        <v>Senbur6_20191117_12_00</v>
      </c>
      <c r="I1267" s="70">
        <f t="shared" si="620"/>
        <v>1</v>
      </c>
      <c r="J1267" s="77" t="str">
        <f t="shared" si="620"/>
        <v>Senecio</v>
      </c>
      <c r="K1267" s="77" t="str">
        <f t="shared" si="620"/>
        <v>burtoni</v>
      </c>
      <c r="L1267" s="78">
        <f t="shared" si="620"/>
        <v>6</v>
      </c>
      <c r="M1267" s="78">
        <f t="shared" si="620"/>
        <v>12</v>
      </c>
      <c r="N1267" s="72">
        <f t="shared" si="620"/>
        <v>0</v>
      </c>
      <c r="O1267" s="45"/>
      <c r="P1267" s="46">
        <f t="shared" si="596"/>
        <v>1</v>
      </c>
      <c r="Q1267" s="47" t="str">
        <f t="shared" si="597"/>
        <v>12:16:52</v>
      </c>
      <c r="R1267" s="48" t="str">
        <f t="shared" si="598"/>
        <v>16:52</v>
      </c>
      <c r="S1267" s="49">
        <f t="shared" si="591"/>
        <v>21</v>
      </c>
      <c r="T1267" s="48" t="str">
        <f t="shared" si="599"/>
        <v>12</v>
      </c>
      <c r="U1267" s="50">
        <v>17</v>
      </c>
      <c r="V1267" s="51">
        <v>13</v>
      </c>
      <c r="W1267" s="52" t="str">
        <f t="shared" si="600"/>
        <v>17:13</v>
      </c>
      <c r="X1267" s="53" t="s">
        <v>61</v>
      </c>
      <c r="Y1267" s="97" t="s">
        <v>97</v>
      </c>
      <c r="Z1267" s="97" t="s">
        <v>80</v>
      </c>
      <c r="AA1267" s="48" t="s">
        <v>60</v>
      </c>
      <c r="AB1267" s="48" t="str">
        <f t="shared" si="601"/>
        <v>NA</v>
      </c>
      <c r="AC1267" s="54">
        <f t="shared" si="602"/>
        <v>0</v>
      </c>
      <c r="AD1267" s="55">
        <v>2</v>
      </c>
      <c r="AE1267" s="55"/>
      <c r="AF1267" s="55"/>
      <c r="AG1267" s="56">
        <v>1</v>
      </c>
      <c r="AH1267" s="57">
        <v>9</v>
      </c>
      <c r="AI1267" s="56"/>
      <c r="AJ1267" s="57" t="str">
        <f t="shared" si="606"/>
        <v/>
      </c>
      <c r="AK1267" s="56">
        <v>1</v>
      </c>
      <c r="AL1267" s="57">
        <v>12</v>
      </c>
      <c r="AM1267" s="56"/>
      <c r="AN1267" s="57" t="str">
        <f t="shared" si="608"/>
        <v/>
      </c>
      <c r="AO1267" s="56"/>
      <c r="AP1267" s="57" t="str">
        <f t="shared" si="609"/>
        <v/>
      </c>
      <c r="AQ1267" s="56"/>
      <c r="AR1267" s="57" t="str">
        <f t="shared" si="610"/>
        <v/>
      </c>
      <c r="AS1267" s="56"/>
      <c r="AT1267" s="57" t="str">
        <f t="shared" si="611"/>
        <v/>
      </c>
      <c r="AU1267" s="58"/>
      <c r="AV1267" s="59"/>
      <c r="AW1267" s="59"/>
      <c r="AX1267" s="60"/>
      <c r="AY1267" s="61">
        <v>1</v>
      </c>
      <c r="AZ1267" s="62">
        <v>1</v>
      </c>
      <c r="BA1267" s="61">
        <f t="shared" si="614"/>
        <v>0</v>
      </c>
      <c r="BB1267" s="62" t="str">
        <f t="shared" si="615"/>
        <v/>
      </c>
    </row>
    <row r="1268" spans="1:54" s="3" customFormat="1" hidden="1" x14ac:dyDescent="0.35">
      <c r="A1268" s="73">
        <f t="shared" si="592"/>
        <v>2019</v>
      </c>
      <c r="B1268" s="73" t="str">
        <f t="shared" si="593"/>
        <v>Nov</v>
      </c>
      <c r="C1268" s="74">
        <f t="shared" si="616"/>
        <v>17</v>
      </c>
      <c r="D1268" s="75">
        <f t="shared" si="594"/>
        <v>12</v>
      </c>
      <c r="E1268" s="76">
        <f t="shared" si="595"/>
        <v>17</v>
      </c>
      <c r="F1268" s="80">
        <v>48</v>
      </c>
      <c r="G1268" s="83"/>
      <c r="H1268" s="69" t="str">
        <f t="shared" si="617"/>
        <v>Senbur6_20191117_12_00</v>
      </c>
      <c r="I1268" s="70">
        <f t="shared" si="620"/>
        <v>1</v>
      </c>
      <c r="J1268" s="77" t="str">
        <f t="shared" si="620"/>
        <v>Senecio</v>
      </c>
      <c r="K1268" s="77" t="str">
        <f t="shared" si="620"/>
        <v>burtoni</v>
      </c>
      <c r="L1268" s="78">
        <f t="shared" si="620"/>
        <v>6</v>
      </c>
      <c r="M1268" s="78">
        <f t="shared" si="620"/>
        <v>12</v>
      </c>
      <c r="N1268" s="72">
        <f t="shared" si="620"/>
        <v>0</v>
      </c>
      <c r="O1268" s="45"/>
      <c r="P1268" s="46">
        <f t="shared" si="596"/>
        <v>1</v>
      </c>
      <c r="Q1268" s="47" t="str">
        <f t="shared" si="597"/>
        <v>12:17:48</v>
      </c>
      <c r="R1268" s="48" t="str">
        <f t="shared" si="598"/>
        <v>17:48</v>
      </c>
      <c r="S1268" s="49">
        <f t="shared" si="591"/>
        <v>116</v>
      </c>
      <c r="T1268" s="48" t="str">
        <f t="shared" si="599"/>
        <v>12</v>
      </c>
      <c r="U1268" s="50">
        <v>19</v>
      </c>
      <c r="V1268" s="51">
        <v>44</v>
      </c>
      <c r="W1268" s="52" t="str">
        <f t="shared" si="600"/>
        <v>19:44</v>
      </c>
      <c r="X1268" s="53" t="s">
        <v>59</v>
      </c>
      <c r="Y1268" s="97" t="s">
        <v>78</v>
      </c>
      <c r="Z1268" s="97"/>
      <c r="AA1268" s="48" t="s">
        <v>60</v>
      </c>
      <c r="AB1268" s="48" t="str">
        <f t="shared" si="601"/>
        <v>NA</v>
      </c>
      <c r="AC1268" s="54">
        <f t="shared" si="602"/>
        <v>0</v>
      </c>
      <c r="AD1268" s="55">
        <v>4</v>
      </c>
      <c r="AE1268" s="55"/>
      <c r="AF1268" s="55"/>
      <c r="AG1268" s="56">
        <v>1</v>
      </c>
      <c r="AH1268" s="57">
        <v>4</v>
      </c>
      <c r="AI1268" s="56">
        <v>1</v>
      </c>
      <c r="AJ1268" s="57">
        <v>4</v>
      </c>
      <c r="AK1268" s="56">
        <v>1</v>
      </c>
      <c r="AL1268" s="57">
        <v>108</v>
      </c>
      <c r="AM1268" s="56"/>
      <c r="AN1268" s="57" t="str">
        <f t="shared" si="608"/>
        <v/>
      </c>
      <c r="AO1268" s="56"/>
      <c r="AP1268" s="57" t="str">
        <f t="shared" si="609"/>
        <v/>
      </c>
      <c r="AQ1268" s="56"/>
      <c r="AR1268" s="57" t="str">
        <f t="shared" si="610"/>
        <v/>
      </c>
      <c r="AS1268" s="56"/>
      <c r="AT1268" s="57" t="str">
        <f t="shared" si="611"/>
        <v/>
      </c>
      <c r="AU1268" s="58"/>
      <c r="AV1268" s="59"/>
      <c r="AW1268" s="59"/>
      <c r="AX1268" s="60"/>
      <c r="AY1268" s="61">
        <v>1</v>
      </c>
      <c r="AZ1268" s="62">
        <f t="shared" si="613"/>
        <v>4</v>
      </c>
      <c r="BA1268" s="61">
        <f t="shared" si="614"/>
        <v>0</v>
      </c>
      <c r="BB1268" s="62" t="str">
        <f t="shared" si="615"/>
        <v/>
      </c>
    </row>
    <row r="1269" spans="1:54" s="3" customFormat="1" hidden="1" x14ac:dyDescent="0.35">
      <c r="A1269" s="73">
        <f t="shared" si="592"/>
        <v>2019</v>
      </c>
      <c r="B1269" s="73" t="str">
        <f t="shared" si="593"/>
        <v>Nov</v>
      </c>
      <c r="C1269" s="74">
        <f t="shared" si="616"/>
        <v>17</v>
      </c>
      <c r="D1269" s="75">
        <f t="shared" si="594"/>
        <v>12</v>
      </c>
      <c r="E1269" s="76">
        <f t="shared" si="595"/>
        <v>18</v>
      </c>
      <c r="F1269" s="80">
        <v>18</v>
      </c>
      <c r="G1269" s="83"/>
      <c r="H1269" s="69" t="str">
        <f t="shared" si="617"/>
        <v>Senbur6_20191117_12_00</v>
      </c>
      <c r="I1269" s="70">
        <f t="shared" ref="I1269:N1285" si="621">I1268</f>
        <v>1</v>
      </c>
      <c r="J1269" s="77" t="str">
        <f t="shared" si="621"/>
        <v>Senecio</v>
      </c>
      <c r="K1269" s="77" t="str">
        <f t="shared" si="621"/>
        <v>burtoni</v>
      </c>
      <c r="L1269" s="78">
        <f t="shared" si="621"/>
        <v>6</v>
      </c>
      <c r="M1269" s="78">
        <f t="shared" si="621"/>
        <v>12</v>
      </c>
      <c r="N1269" s="72">
        <f t="shared" si="621"/>
        <v>0</v>
      </c>
      <c r="O1269" s="45"/>
      <c r="P1269" s="46">
        <f t="shared" si="596"/>
        <v>1</v>
      </c>
      <c r="Q1269" s="47" t="str">
        <f t="shared" si="597"/>
        <v>12:18:18</v>
      </c>
      <c r="R1269" s="48" t="str">
        <f t="shared" si="598"/>
        <v>18:18</v>
      </c>
      <c r="S1269" s="49">
        <f t="shared" si="591"/>
        <v>38</v>
      </c>
      <c r="T1269" s="48" t="str">
        <f t="shared" si="599"/>
        <v>12</v>
      </c>
      <c r="U1269" s="50">
        <v>18</v>
      </c>
      <c r="V1269" s="51">
        <v>56</v>
      </c>
      <c r="W1269" s="52" t="str">
        <f t="shared" si="600"/>
        <v>18:56</v>
      </c>
      <c r="X1269" s="53" t="s">
        <v>73</v>
      </c>
      <c r="Y1269" s="97" t="s">
        <v>89</v>
      </c>
      <c r="Z1269" s="97" t="s">
        <v>80</v>
      </c>
      <c r="AA1269" s="48" t="s">
        <v>63</v>
      </c>
      <c r="AB1269" s="48" t="str">
        <f t="shared" si="601"/>
        <v>NA</v>
      </c>
      <c r="AC1269" s="54">
        <f t="shared" si="602"/>
        <v>0</v>
      </c>
      <c r="AD1269" s="55">
        <v>2</v>
      </c>
      <c r="AE1269" s="55"/>
      <c r="AF1269" s="55"/>
      <c r="AG1269" s="56">
        <v>1</v>
      </c>
      <c r="AH1269" s="57">
        <v>9</v>
      </c>
      <c r="AI1269" s="56">
        <v>1</v>
      </c>
      <c r="AJ1269" s="57">
        <v>1</v>
      </c>
      <c r="AK1269" s="56">
        <v>1</v>
      </c>
      <c r="AL1269" s="57">
        <v>28</v>
      </c>
      <c r="AM1269" s="56"/>
      <c r="AN1269" s="57" t="str">
        <f t="shared" si="608"/>
        <v/>
      </c>
      <c r="AO1269" s="56"/>
      <c r="AP1269" s="57" t="str">
        <f t="shared" si="609"/>
        <v/>
      </c>
      <c r="AQ1269" s="56"/>
      <c r="AR1269" s="57" t="str">
        <f t="shared" si="610"/>
        <v/>
      </c>
      <c r="AS1269" s="56"/>
      <c r="AT1269" s="57" t="str">
        <f t="shared" si="611"/>
        <v/>
      </c>
      <c r="AU1269" s="58"/>
      <c r="AV1269" s="59"/>
      <c r="AW1269" s="59"/>
      <c r="AX1269" s="60"/>
      <c r="AY1269" s="61">
        <v>1</v>
      </c>
      <c r="AZ1269" s="62">
        <f t="shared" si="613"/>
        <v>2</v>
      </c>
      <c r="BA1269" s="61">
        <f t="shared" si="614"/>
        <v>0</v>
      </c>
      <c r="BB1269" s="62" t="str">
        <f t="shared" si="615"/>
        <v/>
      </c>
    </row>
    <row r="1270" spans="1:54" s="3" customFormat="1" hidden="1" x14ac:dyDescent="0.35">
      <c r="A1270" s="73">
        <f t="shared" si="592"/>
        <v>2019</v>
      </c>
      <c r="B1270" s="73" t="str">
        <f t="shared" ref="B1270" si="622">IF(C1269-C1270&gt;0, TEXT(DATE(2016,(MONTH(DATEVALUE(B1269&amp;"1"))+1),1),"mmm"), B1269)</f>
        <v>Nov</v>
      </c>
      <c r="C1270" s="74">
        <f t="shared" ref="C1270" si="623">IF(AND(D1270=0, E1270=0), IF(TEXT(C1269,"dd")=TEXT(EOMONTH(DATE(A1269,MONTH(DATEVALUE(B1269&amp;"1")),C1269),0), "dd"), 1, C1269+1), C1269)</f>
        <v>17</v>
      </c>
      <c r="D1270" s="75">
        <f t="shared" ref="D1270" si="624">IF(IF(E1269=59,D1269+1,D1269)=24,0,IF(E1269=59,D1269+1,D1269))</f>
        <v>12</v>
      </c>
      <c r="E1270" s="76">
        <f t="shared" si="595"/>
        <v>19</v>
      </c>
      <c r="F1270" s="80">
        <v>5</v>
      </c>
      <c r="G1270" s="83"/>
      <c r="H1270" s="69" t="str">
        <f t="shared" ref="H1270" si="625">IF(AND(OR(E1269=$G$3,E1269=$G$4,E1269=$G$5,E1269=$G$6,E1269=$G$7,E1269=$G$8),E1269&lt;&gt;RIGHT(H1269,2)),CONCATENATE(LEFT(J1270,3),LEFT(K1270,3),L1270,"_",A1270,TEXT(MONTH(DATEVALUE(B1270&amp;"1")),"00"),TEXT(C1270,"00"),"_",TEXT(D1270,"00"),"_",TEXT(E1269,"00")),IF(AND(OR(E1270=$G$3,E1270=$G$4,E1270=$G$5,E1270=$G$6,E1270=$G$7,E1270=$G$8),OR(F1270="",F1270&gt;$G$9-1)),CONCATENATE(LEFT(J1270,3),LEFT(K1270,3),L1270,"_",A1270,TEXT(MONTH(DATEVALUE(B1270&amp;"1")),"00"),TEXT(C1270,"00"),"_",TEXT(D1270,"00"),"_",TEXT(E1270,"00")),H1269))</f>
        <v>Senbur6_20191117_12_00</v>
      </c>
      <c r="I1270" s="70">
        <f t="shared" si="621"/>
        <v>1</v>
      </c>
      <c r="J1270" s="77" t="str">
        <f t="shared" si="621"/>
        <v>Senecio</v>
      </c>
      <c r="K1270" s="77" t="str">
        <f t="shared" si="621"/>
        <v>burtoni</v>
      </c>
      <c r="L1270" s="78">
        <f t="shared" si="621"/>
        <v>6</v>
      </c>
      <c r="M1270" s="78">
        <f t="shared" si="621"/>
        <v>12</v>
      </c>
      <c r="N1270" s="72">
        <f t="shared" si="621"/>
        <v>0</v>
      </c>
      <c r="O1270" s="45"/>
      <c r="P1270" s="46">
        <f t="shared" ref="P1270" si="626">IF(F1270="","",1)</f>
        <v>1</v>
      </c>
      <c r="Q1270" s="47" t="str">
        <f t="shared" ref="Q1270" si="627">TEXT(IF(P1270=1,CONCATENATE($D1270,":",$E1270,":",(LEFT($F1270,2))),""),"hh:mm:ss")</f>
        <v>12:19:05</v>
      </c>
      <c r="R1270" s="48" t="str">
        <f t="shared" ref="R1270" si="628">TEXT(Q1270-TIME(0,RIGHT($H1270,2),$G$9)+(Q1270&gt;TIME(0,RIGHT($H1270,2),$G$9)),"mm:ss")</f>
        <v>19:05</v>
      </c>
      <c r="S1270" s="49">
        <f t="shared" ref="S1270" si="629">IF(T1270&lt;D1270, (T1270*3600+U1270*60+V1270)+((23*3600+59*60+60)-(D1270*3600+E1270*60+LEFT(F1270,2))), (T1270*3600+U1270*60+V1270)-(D1270*3600+E1270*60+LEFT(F1270,2)))</f>
        <v>69</v>
      </c>
      <c r="T1270" s="48" t="str">
        <f t="shared" ref="T1270" si="630">TEXT(IF(P1270=1,D1270,""),"00")</f>
        <v>12</v>
      </c>
      <c r="U1270" s="50">
        <v>20</v>
      </c>
      <c r="V1270" s="51">
        <v>14</v>
      </c>
      <c r="W1270" s="52" t="str">
        <f t="shared" ref="W1270" si="631">IF(O1270=0,TEXT(TIME(T1270,U1270,V1270)-TIME(D1270,E1270,RIGHT(F1270,2))+TIME(0,LEFT(R1270,2),RIGHT(R1270,2)),"mm:ss"),TEXT(TIME(T1270,U1270,V1270)-TIME(D1270,E1270,RIGHT(F1270,2))+TIME(0,LEFT(R1270,2),RIGHT(R1270,2))-TIME(0,($G$10*O1270),0),"mm:ss"))</f>
        <v>20:14</v>
      </c>
      <c r="X1270" s="53" t="s">
        <v>73</v>
      </c>
      <c r="Y1270" s="97" t="s">
        <v>89</v>
      </c>
      <c r="Z1270" s="97" t="s">
        <v>80</v>
      </c>
      <c r="AA1270" s="48" t="s">
        <v>63</v>
      </c>
      <c r="AB1270" s="48" t="str">
        <f t="shared" ref="AB1270" si="632">IF(AA1270&lt;&gt;0,"NA","")</f>
        <v>NA</v>
      </c>
      <c r="AC1270" s="54">
        <f t="shared" ref="AC1270" si="633">IF(SUM(AH1270,AJ1270,AL1270,AN1270,AP1270,AR1270,AT1270)=S1270,,"")</f>
        <v>0</v>
      </c>
      <c r="AD1270" s="55">
        <v>1</v>
      </c>
      <c r="AE1270" s="55"/>
      <c r="AF1270" s="55"/>
      <c r="AG1270" s="56"/>
      <c r="AH1270" s="57"/>
      <c r="AI1270" s="56"/>
      <c r="AJ1270" s="57"/>
      <c r="AK1270" s="56">
        <v>1</v>
      </c>
      <c r="AL1270" s="57">
        <v>69</v>
      </c>
      <c r="AM1270" s="56"/>
      <c r="AN1270" s="57" t="str">
        <f t="shared" ref="AN1270" si="634">IF(AM1270=1,$S1270,"")</f>
        <v/>
      </c>
      <c r="AO1270" s="56"/>
      <c r="AP1270" s="57" t="str">
        <f t="shared" ref="AP1270" si="635">IF(AO1270=1,$S1270,"")</f>
        <v/>
      </c>
      <c r="AQ1270" s="56"/>
      <c r="AR1270" s="57" t="str">
        <f t="shared" ref="AR1270" si="636">IF(AQ1270=1,$S1270,"")</f>
        <v/>
      </c>
      <c r="AS1270" s="56"/>
      <c r="AT1270" s="57" t="str">
        <f t="shared" ref="AT1270" si="637">IF(AS1270=1,$S1270,"")</f>
        <v/>
      </c>
      <c r="AU1270" s="58"/>
      <c r="AV1270" s="59"/>
      <c r="AW1270" s="59"/>
      <c r="AX1270" s="60"/>
      <c r="AY1270" s="61">
        <v>1</v>
      </c>
      <c r="AZ1270" s="62">
        <f t="shared" ref="AZ1270" si="638">IF(AY1270=1,AD1270,"")</f>
        <v>1</v>
      </c>
      <c r="BA1270" s="61">
        <f t="shared" ref="BA1270" si="639">IF(P1270=1,0,"")</f>
        <v>0</v>
      </c>
      <c r="BB1270" s="62" t="str">
        <f t="shared" ref="BB1270" si="640">IF(BA1270=1,AD1270,"")</f>
        <v/>
      </c>
    </row>
    <row r="1271" spans="1:54" s="3" customFormat="1" hidden="1" x14ac:dyDescent="0.35">
      <c r="A1271" s="73">
        <f>A1269</f>
        <v>2019</v>
      </c>
      <c r="B1271" s="73" t="str">
        <f>IF(C1269-C1271&gt;0, TEXT(DATE(2016,(MONTH(DATEVALUE(B1269&amp;"1"))+1),1),"mmm"), B1269)</f>
        <v>Nov</v>
      </c>
      <c r="C1271" s="74">
        <f>IF(AND(D1271=0, E1271=0), IF(TEXT(C1269,"dd")=TEXT(EOMONTH(DATE(A1269,MONTH(DATEVALUE(B1269&amp;"1")),C1269),0), "dd"), 1, C1269+1), C1269)</f>
        <v>17</v>
      </c>
      <c r="D1271" s="75">
        <f>IF(IF(E1269=59,D1269+1,D1269)=24,0,IF(E1269=59,D1269+1,D1269))</f>
        <v>12</v>
      </c>
      <c r="E1271" s="76">
        <f>IF(E1269&lt;59,E1269+1,0)</f>
        <v>19</v>
      </c>
      <c r="F1271" s="80">
        <v>11</v>
      </c>
      <c r="G1271" s="83"/>
      <c r="H1271" s="69" t="str">
        <f>IF(AND(OR(E1269=$G$3,E1269=$G$4,E1269=$G$5,E1269=$G$6,E1269=$G$7,E1269=$G$8),E1269&lt;&gt;RIGHT(H1269,2)),CONCATENATE(LEFT(J1271,3),LEFT(K1271,3),L1271,"_",A1271,TEXT(MONTH(DATEVALUE(B1271&amp;"1")),"00"),TEXT(C1271,"00"),"_",TEXT(D1271,"00"),"_",TEXT(E1269,"00")),IF(AND(OR(E1271=$G$3,E1271=$G$4,E1271=$G$5,E1271=$G$6,E1271=$G$7,E1271=$G$8),OR(F1271="",F1271&gt;$G$9-1)),CONCATENATE(LEFT(J1271,3),LEFT(K1271,3),L1271,"_",A1271,TEXT(MONTH(DATEVALUE(B1271&amp;"1")),"00"),TEXT(C1271,"00"),"_",TEXT(D1271,"00"),"_",TEXT(E1271,"00")),H1269))</f>
        <v>Senbur6_20191117_12_00</v>
      </c>
      <c r="I1271" s="70">
        <f t="shared" ref="I1271:N1271" si="641">I1269</f>
        <v>1</v>
      </c>
      <c r="J1271" s="77" t="str">
        <f t="shared" si="641"/>
        <v>Senecio</v>
      </c>
      <c r="K1271" s="77" t="str">
        <f t="shared" si="641"/>
        <v>burtoni</v>
      </c>
      <c r="L1271" s="78">
        <f t="shared" si="641"/>
        <v>6</v>
      </c>
      <c r="M1271" s="78">
        <f t="shared" si="641"/>
        <v>12</v>
      </c>
      <c r="N1271" s="72">
        <f t="shared" si="641"/>
        <v>0</v>
      </c>
      <c r="O1271" s="45"/>
      <c r="P1271" s="46">
        <f t="shared" si="596"/>
        <v>1</v>
      </c>
      <c r="Q1271" s="47" t="str">
        <f t="shared" si="597"/>
        <v>12:19:11</v>
      </c>
      <c r="R1271" s="48" t="str">
        <f t="shared" si="598"/>
        <v>19:11</v>
      </c>
      <c r="S1271" s="49">
        <f t="shared" si="591"/>
        <v>103</v>
      </c>
      <c r="T1271" s="48" t="str">
        <f t="shared" si="599"/>
        <v>12</v>
      </c>
      <c r="U1271" s="50">
        <v>20</v>
      </c>
      <c r="V1271" s="51">
        <v>54</v>
      </c>
      <c r="W1271" s="52" t="str">
        <f t="shared" si="600"/>
        <v>20:54</v>
      </c>
      <c r="X1271" s="53" t="s">
        <v>59</v>
      </c>
      <c r="Y1271" s="97" t="s">
        <v>78</v>
      </c>
      <c r="Z1271" s="97"/>
      <c r="AA1271" s="48" t="s">
        <v>60</v>
      </c>
      <c r="AB1271" s="48" t="str">
        <f t="shared" si="601"/>
        <v>NA</v>
      </c>
      <c r="AC1271" s="54">
        <f t="shared" si="602"/>
        <v>0</v>
      </c>
      <c r="AD1271" s="55">
        <f t="shared" si="603"/>
        <v>1</v>
      </c>
      <c r="AE1271" s="55"/>
      <c r="AF1271" s="55"/>
      <c r="AG1271" s="56" t="str">
        <f t="shared" si="604"/>
        <v/>
      </c>
      <c r="AH1271" s="57" t="str">
        <f t="shared" si="605"/>
        <v/>
      </c>
      <c r="AI1271" s="56"/>
      <c r="AJ1271" s="57" t="str">
        <f t="shared" si="606"/>
        <v/>
      </c>
      <c r="AK1271" s="56">
        <v>1</v>
      </c>
      <c r="AL1271" s="57">
        <f t="shared" si="607"/>
        <v>103</v>
      </c>
      <c r="AM1271" s="56"/>
      <c r="AN1271" s="57" t="str">
        <f t="shared" si="608"/>
        <v/>
      </c>
      <c r="AO1271" s="56"/>
      <c r="AP1271" s="57" t="str">
        <f t="shared" si="609"/>
        <v/>
      </c>
      <c r="AQ1271" s="56"/>
      <c r="AR1271" s="57" t="str">
        <f t="shared" si="610"/>
        <v/>
      </c>
      <c r="AS1271" s="56"/>
      <c r="AT1271" s="57" t="str">
        <f t="shared" si="611"/>
        <v/>
      </c>
      <c r="AU1271" s="58"/>
      <c r="AV1271" s="59"/>
      <c r="AW1271" s="59"/>
      <c r="AX1271" s="60"/>
      <c r="AY1271" s="61">
        <v>1</v>
      </c>
      <c r="AZ1271" s="62">
        <f t="shared" si="613"/>
        <v>1</v>
      </c>
      <c r="BA1271" s="61">
        <f t="shared" si="614"/>
        <v>0</v>
      </c>
      <c r="BB1271" s="62" t="str">
        <f t="shared" si="615"/>
        <v/>
      </c>
    </row>
    <row r="1272" spans="1:54" s="3" customFormat="1" hidden="1" x14ac:dyDescent="0.35">
      <c r="A1272" s="73">
        <f t="shared" si="592"/>
        <v>2019</v>
      </c>
      <c r="B1272" s="73" t="str">
        <f t="shared" si="593"/>
        <v>Nov</v>
      </c>
      <c r="C1272" s="74">
        <f t="shared" si="616"/>
        <v>17</v>
      </c>
      <c r="D1272" s="75">
        <f t="shared" si="594"/>
        <v>12</v>
      </c>
      <c r="E1272" s="76">
        <f t="shared" si="595"/>
        <v>20</v>
      </c>
      <c r="F1272" s="80">
        <v>18</v>
      </c>
      <c r="G1272" s="83"/>
      <c r="H1272" s="69" t="str">
        <f t="shared" si="617"/>
        <v>Senbur6_20191117_12_00</v>
      </c>
      <c r="I1272" s="70">
        <f t="shared" si="621"/>
        <v>1</v>
      </c>
      <c r="J1272" s="77" t="str">
        <f t="shared" si="621"/>
        <v>Senecio</v>
      </c>
      <c r="K1272" s="77" t="str">
        <f t="shared" si="621"/>
        <v>burtoni</v>
      </c>
      <c r="L1272" s="78">
        <f t="shared" si="621"/>
        <v>6</v>
      </c>
      <c r="M1272" s="78">
        <f t="shared" si="621"/>
        <v>12</v>
      </c>
      <c r="N1272" s="72">
        <f t="shared" si="621"/>
        <v>0</v>
      </c>
      <c r="O1272" s="45"/>
      <c r="P1272" s="46">
        <f t="shared" si="596"/>
        <v>1</v>
      </c>
      <c r="Q1272" s="47" t="str">
        <f t="shared" si="597"/>
        <v>12:20:18</v>
      </c>
      <c r="R1272" s="48" t="str">
        <f t="shared" si="598"/>
        <v>20:18</v>
      </c>
      <c r="S1272" s="49">
        <f t="shared" si="591"/>
        <v>90</v>
      </c>
      <c r="T1272" s="48" t="str">
        <f t="shared" si="599"/>
        <v>12</v>
      </c>
      <c r="U1272" s="50">
        <v>21</v>
      </c>
      <c r="V1272" s="51">
        <v>48</v>
      </c>
      <c r="W1272" s="52" t="str">
        <f t="shared" si="600"/>
        <v>21:48</v>
      </c>
      <c r="X1272" s="53" t="s">
        <v>73</v>
      </c>
      <c r="Y1272" s="97" t="s">
        <v>89</v>
      </c>
      <c r="Z1272" s="97" t="s">
        <v>80</v>
      </c>
      <c r="AA1272" s="48" t="s">
        <v>63</v>
      </c>
      <c r="AB1272" s="48" t="str">
        <f t="shared" si="601"/>
        <v>NA</v>
      </c>
      <c r="AC1272" s="54">
        <f t="shared" si="602"/>
        <v>0</v>
      </c>
      <c r="AD1272" s="55">
        <v>4</v>
      </c>
      <c r="AE1272" s="55"/>
      <c r="AF1272" s="55"/>
      <c r="AG1272" s="56">
        <v>1</v>
      </c>
      <c r="AH1272" s="57">
        <v>24</v>
      </c>
      <c r="AI1272" s="56">
        <v>1</v>
      </c>
      <c r="AJ1272" s="57">
        <v>1</v>
      </c>
      <c r="AK1272" s="56">
        <v>1</v>
      </c>
      <c r="AL1272" s="57">
        <v>65</v>
      </c>
      <c r="AM1272" s="56"/>
      <c r="AN1272" s="57" t="str">
        <f t="shared" si="608"/>
        <v/>
      </c>
      <c r="AO1272" s="56"/>
      <c r="AP1272" s="57" t="str">
        <f t="shared" si="609"/>
        <v/>
      </c>
      <c r="AQ1272" s="56"/>
      <c r="AR1272" s="57" t="str">
        <f t="shared" si="610"/>
        <v/>
      </c>
      <c r="AS1272" s="56"/>
      <c r="AT1272" s="57" t="str">
        <f t="shared" si="611"/>
        <v/>
      </c>
      <c r="AU1272" s="58"/>
      <c r="AV1272" s="59"/>
      <c r="AW1272" s="59"/>
      <c r="AX1272" s="60"/>
      <c r="AY1272" s="61">
        <v>1</v>
      </c>
      <c r="AZ1272" s="62">
        <f t="shared" si="613"/>
        <v>4</v>
      </c>
      <c r="BA1272" s="61">
        <f t="shared" si="614"/>
        <v>0</v>
      </c>
      <c r="BB1272" s="62" t="str">
        <f t="shared" si="615"/>
        <v/>
      </c>
    </row>
    <row r="1273" spans="1:54" s="3" customFormat="1" hidden="1" x14ac:dyDescent="0.35">
      <c r="A1273" s="73">
        <f t="shared" si="592"/>
        <v>2019</v>
      </c>
      <c r="B1273" s="73" t="str">
        <f t="shared" si="593"/>
        <v>Nov</v>
      </c>
      <c r="C1273" s="74">
        <f t="shared" si="616"/>
        <v>17</v>
      </c>
      <c r="D1273" s="75">
        <f t="shared" si="594"/>
        <v>12</v>
      </c>
      <c r="E1273" s="76">
        <f t="shared" si="595"/>
        <v>21</v>
      </c>
      <c r="F1273" s="80"/>
      <c r="G1273" s="83"/>
      <c r="H1273" s="69" t="str">
        <f t="shared" si="617"/>
        <v>Senbur6_20191117_12_00</v>
      </c>
      <c r="I1273" s="70">
        <f t="shared" si="621"/>
        <v>1</v>
      </c>
      <c r="J1273" s="77" t="str">
        <f t="shared" si="621"/>
        <v>Senecio</v>
      </c>
      <c r="K1273" s="77" t="str">
        <f t="shared" si="621"/>
        <v>burtoni</v>
      </c>
      <c r="L1273" s="78">
        <f t="shared" si="621"/>
        <v>6</v>
      </c>
      <c r="M1273" s="78">
        <f t="shared" si="621"/>
        <v>12</v>
      </c>
      <c r="N1273" s="72">
        <f t="shared" si="621"/>
        <v>0</v>
      </c>
      <c r="O1273" s="45"/>
      <c r="P1273" s="46" t="str">
        <f t="shared" si="596"/>
        <v/>
      </c>
      <c r="Q1273" s="47" t="str">
        <f t="shared" si="597"/>
        <v/>
      </c>
      <c r="R1273" s="48" t="e">
        <f t="shared" si="598"/>
        <v>#VALUE!</v>
      </c>
      <c r="S1273" s="49" t="e">
        <f t="shared" si="591"/>
        <v>#VALUE!</v>
      </c>
      <c r="T1273" s="48" t="str">
        <f t="shared" si="599"/>
        <v/>
      </c>
      <c r="U1273" s="50"/>
      <c r="V1273" s="51"/>
      <c r="W1273" s="52" t="e">
        <f t="shared" si="600"/>
        <v>#VALUE!</v>
      </c>
      <c r="X1273" s="53"/>
      <c r="Y1273" s="53"/>
      <c r="Z1273" s="53"/>
      <c r="AA1273" s="48" t="e">
        <f>INDEX([1]!VISITORS[INSECT ORDER], MATCH(X1273,[1]!VISITORS[NAME USED],0))</f>
        <v>#REF!</v>
      </c>
      <c r="AB1273" s="48" t="e">
        <f t="shared" si="601"/>
        <v>#REF!</v>
      </c>
      <c r="AC1273" s="54" t="e">
        <f t="shared" si="602"/>
        <v>#VALUE!</v>
      </c>
      <c r="AD1273" s="55" t="str">
        <f t="shared" si="603"/>
        <v/>
      </c>
      <c r="AE1273" s="55"/>
      <c r="AF1273" s="55"/>
      <c r="AG1273" s="56" t="str">
        <f t="shared" si="604"/>
        <v/>
      </c>
      <c r="AH1273" s="57" t="str">
        <f t="shared" si="605"/>
        <v/>
      </c>
      <c r="AI1273" s="56"/>
      <c r="AJ1273" s="57" t="str">
        <f t="shared" si="606"/>
        <v/>
      </c>
      <c r="AK1273" s="56"/>
      <c r="AL1273" s="57" t="str">
        <f t="shared" si="607"/>
        <v/>
      </c>
      <c r="AM1273" s="56"/>
      <c r="AN1273" s="57" t="str">
        <f t="shared" si="608"/>
        <v/>
      </c>
      <c r="AO1273" s="56"/>
      <c r="AP1273" s="57" t="str">
        <f t="shared" si="609"/>
        <v/>
      </c>
      <c r="AQ1273" s="56"/>
      <c r="AR1273" s="57" t="str">
        <f t="shared" si="610"/>
        <v/>
      </c>
      <c r="AS1273" s="56"/>
      <c r="AT1273" s="57" t="str">
        <f t="shared" si="611"/>
        <v/>
      </c>
      <c r="AU1273" s="58"/>
      <c r="AV1273" s="59"/>
      <c r="AW1273" s="59"/>
      <c r="AX1273" s="60"/>
      <c r="AY1273" s="61" t="str">
        <f t="shared" si="612"/>
        <v/>
      </c>
      <c r="AZ1273" s="62" t="str">
        <f t="shared" si="613"/>
        <v/>
      </c>
      <c r="BA1273" s="61" t="str">
        <f t="shared" si="614"/>
        <v/>
      </c>
      <c r="BB1273" s="62" t="str">
        <f t="shared" si="615"/>
        <v/>
      </c>
    </row>
    <row r="1274" spans="1:54" s="3" customFormat="1" hidden="1" x14ac:dyDescent="0.35">
      <c r="A1274" s="73">
        <f t="shared" si="592"/>
        <v>2019</v>
      </c>
      <c r="B1274" s="73" t="str">
        <f t="shared" si="593"/>
        <v>Nov</v>
      </c>
      <c r="C1274" s="74">
        <f t="shared" si="616"/>
        <v>17</v>
      </c>
      <c r="D1274" s="75">
        <f t="shared" si="594"/>
        <v>12</v>
      </c>
      <c r="E1274" s="76">
        <f t="shared" si="595"/>
        <v>22</v>
      </c>
      <c r="F1274" s="80"/>
      <c r="G1274" s="83"/>
      <c r="H1274" s="69" t="str">
        <f t="shared" si="617"/>
        <v>Senbur6_20191117_12_00</v>
      </c>
      <c r="I1274" s="70">
        <f t="shared" si="621"/>
        <v>1</v>
      </c>
      <c r="J1274" s="77" t="str">
        <f t="shared" si="621"/>
        <v>Senecio</v>
      </c>
      <c r="K1274" s="77" t="str">
        <f t="shared" si="621"/>
        <v>burtoni</v>
      </c>
      <c r="L1274" s="78">
        <f t="shared" si="621"/>
        <v>6</v>
      </c>
      <c r="M1274" s="78">
        <f t="shared" si="621"/>
        <v>12</v>
      </c>
      <c r="N1274" s="72">
        <f t="shared" si="621"/>
        <v>0</v>
      </c>
      <c r="O1274" s="45"/>
      <c r="P1274" s="46" t="str">
        <f t="shared" si="596"/>
        <v/>
      </c>
      <c r="Q1274" s="47" t="str">
        <f t="shared" si="597"/>
        <v/>
      </c>
      <c r="R1274" s="48" t="e">
        <f t="shared" si="598"/>
        <v>#VALUE!</v>
      </c>
      <c r="S1274" s="49" t="e">
        <f t="shared" si="591"/>
        <v>#VALUE!</v>
      </c>
      <c r="T1274" s="48" t="str">
        <f t="shared" si="599"/>
        <v/>
      </c>
      <c r="U1274" s="50"/>
      <c r="V1274" s="51"/>
      <c r="W1274" s="52" t="e">
        <f t="shared" si="600"/>
        <v>#VALUE!</v>
      </c>
      <c r="X1274" s="53"/>
      <c r="Y1274" s="53"/>
      <c r="Z1274" s="53"/>
      <c r="AA1274" s="48" t="e">
        <f>INDEX([1]!VISITORS[INSECT ORDER], MATCH(X1274,[1]!VISITORS[NAME USED],0))</f>
        <v>#REF!</v>
      </c>
      <c r="AB1274" s="48" t="e">
        <f t="shared" si="601"/>
        <v>#REF!</v>
      </c>
      <c r="AC1274" s="54" t="e">
        <f t="shared" si="602"/>
        <v>#VALUE!</v>
      </c>
      <c r="AD1274" s="55" t="str">
        <f t="shared" si="603"/>
        <v/>
      </c>
      <c r="AE1274" s="55"/>
      <c r="AF1274" s="55"/>
      <c r="AG1274" s="56" t="str">
        <f t="shared" si="604"/>
        <v/>
      </c>
      <c r="AH1274" s="57" t="str">
        <f t="shared" si="605"/>
        <v/>
      </c>
      <c r="AI1274" s="56"/>
      <c r="AJ1274" s="57" t="str">
        <f t="shared" si="606"/>
        <v/>
      </c>
      <c r="AK1274" s="56"/>
      <c r="AL1274" s="57" t="str">
        <f t="shared" si="607"/>
        <v/>
      </c>
      <c r="AM1274" s="56"/>
      <c r="AN1274" s="57" t="str">
        <f t="shared" si="608"/>
        <v/>
      </c>
      <c r="AO1274" s="56"/>
      <c r="AP1274" s="57" t="str">
        <f t="shared" si="609"/>
        <v/>
      </c>
      <c r="AQ1274" s="56"/>
      <c r="AR1274" s="57" t="str">
        <f t="shared" si="610"/>
        <v/>
      </c>
      <c r="AS1274" s="56"/>
      <c r="AT1274" s="57" t="str">
        <f t="shared" si="611"/>
        <v/>
      </c>
      <c r="AU1274" s="58"/>
      <c r="AV1274" s="59"/>
      <c r="AW1274" s="59"/>
      <c r="AX1274" s="60"/>
      <c r="AY1274" s="61" t="str">
        <f t="shared" si="612"/>
        <v/>
      </c>
      <c r="AZ1274" s="62" t="str">
        <f t="shared" si="613"/>
        <v/>
      </c>
      <c r="BA1274" s="61" t="str">
        <f t="shared" si="614"/>
        <v/>
      </c>
      <c r="BB1274" s="62" t="str">
        <f t="shared" si="615"/>
        <v/>
      </c>
    </row>
    <row r="1275" spans="1:54" s="3" customFormat="1" hidden="1" x14ac:dyDescent="0.35">
      <c r="A1275" s="73">
        <f t="shared" si="592"/>
        <v>2019</v>
      </c>
      <c r="B1275" s="73" t="str">
        <f t="shared" si="593"/>
        <v>Nov</v>
      </c>
      <c r="C1275" s="74">
        <f t="shared" si="616"/>
        <v>17</v>
      </c>
      <c r="D1275" s="75">
        <f t="shared" si="594"/>
        <v>12</v>
      </c>
      <c r="E1275" s="76">
        <f t="shared" si="595"/>
        <v>23</v>
      </c>
      <c r="F1275" s="80">
        <v>16</v>
      </c>
      <c r="G1275" s="83"/>
      <c r="H1275" s="69" t="str">
        <f t="shared" si="617"/>
        <v>Senbur6_20191117_12_00</v>
      </c>
      <c r="I1275" s="70">
        <f t="shared" si="621"/>
        <v>1</v>
      </c>
      <c r="J1275" s="77" t="str">
        <f t="shared" si="621"/>
        <v>Senecio</v>
      </c>
      <c r="K1275" s="77" t="str">
        <f t="shared" si="621"/>
        <v>burtoni</v>
      </c>
      <c r="L1275" s="78">
        <f t="shared" si="621"/>
        <v>6</v>
      </c>
      <c r="M1275" s="78">
        <f t="shared" si="621"/>
        <v>12</v>
      </c>
      <c r="N1275" s="72">
        <f t="shared" si="621"/>
        <v>0</v>
      </c>
      <c r="O1275" s="45"/>
      <c r="P1275" s="46">
        <f t="shared" si="596"/>
        <v>1</v>
      </c>
      <c r="Q1275" s="47" t="str">
        <f t="shared" si="597"/>
        <v>12:23:16</v>
      </c>
      <c r="R1275" s="48" t="str">
        <f t="shared" si="598"/>
        <v>23:16</v>
      </c>
      <c r="S1275" s="49">
        <f t="shared" si="591"/>
        <v>68</v>
      </c>
      <c r="T1275" s="48" t="str">
        <f t="shared" si="599"/>
        <v>12</v>
      </c>
      <c r="U1275" s="50">
        <v>24</v>
      </c>
      <c r="V1275" s="51">
        <v>24</v>
      </c>
      <c r="W1275" s="52" t="str">
        <f t="shared" si="600"/>
        <v>24:24</v>
      </c>
      <c r="X1275" s="53" t="s">
        <v>59</v>
      </c>
      <c r="Y1275" s="97" t="s">
        <v>84</v>
      </c>
      <c r="Z1275" s="97" t="s">
        <v>80</v>
      </c>
      <c r="AA1275" s="48" t="s">
        <v>60</v>
      </c>
      <c r="AB1275" s="48" t="str">
        <f t="shared" si="601"/>
        <v>NA</v>
      </c>
      <c r="AC1275" s="54">
        <f t="shared" si="602"/>
        <v>0</v>
      </c>
      <c r="AD1275" s="55">
        <f t="shared" si="603"/>
        <v>1</v>
      </c>
      <c r="AE1275" s="55"/>
      <c r="AF1275" s="55"/>
      <c r="AG1275" s="56">
        <v>1</v>
      </c>
      <c r="AH1275" s="57">
        <v>2</v>
      </c>
      <c r="AI1275" s="56"/>
      <c r="AJ1275" s="57" t="str">
        <f t="shared" si="606"/>
        <v/>
      </c>
      <c r="AK1275" s="56">
        <v>1</v>
      </c>
      <c r="AL1275" s="57">
        <v>66</v>
      </c>
      <c r="AM1275" s="56"/>
      <c r="AN1275" s="57" t="str">
        <f t="shared" si="608"/>
        <v/>
      </c>
      <c r="AO1275" s="56"/>
      <c r="AP1275" s="57" t="str">
        <f t="shared" si="609"/>
        <v/>
      </c>
      <c r="AQ1275" s="56"/>
      <c r="AR1275" s="57" t="str">
        <f t="shared" si="610"/>
        <v/>
      </c>
      <c r="AS1275" s="56"/>
      <c r="AT1275" s="57" t="str">
        <f t="shared" si="611"/>
        <v/>
      </c>
      <c r="AU1275" s="58"/>
      <c r="AV1275" s="59"/>
      <c r="AW1275" s="59"/>
      <c r="AX1275" s="60"/>
      <c r="AY1275" s="61">
        <v>1</v>
      </c>
      <c r="AZ1275" s="62">
        <f t="shared" si="613"/>
        <v>1</v>
      </c>
      <c r="BA1275" s="61">
        <f t="shared" si="614"/>
        <v>0</v>
      </c>
      <c r="BB1275" s="62" t="str">
        <f t="shared" si="615"/>
        <v/>
      </c>
    </row>
    <row r="1276" spans="1:54" s="3" customFormat="1" hidden="1" x14ac:dyDescent="0.35">
      <c r="A1276" s="73">
        <f t="shared" si="592"/>
        <v>2019</v>
      </c>
      <c r="B1276" s="73" t="str">
        <f t="shared" si="593"/>
        <v>Nov</v>
      </c>
      <c r="C1276" s="74">
        <f t="shared" si="616"/>
        <v>17</v>
      </c>
      <c r="D1276" s="75">
        <f t="shared" si="594"/>
        <v>12</v>
      </c>
      <c r="E1276" s="76">
        <v>23</v>
      </c>
      <c r="F1276" s="80">
        <v>42</v>
      </c>
      <c r="G1276" s="83"/>
      <c r="H1276" s="69" t="str">
        <f t="shared" si="617"/>
        <v>Senbur6_20191117_12_00</v>
      </c>
      <c r="I1276" s="70">
        <f t="shared" si="621"/>
        <v>1</v>
      </c>
      <c r="J1276" s="77" t="str">
        <f t="shared" si="621"/>
        <v>Senecio</v>
      </c>
      <c r="K1276" s="77" t="str">
        <f t="shared" si="621"/>
        <v>burtoni</v>
      </c>
      <c r="L1276" s="78">
        <f t="shared" si="621"/>
        <v>6</v>
      </c>
      <c r="M1276" s="78">
        <f t="shared" si="621"/>
        <v>12</v>
      </c>
      <c r="N1276" s="72">
        <f t="shared" si="621"/>
        <v>0</v>
      </c>
      <c r="O1276" s="45"/>
      <c r="P1276" s="46">
        <f t="shared" si="596"/>
        <v>1</v>
      </c>
      <c r="Q1276" s="47" t="str">
        <f t="shared" si="597"/>
        <v>12:23:42</v>
      </c>
      <c r="R1276" s="48" t="str">
        <f t="shared" si="598"/>
        <v>23:42</v>
      </c>
      <c r="S1276" s="49">
        <f t="shared" si="591"/>
        <v>41</v>
      </c>
      <c r="T1276" s="48" t="str">
        <f t="shared" si="599"/>
        <v>12</v>
      </c>
      <c r="U1276" s="50">
        <v>24</v>
      </c>
      <c r="V1276" s="51">
        <v>23</v>
      </c>
      <c r="W1276" s="52" t="str">
        <f t="shared" si="600"/>
        <v>24:23</v>
      </c>
      <c r="X1276" s="53" t="s">
        <v>59</v>
      </c>
      <c r="Y1276" s="97" t="s">
        <v>84</v>
      </c>
      <c r="Z1276" s="97" t="s">
        <v>80</v>
      </c>
      <c r="AA1276" s="48" t="s">
        <v>60</v>
      </c>
      <c r="AB1276" s="48" t="str">
        <f t="shared" si="601"/>
        <v>NA</v>
      </c>
      <c r="AC1276" s="54">
        <f t="shared" si="602"/>
        <v>0</v>
      </c>
      <c r="AD1276" s="55">
        <f t="shared" si="603"/>
        <v>1</v>
      </c>
      <c r="AE1276" s="55"/>
      <c r="AF1276" s="55"/>
      <c r="AG1276" s="56">
        <v>1</v>
      </c>
      <c r="AH1276" s="57">
        <v>1</v>
      </c>
      <c r="AI1276" s="56"/>
      <c r="AJ1276" s="57" t="str">
        <f t="shared" si="606"/>
        <v/>
      </c>
      <c r="AK1276" s="56">
        <v>1</v>
      </c>
      <c r="AL1276" s="57">
        <v>40</v>
      </c>
      <c r="AM1276" s="56"/>
      <c r="AN1276" s="57" t="str">
        <f t="shared" si="608"/>
        <v/>
      </c>
      <c r="AO1276" s="56"/>
      <c r="AP1276" s="57" t="str">
        <f t="shared" si="609"/>
        <v/>
      </c>
      <c r="AQ1276" s="56"/>
      <c r="AR1276" s="57" t="str">
        <f t="shared" si="610"/>
        <v/>
      </c>
      <c r="AS1276" s="56"/>
      <c r="AT1276" s="57" t="str">
        <f t="shared" si="611"/>
        <v/>
      </c>
      <c r="AU1276" s="58"/>
      <c r="AV1276" s="59"/>
      <c r="AW1276" s="59"/>
      <c r="AX1276" s="60"/>
      <c r="AY1276" s="61">
        <v>1</v>
      </c>
      <c r="AZ1276" s="62">
        <f t="shared" si="613"/>
        <v>1</v>
      </c>
      <c r="BA1276" s="61">
        <f t="shared" si="614"/>
        <v>0</v>
      </c>
      <c r="BB1276" s="62" t="str">
        <f t="shared" si="615"/>
        <v/>
      </c>
    </row>
    <row r="1277" spans="1:54" s="3" customFormat="1" hidden="1" x14ac:dyDescent="0.35">
      <c r="A1277" s="73">
        <f t="shared" si="592"/>
        <v>2019</v>
      </c>
      <c r="B1277" s="73" t="str">
        <f t="shared" si="593"/>
        <v>Nov</v>
      </c>
      <c r="C1277" s="74">
        <f t="shared" si="616"/>
        <v>17</v>
      </c>
      <c r="D1277" s="75">
        <f t="shared" si="594"/>
        <v>12</v>
      </c>
      <c r="E1277" s="76">
        <f t="shared" si="595"/>
        <v>24</v>
      </c>
      <c r="F1277" s="80"/>
      <c r="G1277" s="83"/>
      <c r="H1277" s="69" t="str">
        <f t="shared" si="617"/>
        <v>Senbur6_20191117_12_00</v>
      </c>
      <c r="I1277" s="70">
        <f t="shared" si="621"/>
        <v>1</v>
      </c>
      <c r="J1277" s="77" t="str">
        <f t="shared" si="621"/>
        <v>Senecio</v>
      </c>
      <c r="K1277" s="77" t="str">
        <f t="shared" si="621"/>
        <v>burtoni</v>
      </c>
      <c r="L1277" s="78">
        <f t="shared" si="621"/>
        <v>6</v>
      </c>
      <c r="M1277" s="78">
        <f t="shared" si="621"/>
        <v>12</v>
      </c>
      <c r="N1277" s="72">
        <f t="shared" si="621"/>
        <v>0</v>
      </c>
      <c r="O1277" s="45"/>
      <c r="P1277" s="46" t="str">
        <f t="shared" si="596"/>
        <v/>
      </c>
      <c r="Q1277" s="47" t="str">
        <f t="shared" si="597"/>
        <v/>
      </c>
      <c r="R1277" s="48" t="e">
        <f t="shared" si="598"/>
        <v>#VALUE!</v>
      </c>
      <c r="S1277" s="49" t="e">
        <f t="shared" si="591"/>
        <v>#VALUE!</v>
      </c>
      <c r="T1277" s="48" t="str">
        <f t="shared" si="599"/>
        <v/>
      </c>
      <c r="U1277" s="50"/>
      <c r="V1277" s="51"/>
      <c r="W1277" s="52" t="e">
        <f t="shared" si="600"/>
        <v>#VALUE!</v>
      </c>
      <c r="X1277" s="53"/>
      <c r="Y1277" s="53"/>
      <c r="Z1277" s="53"/>
      <c r="AA1277" s="48" t="e">
        <f>INDEX([1]!VISITORS[INSECT ORDER], MATCH(X1277,[1]!VISITORS[NAME USED],0))</f>
        <v>#REF!</v>
      </c>
      <c r="AB1277" s="48" t="e">
        <f t="shared" si="601"/>
        <v>#REF!</v>
      </c>
      <c r="AC1277" s="54" t="e">
        <f t="shared" si="602"/>
        <v>#VALUE!</v>
      </c>
      <c r="AD1277" s="55" t="str">
        <f t="shared" si="603"/>
        <v/>
      </c>
      <c r="AE1277" s="55"/>
      <c r="AF1277" s="55"/>
      <c r="AG1277" s="56" t="str">
        <f t="shared" si="604"/>
        <v/>
      </c>
      <c r="AH1277" s="57" t="str">
        <f t="shared" si="605"/>
        <v/>
      </c>
      <c r="AI1277" s="56"/>
      <c r="AJ1277" s="57" t="str">
        <f t="shared" si="606"/>
        <v/>
      </c>
      <c r="AK1277" s="56"/>
      <c r="AL1277" s="57" t="str">
        <f t="shared" si="607"/>
        <v/>
      </c>
      <c r="AM1277" s="56"/>
      <c r="AN1277" s="57" t="str">
        <f t="shared" si="608"/>
        <v/>
      </c>
      <c r="AO1277" s="56"/>
      <c r="AP1277" s="57" t="str">
        <f t="shared" si="609"/>
        <v/>
      </c>
      <c r="AQ1277" s="56"/>
      <c r="AR1277" s="57" t="str">
        <f t="shared" si="610"/>
        <v/>
      </c>
      <c r="AS1277" s="56"/>
      <c r="AT1277" s="57" t="str">
        <f t="shared" si="611"/>
        <v/>
      </c>
      <c r="AU1277" s="58"/>
      <c r="AV1277" s="59"/>
      <c r="AW1277" s="59"/>
      <c r="AX1277" s="60"/>
      <c r="AY1277" s="61" t="str">
        <f t="shared" si="612"/>
        <v/>
      </c>
      <c r="AZ1277" s="62" t="str">
        <f t="shared" si="613"/>
        <v/>
      </c>
      <c r="BA1277" s="61" t="str">
        <f t="shared" si="614"/>
        <v/>
      </c>
      <c r="BB1277" s="62" t="str">
        <f t="shared" si="615"/>
        <v/>
      </c>
    </row>
    <row r="1278" spans="1:54" s="3" customFormat="1" hidden="1" x14ac:dyDescent="0.35">
      <c r="A1278" s="73">
        <f t="shared" si="592"/>
        <v>2019</v>
      </c>
      <c r="B1278" s="73" t="str">
        <f t="shared" si="593"/>
        <v>Nov</v>
      </c>
      <c r="C1278" s="74">
        <f t="shared" si="616"/>
        <v>17</v>
      </c>
      <c r="D1278" s="75">
        <f t="shared" si="594"/>
        <v>12</v>
      </c>
      <c r="E1278" s="76">
        <f t="shared" si="595"/>
        <v>25</v>
      </c>
      <c r="F1278" s="80"/>
      <c r="G1278" s="83"/>
      <c r="H1278" s="69" t="str">
        <f t="shared" si="617"/>
        <v>Senbur6_20191117_12_00</v>
      </c>
      <c r="I1278" s="70">
        <f t="shared" si="621"/>
        <v>1</v>
      </c>
      <c r="J1278" s="77" t="str">
        <f t="shared" si="621"/>
        <v>Senecio</v>
      </c>
      <c r="K1278" s="77" t="str">
        <f t="shared" si="621"/>
        <v>burtoni</v>
      </c>
      <c r="L1278" s="78">
        <f t="shared" si="621"/>
        <v>6</v>
      </c>
      <c r="M1278" s="78">
        <f t="shared" si="621"/>
        <v>12</v>
      </c>
      <c r="N1278" s="72">
        <f t="shared" si="621"/>
        <v>0</v>
      </c>
      <c r="O1278" s="45"/>
      <c r="P1278" s="46" t="str">
        <f t="shared" si="596"/>
        <v/>
      </c>
      <c r="Q1278" s="47" t="str">
        <f t="shared" si="597"/>
        <v/>
      </c>
      <c r="R1278" s="48" t="e">
        <f t="shared" si="598"/>
        <v>#VALUE!</v>
      </c>
      <c r="S1278" s="49" t="e">
        <f t="shared" si="591"/>
        <v>#VALUE!</v>
      </c>
      <c r="T1278" s="48" t="str">
        <f t="shared" si="599"/>
        <v/>
      </c>
      <c r="U1278" s="50"/>
      <c r="V1278" s="51"/>
      <c r="W1278" s="52" t="e">
        <f t="shared" si="600"/>
        <v>#VALUE!</v>
      </c>
      <c r="X1278" s="53"/>
      <c r="Y1278" s="53"/>
      <c r="Z1278" s="53"/>
      <c r="AA1278" s="48" t="e">
        <f>INDEX([1]!VISITORS[INSECT ORDER], MATCH(X1278,[1]!VISITORS[NAME USED],0))</f>
        <v>#REF!</v>
      </c>
      <c r="AB1278" s="48" t="e">
        <f t="shared" si="601"/>
        <v>#REF!</v>
      </c>
      <c r="AC1278" s="54" t="e">
        <f t="shared" si="602"/>
        <v>#VALUE!</v>
      </c>
      <c r="AD1278" s="55" t="str">
        <f t="shared" si="603"/>
        <v/>
      </c>
      <c r="AE1278" s="55"/>
      <c r="AF1278" s="55"/>
      <c r="AG1278" s="56" t="str">
        <f t="shared" si="604"/>
        <v/>
      </c>
      <c r="AH1278" s="57" t="str">
        <f t="shared" si="605"/>
        <v/>
      </c>
      <c r="AI1278" s="56"/>
      <c r="AJ1278" s="57" t="str">
        <f t="shared" si="606"/>
        <v/>
      </c>
      <c r="AK1278" s="56"/>
      <c r="AL1278" s="57" t="str">
        <f t="shared" si="607"/>
        <v/>
      </c>
      <c r="AM1278" s="56"/>
      <c r="AN1278" s="57" t="str">
        <f t="shared" si="608"/>
        <v/>
      </c>
      <c r="AO1278" s="56"/>
      <c r="AP1278" s="57" t="str">
        <f t="shared" si="609"/>
        <v/>
      </c>
      <c r="AQ1278" s="56"/>
      <c r="AR1278" s="57" t="str">
        <f t="shared" si="610"/>
        <v/>
      </c>
      <c r="AS1278" s="56"/>
      <c r="AT1278" s="57" t="str">
        <f t="shared" si="611"/>
        <v/>
      </c>
      <c r="AU1278" s="58"/>
      <c r="AV1278" s="59"/>
      <c r="AW1278" s="59"/>
      <c r="AX1278" s="60"/>
      <c r="AY1278" s="61" t="str">
        <f t="shared" si="612"/>
        <v/>
      </c>
      <c r="AZ1278" s="62" t="str">
        <f t="shared" si="613"/>
        <v/>
      </c>
      <c r="BA1278" s="61" t="str">
        <f t="shared" si="614"/>
        <v/>
      </c>
      <c r="BB1278" s="62" t="str">
        <f t="shared" si="615"/>
        <v/>
      </c>
    </row>
    <row r="1279" spans="1:54" s="3" customFormat="1" hidden="1" x14ac:dyDescent="0.35">
      <c r="A1279" s="73">
        <f t="shared" si="592"/>
        <v>2019</v>
      </c>
      <c r="B1279" s="73" t="str">
        <f t="shared" si="593"/>
        <v>Nov</v>
      </c>
      <c r="C1279" s="74">
        <f t="shared" si="616"/>
        <v>17</v>
      </c>
      <c r="D1279" s="75">
        <f t="shared" si="594"/>
        <v>12</v>
      </c>
      <c r="E1279" s="76">
        <f t="shared" si="595"/>
        <v>26</v>
      </c>
      <c r="F1279" s="80"/>
      <c r="G1279" s="83"/>
      <c r="H1279" s="69" t="str">
        <f t="shared" si="617"/>
        <v>Senbur6_20191117_12_00</v>
      </c>
      <c r="I1279" s="70">
        <f t="shared" si="621"/>
        <v>1</v>
      </c>
      <c r="J1279" s="77" t="str">
        <f t="shared" si="621"/>
        <v>Senecio</v>
      </c>
      <c r="K1279" s="77" t="str">
        <f t="shared" si="621"/>
        <v>burtoni</v>
      </c>
      <c r="L1279" s="78">
        <f t="shared" si="621"/>
        <v>6</v>
      </c>
      <c r="M1279" s="78">
        <f t="shared" si="621"/>
        <v>12</v>
      </c>
      <c r="N1279" s="72">
        <f t="shared" si="621"/>
        <v>0</v>
      </c>
      <c r="O1279" s="45"/>
      <c r="P1279" s="46" t="str">
        <f t="shared" si="596"/>
        <v/>
      </c>
      <c r="Q1279" s="47" t="str">
        <f t="shared" si="597"/>
        <v/>
      </c>
      <c r="R1279" s="48" t="e">
        <f t="shared" si="598"/>
        <v>#VALUE!</v>
      </c>
      <c r="S1279" s="49" t="e">
        <f t="shared" si="591"/>
        <v>#VALUE!</v>
      </c>
      <c r="T1279" s="48" t="str">
        <f t="shared" si="599"/>
        <v/>
      </c>
      <c r="U1279" s="50"/>
      <c r="V1279" s="51"/>
      <c r="W1279" s="52" t="e">
        <f t="shared" si="600"/>
        <v>#VALUE!</v>
      </c>
      <c r="X1279" s="53"/>
      <c r="Y1279" s="53"/>
      <c r="Z1279" s="53"/>
      <c r="AA1279" s="48" t="e">
        <f>INDEX([1]!VISITORS[INSECT ORDER], MATCH(X1279,[1]!VISITORS[NAME USED],0))</f>
        <v>#REF!</v>
      </c>
      <c r="AB1279" s="48" t="e">
        <f t="shared" si="601"/>
        <v>#REF!</v>
      </c>
      <c r="AC1279" s="54" t="e">
        <f t="shared" si="602"/>
        <v>#VALUE!</v>
      </c>
      <c r="AD1279" s="55" t="str">
        <f t="shared" si="603"/>
        <v/>
      </c>
      <c r="AE1279" s="55"/>
      <c r="AF1279" s="55"/>
      <c r="AG1279" s="56" t="str">
        <f t="shared" si="604"/>
        <v/>
      </c>
      <c r="AH1279" s="57" t="str">
        <f t="shared" si="605"/>
        <v/>
      </c>
      <c r="AI1279" s="56"/>
      <c r="AJ1279" s="57" t="str">
        <f t="shared" si="606"/>
        <v/>
      </c>
      <c r="AK1279" s="56"/>
      <c r="AL1279" s="57" t="str">
        <f t="shared" si="607"/>
        <v/>
      </c>
      <c r="AM1279" s="56"/>
      <c r="AN1279" s="57" t="str">
        <f t="shared" si="608"/>
        <v/>
      </c>
      <c r="AO1279" s="56"/>
      <c r="AP1279" s="57" t="str">
        <f t="shared" si="609"/>
        <v/>
      </c>
      <c r="AQ1279" s="56"/>
      <c r="AR1279" s="57" t="str">
        <f t="shared" si="610"/>
        <v/>
      </c>
      <c r="AS1279" s="56"/>
      <c r="AT1279" s="57" t="str">
        <f t="shared" si="611"/>
        <v/>
      </c>
      <c r="AU1279" s="58"/>
      <c r="AV1279" s="59"/>
      <c r="AW1279" s="59"/>
      <c r="AX1279" s="60"/>
      <c r="AY1279" s="61" t="str">
        <f t="shared" si="612"/>
        <v/>
      </c>
      <c r="AZ1279" s="62" t="str">
        <f t="shared" si="613"/>
        <v/>
      </c>
      <c r="BA1279" s="61" t="str">
        <f t="shared" si="614"/>
        <v/>
      </c>
      <c r="BB1279" s="62" t="str">
        <f t="shared" si="615"/>
        <v/>
      </c>
    </row>
    <row r="1280" spans="1:54" s="3" customFormat="1" hidden="1" x14ac:dyDescent="0.35">
      <c r="A1280" s="73">
        <f t="shared" si="592"/>
        <v>2019</v>
      </c>
      <c r="B1280" s="73" t="str">
        <f t="shared" si="593"/>
        <v>Nov</v>
      </c>
      <c r="C1280" s="74">
        <f t="shared" si="616"/>
        <v>17</v>
      </c>
      <c r="D1280" s="75">
        <f t="shared" si="594"/>
        <v>12</v>
      </c>
      <c r="E1280" s="76">
        <f t="shared" si="595"/>
        <v>27</v>
      </c>
      <c r="F1280" s="80"/>
      <c r="G1280" s="83"/>
      <c r="H1280" s="69" t="str">
        <f t="shared" si="617"/>
        <v>Senbur6_20191117_12_00</v>
      </c>
      <c r="I1280" s="70">
        <f t="shared" si="621"/>
        <v>1</v>
      </c>
      <c r="J1280" s="77" t="str">
        <f t="shared" si="621"/>
        <v>Senecio</v>
      </c>
      <c r="K1280" s="77" t="str">
        <f t="shared" si="621"/>
        <v>burtoni</v>
      </c>
      <c r="L1280" s="78">
        <f t="shared" si="621"/>
        <v>6</v>
      </c>
      <c r="M1280" s="78">
        <f t="shared" si="621"/>
        <v>12</v>
      </c>
      <c r="N1280" s="72">
        <f t="shared" si="621"/>
        <v>0</v>
      </c>
      <c r="O1280" s="45"/>
      <c r="P1280" s="46" t="str">
        <f t="shared" si="596"/>
        <v/>
      </c>
      <c r="Q1280" s="47" t="str">
        <f t="shared" si="597"/>
        <v/>
      </c>
      <c r="R1280" s="48" t="e">
        <f t="shared" si="598"/>
        <v>#VALUE!</v>
      </c>
      <c r="S1280" s="49" t="e">
        <f t="shared" si="591"/>
        <v>#VALUE!</v>
      </c>
      <c r="T1280" s="48" t="str">
        <f t="shared" si="599"/>
        <v/>
      </c>
      <c r="U1280" s="50"/>
      <c r="V1280" s="51"/>
      <c r="W1280" s="52" t="e">
        <f t="shared" si="600"/>
        <v>#VALUE!</v>
      </c>
      <c r="X1280" s="53"/>
      <c r="Y1280" s="53"/>
      <c r="Z1280" s="53"/>
      <c r="AA1280" s="48" t="e">
        <f>INDEX([1]!VISITORS[INSECT ORDER], MATCH(X1280,[1]!VISITORS[NAME USED],0))</f>
        <v>#REF!</v>
      </c>
      <c r="AB1280" s="48" t="e">
        <f t="shared" si="601"/>
        <v>#REF!</v>
      </c>
      <c r="AC1280" s="54" t="e">
        <f t="shared" si="602"/>
        <v>#VALUE!</v>
      </c>
      <c r="AD1280" s="55" t="str">
        <f t="shared" si="603"/>
        <v/>
      </c>
      <c r="AE1280" s="55"/>
      <c r="AF1280" s="55"/>
      <c r="AG1280" s="56" t="str">
        <f t="shared" si="604"/>
        <v/>
      </c>
      <c r="AH1280" s="57" t="str">
        <f t="shared" si="605"/>
        <v/>
      </c>
      <c r="AI1280" s="56"/>
      <c r="AJ1280" s="57" t="str">
        <f t="shared" si="606"/>
        <v/>
      </c>
      <c r="AK1280" s="56"/>
      <c r="AL1280" s="57" t="str">
        <f t="shared" si="607"/>
        <v/>
      </c>
      <c r="AM1280" s="56"/>
      <c r="AN1280" s="57" t="str">
        <f t="shared" si="608"/>
        <v/>
      </c>
      <c r="AO1280" s="56"/>
      <c r="AP1280" s="57" t="str">
        <f t="shared" si="609"/>
        <v/>
      </c>
      <c r="AQ1280" s="56"/>
      <c r="AR1280" s="57" t="str">
        <f t="shared" si="610"/>
        <v/>
      </c>
      <c r="AS1280" s="56"/>
      <c r="AT1280" s="57" t="str">
        <f t="shared" si="611"/>
        <v/>
      </c>
      <c r="AU1280" s="58"/>
      <c r="AV1280" s="59"/>
      <c r="AW1280" s="59"/>
      <c r="AX1280" s="60"/>
      <c r="AY1280" s="61" t="str">
        <f t="shared" si="612"/>
        <v/>
      </c>
      <c r="AZ1280" s="62" t="str">
        <f t="shared" si="613"/>
        <v/>
      </c>
      <c r="BA1280" s="61" t="str">
        <f t="shared" si="614"/>
        <v/>
      </c>
      <c r="BB1280" s="62" t="str">
        <f t="shared" si="615"/>
        <v/>
      </c>
    </row>
    <row r="1281" spans="1:54" s="3" customFormat="1" hidden="1" x14ac:dyDescent="0.35">
      <c r="A1281" s="73">
        <f t="shared" si="592"/>
        <v>2019</v>
      </c>
      <c r="B1281" s="73" t="str">
        <f t="shared" si="593"/>
        <v>Nov</v>
      </c>
      <c r="C1281" s="74">
        <f t="shared" si="616"/>
        <v>17</v>
      </c>
      <c r="D1281" s="75">
        <f t="shared" si="594"/>
        <v>12</v>
      </c>
      <c r="E1281" s="76">
        <f t="shared" si="595"/>
        <v>28</v>
      </c>
      <c r="F1281" s="80"/>
      <c r="G1281" s="83"/>
      <c r="H1281" s="69" t="str">
        <f t="shared" si="617"/>
        <v>Senbur6_20191117_12_00</v>
      </c>
      <c r="I1281" s="70">
        <f t="shared" si="621"/>
        <v>1</v>
      </c>
      <c r="J1281" s="77" t="str">
        <f t="shared" si="621"/>
        <v>Senecio</v>
      </c>
      <c r="K1281" s="77" t="str">
        <f t="shared" si="621"/>
        <v>burtoni</v>
      </c>
      <c r="L1281" s="78">
        <f t="shared" si="621"/>
        <v>6</v>
      </c>
      <c r="M1281" s="78">
        <f t="shared" si="621"/>
        <v>12</v>
      </c>
      <c r="N1281" s="72">
        <f t="shared" si="621"/>
        <v>0</v>
      </c>
      <c r="O1281" s="45"/>
      <c r="P1281" s="46" t="str">
        <f t="shared" si="596"/>
        <v/>
      </c>
      <c r="Q1281" s="47" t="str">
        <f t="shared" si="597"/>
        <v/>
      </c>
      <c r="R1281" s="48" t="e">
        <f t="shared" si="598"/>
        <v>#VALUE!</v>
      </c>
      <c r="S1281" s="49" t="e">
        <f t="shared" si="591"/>
        <v>#VALUE!</v>
      </c>
      <c r="T1281" s="48" t="str">
        <f t="shared" si="599"/>
        <v/>
      </c>
      <c r="U1281" s="50"/>
      <c r="V1281" s="51"/>
      <c r="W1281" s="52" t="e">
        <f t="shared" si="600"/>
        <v>#VALUE!</v>
      </c>
      <c r="X1281" s="53"/>
      <c r="Y1281" s="53"/>
      <c r="Z1281" s="53"/>
      <c r="AA1281" s="48" t="e">
        <f>INDEX([1]!VISITORS[INSECT ORDER], MATCH(X1281,[1]!VISITORS[NAME USED],0))</f>
        <v>#REF!</v>
      </c>
      <c r="AB1281" s="48" t="e">
        <f t="shared" si="601"/>
        <v>#REF!</v>
      </c>
      <c r="AC1281" s="54" t="e">
        <f t="shared" si="602"/>
        <v>#VALUE!</v>
      </c>
      <c r="AD1281" s="55" t="str">
        <f t="shared" si="603"/>
        <v/>
      </c>
      <c r="AE1281" s="55"/>
      <c r="AF1281" s="55"/>
      <c r="AG1281" s="56" t="str">
        <f t="shared" si="604"/>
        <v/>
      </c>
      <c r="AH1281" s="57" t="str">
        <f t="shared" si="605"/>
        <v/>
      </c>
      <c r="AI1281" s="56"/>
      <c r="AJ1281" s="57" t="str">
        <f t="shared" si="606"/>
        <v/>
      </c>
      <c r="AK1281" s="56"/>
      <c r="AL1281" s="57" t="str">
        <f t="shared" si="607"/>
        <v/>
      </c>
      <c r="AM1281" s="56"/>
      <c r="AN1281" s="57" t="str">
        <f t="shared" si="608"/>
        <v/>
      </c>
      <c r="AO1281" s="56"/>
      <c r="AP1281" s="57" t="str">
        <f t="shared" si="609"/>
        <v/>
      </c>
      <c r="AQ1281" s="56"/>
      <c r="AR1281" s="57" t="str">
        <f t="shared" si="610"/>
        <v/>
      </c>
      <c r="AS1281" s="56"/>
      <c r="AT1281" s="57" t="str">
        <f t="shared" si="611"/>
        <v/>
      </c>
      <c r="AU1281" s="58"/>
      <c r="AV1281" s="59"/>
      <c r="AW1281" s="59"/>
      <c r="AX1281" s="60"/>
      <c r="AY1281" s="61" t="str">
        <f t="shared" si="612"/>
        <v/>
      </c>
      <c r="AZ1281" s="62" t="str">
        <f t="shared" si="613"/>
        <v/>
      </c>
      <c r="BA1281" s="61" t="str">
        <f t="shared" si="614"/>
        <v/>
      </c>
      <c r="BB1281" s="62" t="str">
        <f t="shared" si="615"/>
        <v/>
      </c>
    </row>
    <row r="1282" spans="1:54" s="3" customFormat="1" hidden="1" x14ac:dyDescent="0.35">
      <c r="A1282" s="73">
        <f t="shared" si="592"/>
        <v>2019</v>
      </c>
      <c r="B1282" s="73" t="str">
        <f t="shared" si="593"/>
        <v>Nov</v>
      </c>
      <c r="C1282" s="74">
        <f t="shared" si="616"/>
        <v>17</v>
      </c>
      <c r="D1282" s="75">
        <f t="shared" si="594"/>
        <v>12</v>
      </c>
      <c r="E1282" s="76">
        <f t="shared" si="595"/>
        <v>29</v>
      </c>
      <c r="F1282" s="80"/>
      <c r="G1282" s="83"/>
      <c r="H1282" s="69" t="str">
        <f t="shared" si="617"/>
        <v>Senbur6_20191117_12_00</v>
      </c>
      <c r="I1282" s="70">
        <f t="shared" si="621"/>
        <v>1</v>
      </c>
      <c r="J1282" s="77" t="str">
        <f t="shared" si="621"/>
        <v>Senecio</v>
      </c>
      <c r="K1282" s="77" t="str">
        <f t="shared" si="621"/>
        <v>burtoni</v>
      </c>
      <c r="L1282" s="78">
        <f t="shared" si="621"/>
        <v>6</v>
      </c>
      <c r="M1282" s="78">
        <f t="shared" si="621"/>
        <v>12</v>
      </c>
      <c r="N1282" s="72">
        <f t="shared" si="621"/>
        <v>0</v>
      </c>
      <c r="O1282" s="45"/>
      <c r="P1282" s="46" t="str">
        <f t="shared" si="596"/>
        <v/>
      </c>
      <c r="Q1282" s="47" t="str">
        <f t="shared" si="597"/>
        <v/>
      </c>
      <c r="R1282" s="48" t="e">
        <f t="shared" si="598"/>
        <v>#VALUE!</v>
      </c>
      <c r="S1282" s="49" t="e">
        <f t="shared" si="591"/>
        <v>#VALUE!</v>
      </c>
      <c r="T1282" s="48" t="str">
        <f t="shared" si="599"/>
        <v/>
      </c>
      <c r="U1282" s="50"/>
      <c r="V1282" s="51"/>
      <c r="W1282" s="52" t="e">
        <f t="shared" si="600"/>
        <v>#VALUE!</v>
      </c>
      <c r="X1282" s="53"/>
      <c r="Y1282" s="53"/>
      <c r="Z1282" s="53"/>
      <c r="AA1282" s="48" t="e">
        <f>INDEX([1]!VISITORS[INSECT ORDER], MATCH(X1282,[1]!VISITORS[NAME USED],0))</f>
        <v>#REF!</v>
      </c>
      <c r="AB1282" s="48" t="e">
        <f t="shared" si="601"/>
        <v>#REF!</v>
      </c>
      <c r="AC1282" s="54" t="e">
        <f t="shared" si="602"/>
        <v>#VALUE!</v>
      </c>
      <c r="AD1282" s="55" t="str">
        <f t="shared" si="603"/>
        <v/>
      </c>
      <c r="AE1282" s="55"/>
      <c r="AF1282" s="55"/>
      <c r="AG1282" s="56" t="str">
        <f t="shared" si="604"/>
        <v/>
      </c>
      <c r="AH1282" s="57" t="str">
        <f t="shared" si="605"/>
        <v/>
      </c>
      <c r="AI1282" s="56"/>
      <c r="AJ1282" s="57" t="str">
        <f t="shared" si="606"/>
        <v/>
      </c>
      <c r="AK1282" s="56"/>
      <c r="AL1282" s="57" t="str">
        <f t="shared" si="607"/>
        <v/>
      </c>
      <c r="AM1282" s="56"/>
      <c r="AN1282" s="57" t="str">
        <f t="shared" si="608"/>
        <v/>
      </c>
      <c r="AO1282" s="56"/>
      <c r="AP1282" s="57" t="str">
        <f t="shared" si="609"/>
        <v/>
      </c>
      <c r="AQ1282" s="56"/>
      <c r="AR1282" s="57" t="str">
        <f t="shared" si="610"/>
        <v/>
      </c>
      <c r="AS1282" s="56"/>
      <c r="AT1282" s="57" t="str">
        <f t="shared" si="611"/>
        <v/>
      </c>
      <c r="AU1282" s="58"/>
      <c r="AV1282" s="59"/>
      <c r="AW1282" s="59"/>
      <c r="AX1282" s="60"/>
      <c r="AY1282" s="61" t="str">
        <f t="shared" si="612"/>
        <v/>
      </c>
      <c r="AZ1282" s="62" t="str">
        <f t="shared" si="613"/>
        <v/>
      </c>
      <c r="BA1282" s="61" t="str">
        <f t="shared" si="614"/>
        <v/>
      </c>
      <c r="BB1282" s="62" t="str">
        <f t="shared" si="615"/>
        <v/>
      </c>
    </row>
    <row r="1283" spans="1:54" s="3" customFormat="1" hidden="1" x14ac:dyDescent="0.35">
      <c r="A1283" s="73">
        <f t="shared" si="592"/>
        <v>2019</v>
      </c>
      <c r="B1283" s="73" t="str">
        <f t="shared" si="593"/>
        <v>Nov</v>
      </c>
      <c r="C1283" s="74">
        <f t="shared" si="616"/>
        <v>17</v>
      </c>
      <c r="D1283" s="75">
        <f t="shared" si="594"/>
        <v>12</v>
      </c>
      <c r="E1283" s="76">
        <f t="shared" si="595"/>
        <v>30</v>
      </c>
      <c r="F1283" s="80"/>
      <c r="G1283" s="83"/>
      <c r="H1283" s="69" t="str">
        <f t="shared" si="617"/>
        <v>Senbur6_20191117_12_00</v>
      </c>
      <c r="I1283" s="70">
        <f t="shared" si="621"/>
        <v>1</v>
      </c>
      <c r="J1283" s="77" t="str">
        <f t="shared" si="621"/>
        <v>Senecio</v>
      </c>
      <c r="K1283" s="77" t="str">
        <f t="shared" si="621"/>
        <v>burtoni</v>
      </c>
      <c r="L1283" s="78">
        <f t="shared" si="621"/>
        <v>6</v>
      </c>
      <c r="M1283" s="78">
        <f t="shared" si="621"/>
        <v>12</v>
      </c>
      <c r="N1283" s="72">
        <f t="shared" si="621"/>
        <v>0</v>
      </c>
      <c r="O1283" s="45"/>
      <c r="P1283" s="46" t="str">
        <f t="shared" si="596"/>
        <v/>
      </c>
      <c r="Q1283" s="47" t="str">
        <f t="shared" si="597"/>
        <v/>
      </c>
      <c r="R1283" s="48" t="e">
        <f t="shared" si="598"/>
        <v>#VALUE!</v>
      </c>
      <c r="S1283" s="49" t="e">
        <f t="shared" si="591"/>
        <v>#VALUE!</v>
      </c>
      <c r="T1283" s="48" t="str">
        <f t="shared" si="599"/>
        <v/>
      </c>
      <c r="U1283" s="50"/>
      <c r="V1283" s="51"/>
      <c r="W1283" s="52" t="e">
        <f t="shared" si="600"/>
        <v>#VALUE!</v>
      </c>
      <c r="X1283" s="53"/>
      <c r="Y1283" s="53"/>
      <c r="Z1283" s="53"/>
      <c r="AA1283" s="48" t="e">
        <f>INDEX([1]!VISITORS[INSECT ORDER], MATCH(X1283,[1]!VISITORS[NAME USED],0))</f>
        <v>#REF!</v>
      </c>
      <c r="AB1283" s="48" t="e">
        <f t="shared" si="601"/>
        <v>#REF!</v>
      </c>
      <c r="AC1283" s="54" t="e">
        <f t="shared" si="602"/>
        <v>#VALUE!</v>
      </c>
      <c r="AD1283" s="55" t="str">
        <f t="shared" si="603"/>
        <v/>
      </c>
      <c r="AE1283" s="55"/>
      <c r="AF1283" s="55"/>
      <c r="AG1283" s="56" t="str">
        <f t="shared" si="604"/>
        <v/>
      </c>
      <c r="AH1283" s="57" t="str">
        <f t="shared" si="605"/>
        <v/>
      </c>
      <c r="AI1283" s="56"/>
      <c r="AJ1283" s="57" t="str">
        <f t="shared" si="606"/>
        <v/>
      </c>
      <c r="AK1283" s="56"/>
      <c r="AL1283" s="57" t="str">
        <f t="shared" si="607"/>
        <v/>
      </c>
      <c r="AM1283" s="56"/>
      <c r="AN1283" s="57" t="str">
        <f t="shared" si="608"/>
        <v/>
      </c>
      <c r="AO1283" s="56"/>
      <c r="AP1283" s="57" t="str">
        <f t="shared" si="609"/>
        <v/>
      </c>
      <c r="AQ1283" s="56"/>
      <c r="AR1283" s="57" t="str">
        <f t="shared" si="610"/>
        <v/>
      </c>
      <c r="AS1283" s="56"/>
      <c r="AT1283" s="57" t="str">
        <f t="shared" si="611"/>
        <v/>
      </c>
      <c r="AU1283" s="58"/>
      <c r="AV1283" s="59"/>
      <c r="AW1283" s="59"/>
      <c r="AX1283" s="60"/>
      <c r="AY1283" s="61" t="str">
        <f t="shared" si="612"/>
        <v/>
      </c>
      <c r="AZ1283" s="62" t="str">
        <f t="shared" si="613"/>
        <v/>
      </c>
      <c r="BA1283" s="61" t="str">
        <f t="shared" si="614"/>
        <v/>
      </c>
      <c r="BB1283" s="62" t="str">
        <f t="shared" si="615"/>
        <v/>
      </c>
    </row>
    <row r="1284" spans="1:54" s="3" customFormat="1" hidden="1" x14ac:dyDescent="0.35">
      <c r="A1284" s="73">
        <f t="shared" si="592"/>
        <v>2019</v>
      </c>
      <c r="B1284" s="73" t="str">
        <f t="shared" si="593"/>
        <v>Nov</v>
      </c>
      <c r="C1284" s="74">
        <f t="shared" si="616"/>
        <v>17</v>
      </c>
      <c r="D1284" s="75">
        <f t="shared" si="594"/>
        <v>12</v>
      </c>
      <c r="E1284" s="76">
        <f t="shared" si="595"/>
        <v>31</v>
      </c>
      <c r="F1284" s="80"/>
      <c r="G1284" s="83"/>
      <c r="H1284" s="69" t="str">
        <f t="shared" si="617"/>
        <v>Senbur6_20191117_12_00</v>
      </c>
      <c r="I1284" s="70">
        <f t="shared" si="621"/>
        <v>1</v>
      </c>
      <c r="J1284" s="77" t="str">
        <f t="shared" si="621"/>
        <v>Senecio</v>
      </c>
      <c r="K1284" s="77" t="str">
        <f t="shared" si="621"/>
        <v>burtoni</v>
      </c>
      <c r="L1284" s="78">
        <f t="shared" si="621"/>
        <v>6</v>
      </c>
      <c r="M1284" s="78">
        <f t="shared" si="621"/>
        <v>12</v>
      </c>
      <c r="N1284" s="72">
        <f t="shared" si="621"/>
        <v>0</v>
      </c>
      <c r="O1284" s="45"/>
      <c r="P1284" s="46" t="str">
        <f t="shared" si="596"/>
        <v/>
      </c>
      <c r="Q1284" s="47" t="str">
        <f t="shared" si="597"/>
        <v/>
      </c>
      <c r="R1284" s="48" t="e">
        <f t="shared" si="598"/>
        <v>#VALUE!</v>
      </c>
      <c r="S1284" s="49" t="e">
        <f t="shared" ref="S1284:S1349" si="642">IF(T1284&lt;D1284, (T1284*3600+U1284*60+V1284)+((23*3600+59*60+60)-(D1284*3600+E1284*60+LEFT(F1284,2))), (T1284*3600+U1284*60+V1284)-(D1284*3600+E1284*60+LEFT(F1284,2)))</f>
        <v>#VALUE!</v>
      </c>
      <c r="T1284" s="48" t="str">
        <f t="shared" si="599"/>
        <v/>
      </c>
      <c r="U1284" s="50"/>
      <c r="V1284" s="51"/>
      <c r="W1284" s="52" t="e">
        <f t="shared" si="600"/>
        <v>#VALUE!</v>
      </c>
      <c r="X1284" s="53"/>
      <c r="Y1284" s="53"/>
      <c r="Z1284" s="53"/>
      <c r="AA1284" s="48" t="e">
        <f>INDEX([1]!VISITORS[INSECT ORDER], MATCH(X1284,[1]!VISITORS[NAME USED],0))</f>
        <v>#REF!</v>
      </c>
      <c r="AB1284" s="48" t="e">
        <f t="shared" si="601"/>
        <v>#REF!</v>
      </c>
      <c r="AC1284" s="54" t="e">
        <f t="shared" si="602"/>
        <v>#VALUE!</v>
      </c>
      <c r="AD1284" s="55" t="str">
        <f t="shared" si="603"/>
        <v/>
      </c>
      <c r="AE1284" s="55"/>
      <c r="AF1284" s="55"/>
      <c r="AG1284" s="56" t="str">
        <f t="shared" si="604"/>
        <v/>
      </c>
      <c r="AH1284" s="57" t="str">
        <f t="shared" si="605"/>
        <v/>
      </c>
      <c r="AI1284" s="56"/>
      <c r="AJ1284" s="57" t="str">
        <f t="shared" si="606"/>
        <v/>
      </c>
      <c r="AK1284" s="56"/>
      <c r="AL1284" s="57" t="str">
        <f t="shared" si="607"/>
        <v/>
      </c>
      <c r="AM1284" s="56"/>
      <c r="AN1284" s="57" t="str">
        <f t="shared" si="608"/>
        <v/>
      </c>
      <c r="AO1284" s="56"/>
      <c r="AP1284" s="57" t="str">
        <f t="shared" si="609"/>
        <v/>
      </c>
      <c r="AQ1284" s="56"/>
      <c r="AR1284" s="57" t="str">
        <f t="shared" si="610"/>
        <v/>
      </c>
      <c r="AS1284" s="56"/>
      <c r="AT1284" s="57" t="str">
        <f t="shared" si="611"/>
        <v/>
      </c>
      <c r="AU1284" s="58"/>
      <c r="AV1284" s="59"/>
      <c r="AW1284" s="59"/>
      <c r="AX1284" s="60"/>
      <c r="AY1284" s="61" t="str">
        <f t="shared" si="612"/>
        <v/>
      </c>
      <c r="AZ1284" s="62" t="str">
        <f t="shared" si="613"/>
        <v/>
      </c>
      <c r="BA1284" s="61" t="str">
        <f t="shared" si="614"/>
        <v/>
      </c>
      <c r="BB1284" s="62" t="str">
        <f t="shared" si="615"/>
        <v/>
      </c>
    </row>
    <row r="1285" spans="1:54" s="3" customFormat="1" hidden="1" x14ac:dyDescent="0.35">
      <c r="A1285" s="73">
        <f t="shared" ref="A1285:A1350" si="643">A1284</f>
        <v>2019</v>
      </c>
      <c r="B1285" s="73" t="str">
        <f t="shared" ref="B1285:B1350" si="644">IF(C1284-C1285&gt;0, TEXT(DATE(2016,(MONTH(DATEVALUE(B1284&amp;"1"))+1),1),"mmm"), B1284)</f>
        <v>Nov</v>
      </c>
      <c r="C1285" s="74">
        <f t="shared" si="616"/>
        <v>17</v>
      </c>
      <c r="D1285" s="75">
        <f t="shared" ref="D1285:D1350" si="645">IF(IF(E1284=59,D1284+1,D1284)=24,0,IF(E1284=59,D1284+1,D1284))</f>
        <v>12</v>
      </c>
      <c r="E1285" s="76">
        <f t="shared" ref="E1285:E1350" si="646">IF(E1284&lt;59,E1284+1,0)</f>
        <v>32</v>
      </c>
      <c r="F1285" s="80">
        <v>35</v>
      </c>
      <c r="G1285" s="83"/>
      <c r="H1285" s="69" t="str">
        <f t="shared" si="617"/>
        <v>Senbur6_20191117_12_00</v>
      </c>
      <c r="I1285" s="70">
        <f t="shared" si="621"/>
        <v>1</v>
      </c>
      <c r="J1285" s="77" t="str">
        <f t="shared" si="621"/>
        <v>Senecio</v>
      </c>
      <c r="K1285" s="77" t="str">
        <f t="shared" si="621"/>
        <v>burtoni</v>
      </c>
      <c r="L1285" s="78">
        <f t="shared" si="621"/>
        <v>6</v>
      </c>
      <c r="M1285" s="78">
        <f t="shared" si="621"/>
        <v>12</v>
      </c>
      <c r="N1285" s="72">
        <f t="shared" si="621"/>
        <v>0</v>
      </c>
      <c r="O1285" s="45"/>
      <c r="P1285" s="46">
        <f t="shared" ref="P1285:P1350" si="647">IF(F1285="","",1)</f>
        <v>1</v>
      </c>
      <c r="Q1285" s="47" t="str">
        <f t="shared" ref="Q1285:Q1350" si="648">TEXT(IF(P1285=1,CONCATENATE($D1285,":",$E1285,":",(LEFT($F1285,2))),""),"hh:mm:ss")</f>
        <v>12:32:35</v>
      </c>
      <c r="R1285" s="48" t="str">
        <f t="shared" ref="R1285:R1350" si="649">TEXT(Q1285-TIME(0,RIGHT($H1285,2),$G$9)+(Q1285&gt;TIME(0,RIGHT($H1285,2),$G$9)),"mm:ss")</f>
        <v>32:35</v>
      </c>
      <c r="S1285" s="49">
        <f t="shared" si="642"/>
        <v>44</v>
      </c>
      <c r="T1285" s="48" t="str">
        <f t="shared" ref="T1285:T1350" si="650">TEXT(IF(P1285=1,D1285,""),"00")</f>
        <v>12</v>
      </c>
      <c r="U1285" s="50">
        <v>33</v>
      </c>
      <c r="V1285" s="51">
        <v>19</v>
      </c>
      <c r="W1285" s="52" t="str">
        <f t="shared" ref="W1285:W1350" si="651">IF(O1285=0,TEXT(TIME(T1285,U1285,V1285)-TIME(D1285,E1285,RIGHT(F1285,2))+TIME(0,LEFT(R1285,2),RIGHT(R1285,2)),"mm:ss"),TEXT(TIME(T1285,U1285,V1285)-TIME(D1285,E1285,RIGHT(F1285,2))+TIME(0,LEFT(R1285,2),RIGHT(R1285,2))-TIME(0,($G$10*O1285),0),"mm:ss"))</f>
        <v>33:19</v>
      </c>
      <c r="X1285" s="53" t="s">
        <v>59</v>
      </c>
      <c r="Y1285" s="97" t="s">
        <v>78</v>
      </c>
      <c r="Z1285" s="97"/>
      <c r="AA1285" s="48" t="s">
        <v>60</v>
      </c>
      <c r="AB1285" s="48" t="str">
        <f t="shared" ref="AB1285:AB1350" si="652">IF(AA1285&lt;&gt;0,"NA","")</f>
        <v>NA</v>
      </c>
      <c r="AC1285" s="54">
        <f t="shared" ref="AC1285:AC1350" si="653">IF(SUM(AH1285,AJ1285,AL1285,AN1285,AP1285,AR1285,AT1285)=S1285,,"")</f>
        <v>0</v>
      </c>
      <c r="AD1285" s="55">
        <v>2</v>
      </c>
      <c r="AE1285" s="55"/>
      <c r="AF1285" s="55"/>
      <c r="AG1285" s="56">
        <v>1</v>
      </c>
      <c r="AH1285" s="57">
        <v>3</v>
      </c>
      <c r="AI1285" s="56">
        <v>1</v>
      </c>
      <c r="AJ1285" s="57">
        <v>1</v>
      </c>
      <c r="AK1285" s="56">
        <v>1</v>
      </c>
      <c r="AL1285" s="57">
        <v>40</v>
      </c>
      <c r="AM1285" s="56"/>
      <c r="AN1285" s="57" t="str">
        <f t="shared" ref="AN1285:AN1350" si="654">IF(AM1285=1,$S1285,"")</f>
        <v/>
      </c>
      <c r="AO1285" s="56"/>
      <c r="AP1285" s="57" t="str">
        <f t="shared" ref="AP1285:AP1350" si="655">IF(AO1285=1,$S1285,"")</f>
        <v/>
      </c>
      <c r="AQ1285" s="56"/>
      <c r="AR1285" s="57" t="str">
        <f t="shared" ref="AR1285:AR1350" si="656">IF(AQ1285=1,$S1285,"")</f>
        <v/>
      </c>
      <c r="AS1285" s="56"/>
      <c r="AT1285" s="57" t="str">
        <f t="shared" ref="AT1285:AT1350" si="657">IF(AS1285=1,$S1285,"")</f>
        <v/>
      </c>
      <c r="AU1285" s="58"/>
      <c r="AV1285" s="59"/>
      <c r="AW1285" s="59"/>
      <c r="AX1285" s="60"/>
      <c r="AY1285" s="61">
        <v>1</v>
      </c>
      <c r="AZ1285" s="62">
        <v>1</v>
      </c>
      <c r="BA1285" s="61">
        <f t="shared" ref="BA1285:BA1350" si="658">IF(P1285=1,0,"")</f>
        <v>0</v>
      </c>
      <c r="BB1285" s="62" t="str">
        <f t="shared" ref="BB1285:BB1350" si="659">IF(BA1285=1,AD1285,"")</f>
        <v/>
      </c>
    </row>
    <row r="1286" spans="1:54" s="3" customFormat="1" hidden="1" x14ac:dyDescent="0.35">
      <c r="A1286" s="73">
        <f t="shared" si="643"/>
        <v>2019</v>
      </c>
      <c r="B1286" s="73" t="str">
        <f t="shared" si="644"/>
        <v>Nov</v>
      </c>
      <c r="C1286" s="74">
        <f t="shared" ref="C1286:C1351" si="660">IF(AND(D1286=0, E1286=0), IF(TEXT(C1285,"dd")=TEXT(EOMONTH(DATE(A1285,MONTH(DATEVALUE(B1285&amp;"1")),C1285),0), "dd"), 1, C1285+1), C1285)</f>
        <v>17</v>
      </c>
      <c r="D1286" s="75">
        <f t="shared" si="645"/>
        <v>12</v>
      </c>
      <c r="E1286" s="76">
        <f t="shared" si="646"/>
        <v>33</v>
      </c>
      <c r="F1286" s="80">
        <v>16</v>
      </c>
      <c r="G1286" s="83"/>
      <c r="H1286" s="69" t="str">
        <f t="shared" ref="H1286:H1351" si="661">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Senbur6_20191117_12_00</v>
      </c>
      <c r="I1286" s="70">
        <f t="shared" ref="I1286:N1301" si="662">I1285</f>
        <v>1</v>
      </c>
      <c r="J1286" s="77" t="str">
        <f t="shared" si="662"/>
        <v>Senecio</v>
      </c>
      <c r="K1286" s="77" t="str">
        <f t="shared" si="662"/>
        <v>burtoni</v>
      </c>
      <c r="L1286" s="78">
        <f t="shared" si="662"/>
        <v>6</v>
      </c>
      <c r="M1286" s="78">
        <f t="shared" si="662"/>
        <v>12</v>
      </c>
      <c r="N1286" s="72">
        <f t="shared" si="662"/>
        <v>0</v>
      </c>
      <c r="O1286" s="45"/>
      <c r="P1286" s="46">
        <f t="shared" si="647"/>
        <v>1</v>
      </c>
      <c r="Q1286" s="47" t="str">
        <f t="shared" si="648"/>
        <v>12:33:16</v>
      </c>
      <c r="R1286" s="48" t="str">
        <f t="shared" si="649"/>
        <v>33:16</v>
      </c>
      <c r="S1286" s="49">
        <f t="shared" si="642"/>
        <v>7</v>
      </c>
      <c r="T1286" s="48" t="str">
        <f t="shared" si="650"/>
        <v>12</v>
      </c>
      <c r="U1286" s="50">
        <v>33</v>
      </c>
      <c r="V1286" s="51">
        <v>23</v>
      </c>
      <c r="W1286" s="52" t="str">
        <f t="shared" si="651"/>
        <v>33:23</v>
      </c>
      <c r="X1286" s="53" t="s">
        <v>59</v>
      </c>
      <c r="Y1286" s="97" t="s">
        <v>84</v>
      </c>
      <c r="Z1286" s="97" t="s">
        <v>80</v>
      </c>
      <c r="AA1286" s="48" t="s">
        <v>60</v>
      </c>
      <c r="AB1286" s="48" t="str">
        <f t="shared" si="652"/>
        <v>NA</v>
      </c>
      <c r="AC1286" s="54">
        <f t="shared" si="653"/>
        <v>0</v>
      </c>
      <c r="AD1286" s="55">
        <f t="shared" ref="AD1286:AD1350" si="663">IF(P1286=1,1,"")</f>
        <v>1</v>
      </c>
      <c r="AE1286" s="55"/>
      <c r="AF1286" s="55"/>
      <c r="AG1286" s="56">
        <v>1</v>
      </c>
      <c r="AH1286" s="57">
        <f t="shared" ref="AH1286:AH1349" si="664">IF(AG1286=1,$S1286,"")</f>
        <v>7</v>
      </c>
      <c r="AI1286" s="56"/>
      <c r="AJ1286" s="57" t="str">
        <f t="shared" ref="AJ1286:AJ1350" si="665">IF(AI1286=1,$S1286,"")</f>
        <v/>
      </c>
      <c r="AK1286" s="56"/>
      <c r="AL1286" s="57" t="str">
        <f t="shared" ref="AL1286:AL1349" si="666">IF(AK1286=1,$S1286,"")</f>
        <v/>
      </c>
      <c r="AM1286" s="56"/>
      <c r="AN1286" s="57" t="str">
        <f t="shared" si="654"/>
        <v/>
      </c>
      <c r="AO1286" s="56"/>
      <c r="AP1286" s="57" t="str">
        <f t="shared" si="655"/>
        <v/>
      </c>
      <c r="AQ1286" s="56"/>
      <c r="AR1286" s="57" t="str">
        <f t="shared" si="656"/>
        <v/>
      </c>
      <c r="AS1286" s="56"/>
      <c r="AT1286" s="57" t="str">
        <f t="shared" si="657"/>
        <v/>
      </c>
      <c r="AU1286" s="58"/>
      <c r="AV1286" s="59"/>
      <c r="AW1286" s="59"/>
      <c r="AX1286" s="60"/>
      <c r="AY1286" s="61">
        <v>1</v>
      </c>
      <c r="AZ1286" s="62">
        <f t="shared" ref="AZ1286:AZ1350" si="667">IF(AY1286=1,AD1286,"")</f>
        <v>1</v>
      </c>
      <c r="BA1286" s="61">
        <f t="shared" si="658"/>
        <v>0</v>
      </c>
      <c r="BB1286" s="62" t="str">
        <f t="shared" si="659"/>
        <v/>
      </c>
    </row>
    <row r="1287" spans="1:54" s="3" customFormat="1" hidden="1" x14ac:dyDescent="0.35">
      <c r="A1287" s="73">
        <f t="shared" si="643"/>
        <v>2019</v>
      </c>
      <c r="B1287" s="73" t="str">
        <f t="shared" si="644"/>
        <v>Nov</v>
      </c>
      <c r="C1287" s="74">
        <f t="shared" si="660"/>
        <v>17</v>
      </c>
      <c r="D1287" s="75">
        <f t="shared" si="645"/>
        <v>12</v>
      </c>
      <c r="E1287" s="76">
        <f t="shared" si="646"/>
        <v>34</v>
      </c>
      <c r="F1287" s="80"/>
      <c r="G1287" s="83"/>
      <c r="H1287" s="69" t="str">
        <f t="shared" si="661"/>
        <v>Senbur6_20191117_12_00</v>
      </c>
      <c r="I1287" s="70">
        <f t="shared" si="662"/>
        <v>1</v>
      </c>
      <c r="J1287" s="77" t="str">
        <f t="shared" si="662"/>
        <v>Senecio</v>
      </c>
      <c r="K1287" s="77" t="str">
        <f t="shared" si="662"/>
        <v>burtoni</v>
      </c>
      <c r="L1287" s="78">
        <f t="shared" si="662"/>
        <v>6</v>
      </c>
      <c r="M1287" s="78">
        <f t="shared" si="662"/>
        <v>12</v>
      </c>
      <c r="N1287" s="72">
        <f t="shared" si="662"/>
        <v>0</v>
      </c>
      <c r="O1287" s="45"/>
      <c r="P1287" s="46" t="str">
        <f t="shared" si="647"/>
        <v/>
      </c>
      <c r="Q1287" s="47" t="str">
        <f t="shared" si="648"/>
        <v/>
      </c>
      <c r="R1287" s="48" t="e">
        <f t="shared" si="649"/>
        <v>#VALUE!</v>
      </c>
      <c r="S1287" s="49" t="e">
        <f t="shared" si="642"/>
        <v>#VALUE!</v>
      </c>
      <c r="T1287" s="48" t="str">
        <f t="shared" si="650"/>
        <v/>
      </c>
      <c r="U1287" s="50"/>
      <c r="V1287" s="51"/>
      <c r="W1287" s="52" t="e">
        <f t="shared" si="651"/>
        <v>#VALUE!</v>
      </c>
      <c r="X1287" s="53"/>
      <c r="Y1287" s="53"/>
      <c r="Z1287" s="53"/>
      <c r="AA1287" s="48" t="e">
        <f>INDEX([1]!VISITORS[INSECT ORDER], MATCH(X1287,[1]!VISITORS[NAME USED],0))</f>
        <v>#REF!</v>
      </c>
      <c r="AB1287" s="48" t="e">
        <f t="shared" si="652"/>
        <v>#REF!</v>
      </c>
      <c r="AC1287" s="54" t="e">
        <f t="shared" si="653"/>
        <v>#VALUE!</v>
      </c>
      <c r="AD1287" s="55" t="str">
        <f t="shared" si="663"/>
        <v/>
      </c>
      <c r="AE1287" s="55"/>
      <c r="AF1287" s="55"/>
      <c r="AG1287" s="56" t="str">
        <f t="shared" ref="AG1287:AG1348" si="668">IF(OR(X1287="Something small"),1,"")</f>
        <v/>
      </c>
      <c r="AH1287" s="57" t="str">
        <f t="shared" si="664"/>
        <v/>
      </c>
      <c r="AI1287" s="56"/>
      <c r="AJ1287" s="57" t="str">
        <f t="shared" si="665"/>
        <v/>
      </c>
      <c r="AK1287" s="56"/>
      <c r="AL1287" s="57" t="str">
        <f t="shared" si="666"/>
        <v/>
      </c>
      <c r="AM1287" s="56"/>
      <c r="AN1287" s="57" t="str">
        <f t="shared" si="654"/>
        <v/>
      </c>
      <c r="AO1287" s="56"/>
      <c r="AP1287" s="57" t="str">
        <f t="shared" si="655"/>
        <v/>
      </c>
      <c r="AQ1287" s="56"/>
      <c r="AR1287" s="57" t="str">
        <f t="shared" si="656"/>
        <v/>
      </c>
      <c r="AS1287" s="56"/>
      <c r="AT1287" s="57" t="str">
        <f t="shared" si="657"/>
        <v/>
      </c>
      <c r="AU1287" s="58"/>
      <c r="AV1287" s="59"/>
      <c r="AW1287" s="59"/>
      <c r="AX1287" s="60"/>
      <c r="AY1287" s="61" t="str">
        <f t="shared" ref="AY1287:AY1349" si="669">IF(P1287=1,0,"")</f>
        <v/>
      </c>
      <c r="AZ1287" s="62" t="str">
        <f t="shared" si="667"/>
        <v/>
      </c>
      <c r="BA1287" s="61" t="str">
        <f t="shared" si="658"/>
        <v/>
      </c>
      <c r="BB1287" s="62" t="str">
        <f t="shared" si="659"/>
        <v/>
      </c>
    </row>
    <row r="1288" spans="1:54" s="3" customFormat="1" hidden="1" x14ac:dyDescent="0.35">
      <c r="A1288" s="73">
        <f t="shared" si="643"/>
        <v>2019</v>
      </c>
      <c r="B1288" s="73" t="str">
        <f t="shared" si="644"/>
        <v>Nov</v>
      </c>
      <c r="C1288" s="74">
        <f t="shared" si="660"/>
        <v>17</v>
      </c>
      <c r="D1288" s="75">
        <f t="shared" si="645"/>
        <v>12</v>
      </c>
      <c r="E1288" s="76">
        <f t="shared" si="646"/>
        <v>35</v>
      </c>
      <c r="F1288" s="80"/>
      <c r="G1288" s="83"/>
      <c r="H1288" s="69" t="str">
        <f t="shared" si="661"/>
        <v>Senbur6_20191117_12_00</v>
      </c>
      <c r="I1288" s="70">
        <f t="shared" si="662"/>
        <v>1</v>
      </c>
      <c r="J1288" s="77" t="str">
        <f t="shared" si="662"/>
        <v>Senecio</v>
      </c>
      <c r="K1288" s="77" t="str">
        <f t="shared" si="662"/>
        <v>burtoni</v>
      </c>
      <c r="L1288" s="78">
        <f t="shared" si="662"/>
        <v>6</v>
      </c>
      <c r="M1288" s="78">
        <f t="shared" si="662"/>
        <v>12</v>
      </c>
      <c r="N1288" s="72">
        <f t="shared" si="662"/>
        <v>0</v>
      </c>
      <c r="O1288" s="45"/>
      <c r="P1288" s="46" t="str">
        <f t="shared" si="647"/>
        <v/>
      </c>
      <c r="Q1288" s="47" t="str">
        <f t="shared" si="648"/>
        <v/>
      </c>
      <c r="R1288" s="48" t="e">
        <f t="shared" si="649"/>
        <v>#VALUE!</v>
      </c>
      <c r="S1288" s="49" t="e">
        <f t="shared" si="642"/>
        <v>#VALUE!</v>
      </c>
      <c r="T1288" s="48" t="str">
        <f t="shared" si="650"/>
        <v/>
      </c>
      <c r="U1288" s="50"/>
      <c r="V1288" s="51"/>
      <c r="W1288" s="52" t="e">
        <f t="shared" si="651"/>
        <v>#VALUE!</v>
      </c>
      <c r="X1288" s="53"/>
      <c r="Y1288" s="53"/>
      <c r="Z1288" s="53"/>
      <c r="AA1288" s="48" t="e">
        <f>INDEX([1]!VISITORS[INSECT ORDER], MATCH(X1288,[1]!VISITORS[NAME USED],0))</f>
        <v>#REF!</v>
      </c>
      <c r="AB1288" s="48" t="e">
        <f t="shared" si="652"/>
        <v>#REF!</v>
      </c>
      <c r="AC1288" s="54" t="e">
        <f t="shared" si="653"/>
        <v>#VALUE!</v>
      </c>
      <c r="AD1288" s="55" t="str">
        <f t="shared" si="663"/>
        <v/>
      </c>
      <c r="AE1288" s="55"/>
      <c r="AF1288" s="55"/>
      <c r="AG1288" s="56" t="str">
        <f t="shared" si="668"/>
        <v/>
      </c>
      <c r="AH1288" s="57" t="str">
        <f t="shared" si="664"/>
        <v/>
      </c>
      <c r="AI1288" s="56"/>
      <c r="AJ1288" s="57" t="str">
        <f t="shared" si="665"/>
        <v/>
      </c>
      <c r="AK1288" s="56"/>
      <c r="AL1288" s="57" t="str">
        <f t="shared" si="666"/>
        <v/>
      </c>
      <c r="AM1288" s="56"/>
      <c r="AN1288" s="57" t="str">
        <f t="shared" si="654"/>
        <v/>
      </c>
      <c r="AO1288" s="56"/>
      <c r="AP1288" s="57" t="str">
        <f t="shared" si="655"/>
        <v/>
      </c>
      <c r="AQ1288" s="56"/>
      <c r="AR1288" s="57" t="str">
        <f t="shared" si="656"/>
        <v/>
      </c>
      <c r="AS1288" s="56"/>
      <c r="AT1288" s="57" t="str">
        <f t="shared" si="657"/>
        <v/>
      </c>
      <c r="AU1288" s="58"/>
      <c r="AV1288" s="59"/>
      <c r="AW1288" s="59"/>
      <c r="AX1288" s="60"/>
      <c r="AY1288" s="61" t="str">
        <f t="shared" si="669"/>
        <v/>
      </c>
      <c r="AZ1288" s="62" t="str">
        <f t="shared" si="667"/>
        <v/>
      </c>
      <c r="BA1288" s="61" t="str">
        <f t="shared" si="658"/>
        <v/>
      </c>
      <c r="BB1288" s="62" t="str">
        <f t="shared" si="659"/>
        <v/>
      </c>
    </row>
    <row r="1289" spans="1:54" s="3" customFormat="1" hidden="1" x14ac:dyDescent="0.35">
      <c r="A1289" s="73">
        <f t="shared" si="643"/>
        <v>2019</v>
      </c>
      <c r="B1289" s="73" t="str">
        <f t="shared" si="644"/>
        <v>Nov</v>
      </c>
      <c r="C1289" s="74">
        <f t="shared" si="660"/>
        <v>17</v>
      </c>
      <c r="D1289" s="75">
        <f t="shared" si="645"/>
        <v>12</v>
      </c>
      <c r="E1289" s="76">
        <f t="shared" si="646"/>
        <v>36</v>
      </c>
      <c r="F1289" s="80"/>
      <c r="G1289" s="83"/>
      <c r="H1289" s="69" t="str">
        <f t="shared" si="661"/>
        <v>Senbur6_20191117_12_00</v>
      </c>
      <c r="I1289" s="70">
        <f t="shared" si="662"/>
        <v>1</v>
      </c>
      <c r="J1289" s="77" t="str">
        <f t="shared" si="662"/>
        <v>Senecio</v>
      </c>
      <c r="K1289" s="77" t="str">
        <f t="shared" si="662"/>
        <v>burtoni</v>
      </c>
      <c r="L1289" s="78">
        <f t="shared" si="662"/>
        <v>6</v>
      </c>
      <c r="M1289" s="78">
        <f t="shared" si="662"/>
        <v>12</v>
      </c>
      <c r="N1289" s="72">
        <f t="shared" si="662"/>
        <v>0</v>
      </c>
      <c r="O1289" s="45"/>
      <c r="P1289" s="46" t="str">
        <f t="shared" si="647"/>
        <v/>
      </c>
      <c r="Q1289" s="47" t="str">
        <f t="shared" si="648"/>
        <v/>
      </c>
      <c r="R1289" s="48" t="e">
        <f t="shared" si="649"/>
        <v>#VALUE!</v>
      </c>
      <c r="S1289" s="49" t="e">
        <f t="shared" si="642"/>
        <v>#VALUE!</v>
      </c>
      <c r="T1289" s="48" t="str">
        <f t="shared" si="650"/>
        <v/>
      </c>
      <c r="U1289" s="50"/>
      <c r="V1289" s="51"/>
      <c r="W1289" s="52" t="e">
        <f t="shared" si="651"/>
        <v>#VALUE!</v>
      </c>
      <c r="X1289" s="53"/>
      <c r="Y1289" s="53"/>
      <c r="Z1289" s="53"/>
      <c r="AA1289" s="48" t="e">
        <f>INDEX([1]!VISITORS[INSECT ORDER], MATCH(X1289,[1]!VISITORS[NAME USED],0))</f>
        <v>#REF!</v>
      </c>
      <c r="AB1289" s="48" t="e">
        <f t="shared" si="652"/>
        <v>#REF!</v>
      </c>
      <c r="AC1289" s="54" t="e">
        <f t="shared" si="653"/>
        <v>#VALUE!</v>
      </c>
      <c r="AD1289" s="55" t="str">
        <f t="shared" si="663"/>
        <v/>
      </c>
      <c r="AE1289" s="55"/>
      <c r="AF1289" s="55"/>
      <c r="AG1289" s="56" t="str">
        <f t="shared" si="668"/>
        <v/>
      </c>
      <c r="AH1289" s="57" t="str">
        <f t="shared" si="664"/>
        <v/>
      </c>
      <c r="AI1289" s="56"/>
      <c r="AJ1289" s="57" t="str">
        <f t="shared" si="665"/>
        <v/>
      </c>
      <c r="AK1289" s="56"/>
      <c r="AL1289" s="57" t="str">
        <f t="shared" si="666"/>
        <v/>
      </c>
      <c r="AM1289" s="56"/>
      <c r="AN1289" s="57" t="str">
        <f t="shared" si="654"/>
        <v/>
      </c>
      <c r="AO1289" s="56"/>
      <c r="AP1289" s="57" t="str">
        <f t="shared" si="655"/>
        <v/>
      </c>
      <c r="AQ1289" s="56"/>
      <c r="AR1289" s="57" t="str">
        <f t="shared" si="656"/>
        <v/>
      </c>
      <c r="AS1289" s="56"/>
      <c r="AT1289" s="57" t="str">
        <f t="shared" si="657"/>
        <v/>
      </c>
      <c r="AU1289" s="58"/>
      <c r="AV1289" s="59"/>
      <c r="AW1289" s="59"/>
      <c r="AX1289" s="60"/>
      <c r="AY1289" s="61" t="str">
        <f t="shared" si="669"/>
        <v/>
      </c>
      <c r="AZ1289" s="62" t="str">
        <f t="shared" si="667"/>
        <v/>
      </c>
      <c r="BA1289" s="61" t="str">
        <f t="shared" si="658"/>
        <v/>
      </c>
      <c r="BB1289" s="62" t="str">
        <f t="shared" si="659"/>
        <v/>
      </c>
    </row>
    <row r="1290" spans="1:54" s="3" customFormat="1" hidden="1" x14ac:dyDescent="0.35">
      <c r="A1290" s="73">
        <f t="shared" si="643"/>
        <v>2019</v>
      </c>
      <c r="B1290" s="73" t="str">
        <f t="shared" si="644"/>
        <v>Nov</v>
      </c>
      <c r="C1290" s="74">
        <f t="shared" si="660"/>
        <v>17</v>
      </c>
      <c r="D1290" s="75">
        <f t="shared" si="645"/>
        <v>12</v>
      </c>
      <c r="E1290" s="76">
        <f t="shared" si="646"/>
        <v>37</v>
      </c>
      <c r="F1290" s="80">
        <v>29</v>
      </c>
      <c r="G1290" s="83"/>
      <c r="H1290" s="69" t="str">
        <f t="shared" si="661"/>
        <v>Senbur6_20191117_12_00</v>
      </c>
      <c r="I1290" s="70">
        <f t="shared" si="662"/>
        <v>1</v>
      </c>
      <c r="J1290" s="77" t="str">
        <f t="shared" si="662"/>
        <v>Senecio</v>
      </c>
      <c r="K1290" s="77" t="str">
        <f t="shared" si="662"/>
        <v>burtoni</v>
      </c>
      <c r="L1290" s="78">
        <f t="shared" si="662"/>
        <v>6</v>
      </c>
      <c r="M1290" s="78">
        <f t="shared" si="662"/>
        <v>12</v>
      </c>
      <c r="N1290" s="72">
        <f t="shared" si="662"/>
        <v>0</v>
      </c>
      <c r="O1290" s="45"/>
      <c r="P1290" s="46">
        <f t="shared" si="647"/>
        <v>1</v>
      </c>
      <c r="Q1290" s="47" t="str">
        <f t="shared" si="648"/>
        <v>12:37:29</v>
      </c>
      <c r="R1290" s="48" t="str">
        <f t="shared" si="649"/>
        <v>37:29</v>
      </c>
      <c r="S1290" s="49">
        <f t="shared" si="642"/>
        <v>52</v>
      </c>
      <c r="T1290" s="48" t="str">
        <f t="shared" si="650"/>
        <v>12</v>
      </c>
      <c r="U1290" s="50">
        <v>38</v>
      </c>
      <c r="V1290" s="51">
        <v>21</v>
      </c>
      <c r="W1290" s="52" t="str">
        <f t="shared" si="651"/>
        <v>38:21</v>
      </c>
      <c r="X1290" s="53" t="s">
        <v>61</v>
      </c>
      <c r="Y1290" s="97" t="s">
        <v>78</v>
      </c>
      <c r="Z1290" s="97"/>
      <c r="AA1290" s="48" t="s">
        <v>60</v>
      </c>
      <c r="AB1290" s="48" t="str">
        <f t="shared" si="652"/>
        <v>NA</v>
      </c>
      <c r="AC1290" s="54">
        <f t="shared" si="653"/>
        <v>0</v>
      </c>
      <c r="AD1290" s="55">
        <f t="shared" si="663"/>
        <v>1</v>
      </c>
      <c r="AE1290" s="55"/>
      <c r="AF1290" s="55"/>
      <c r="AG1290" s="56" t="str">
        <f t="shared" si="668"/>
        <v/>
      </c>
      <c r="AH1290" s="57" t="str">
        <f t="shared" si="664"/>
        <v/>
      </c>
      <c r="AI1290" s="56"/>
      <c r="AJ1290" s="57" t="str">
        <f t="shared" si="665"/>
        <v/>
      </c>
      <c r="AK1290" s="56">
        <v>1</v>
      </c>
      <c r="AL1290" s="57">
        <f t="shared" si="666"/>
        <v>52</v>
      </c>
      <c r="AM1290" s="56"/>
      <c r="AN1290" s="57" t="str">
        <f t="shared" si="654"/>
        <v/>
      </c>
      <c r="AO1290" s="56"/>
      <c r="AP1290" s="57" t="str">
        <f t="shared" si="655"/>
        <v/>
      </c>
      <c r="AQ1290" s="56"/>
      <c r="AR1290" s="57" t="str">
        <f t="shared" si="656"/>
        <v/>
      </c>
      <c r="AS1290" s="56"/>
      <c r="AT1290" s="57" t="str">
        <f t="shared" si="657"/>
        <v/>
      </c>
      <c r="AU1290" s="58"/>
      <c r="AV1290" s="59"/>
      <c r="AW1290" s="59"/>
      <c r="AX1290" s="60"/>
      <c r="AY1290" s="61">
        <v>1</v>
      </c>
      <c r="AZ1290" s="62">
        <f t="shared" si="667"/>
        <v>1</v>
      </c>
      <c r="BA1290" s="61">
        <f t="shared" si="658"/>
        <v>0</v>
      </c>
      <c r="BB1290" s="62" t="str">
        <f t="shared" si="659"/>
        <v/>
      </c>
    </row>
    <row r="1291" spans="1:54" s="3" customFormat="1" hidden="1" x14ac:dyDescent="0.35">
      <c r="A1291" s="73">
        <f t="shared" si="643"/>
        <v>2019</v>
      </c>
      <c r="B1291" s="73" t="str">
        <f t="shared" si="644"/>
        <v>Nov</v>
      </c>
      <c r="C1291" s="74">
        <f t="shared" si="660"/>
        <v>17</v>
      </c>
      <c r="D1291" s="75">
        <f t="shared" si="645"/>
        <v>12</v>
      </c>
      <c r="E1291" s="76">
        <v>37</v>
      </c>
      <c r="F1291" s="80">
        <v>43</v>
      </c>
      <c r="G1291" s="83"/>
      <c r="H1291" s="69" t="str">
        <f t="shared" si="661"/>
        <v>Senbur6_20191117_12_00</v>
      </c>
      <c r="I1291" s="70">
        <f t="shared" si="662"/>
        <v>1</v>
      </c>
      <c r="J1291" s="77" t="str">
        <f t="shared" si="662"/>
        <v>Senecio</v>
      </c>
      <c r="K1291" s="77" t="str">
        <f t="shared" si="662"/>
        <v>burtoni</v>
      </c>
      <c r="L1291" s="78">
        <f t="shared" si="662"/>
        <v>6</v>
      </c>
      <c r="M1291" s="78">
        <f t="shared" si="662"/>
        <v>12</v>
      </c>
      <c r="N1291" s="72">
        <f t="shared" si="662"/>
        <v>0</v>
      </c>
      <c r="O1291" s="45"/>
      <c r="P1291" s="46">
        <f t="shared" si="647"/>
        <v>1</v>
      </c>
      <c r="Q1291" s="47" t="str">
        <f t="shared" si="648"/>
        <v>12:37:43</v>
      </c>
      <c r="R1291" s="48" t="str">
        <f t="shared" si="649"/>
        <v>37:43</v>
      </c>
      <c r="S1291" s="49">
        <f t="shared" si="642"/>
        <v>137</v>
      </c>
      <c r="T1291" s="48" t="str">
        <f t="shared" si="650"/>
        <v>12</v>
      </c>
      <c r="U1291" s="50">
        <v>40</v>
      </c>
      <c r="V1291" s="51">
        <v>0</v>
      </c>
      <c r="W1291" s="52" t="str">
        <f t="shared" si="651"/>
        <v>40:00</v>
      </c>
      <c r="X1291" s="53" t="s">
        <v>59</v>
      </c>
      <c r="Y1291" s="97" t="s">
        <v>78</v>
      </c>
      <c r="Z1291" s="97"/>
      <c r="AA1291" s="48" t="s">
        <v>60</v>
      </c>
      <c r="AB1291" s="48" t="str">
        <f t="shared" si="652"/>
        <v>NA</v>
      </c>
      <c r="AC1291" s="54">
        <f t="shared" si="653"/>
        <v>0</v>
      </c>
      <c r="AD1291" s="55">
        <v>2</v>
      </c>
      <c r="AE1291" s="55"/>
      <c r="AF1291" s="55"/>
      <c r="AG1291" s="56">
        <v>1</v>
      </c>
      <c r="AH1291" s="57">
        <v>2</v>
      </c>
      <c r="AI1291" s="56">
        <v>1</v>
      </c>
      <c r="AJ1291" s="57">
        <v>1</v>
      </c>
      <c r="AK1291" s="56">
        <v>1</v>
      </c>
      <c r="AL1291" s="57">
        <v>134</v>
      </c>
      <c r="AM1291" s="56"/>
      <c r="AN1291" s="57" t="str">
        <f t="shared" si="654"/>
        <v/>
      </c>
      <c r="AO1291" s="56"/>
      <c r="AP1291" s="57" t="str">
        <f t="shared" si="655"/>
        <v/>
      </c>
      <c r="AQ1291" s="56"/>
      <c r="AR1291" s="57" t="str">
        <f t="shared" si="656"/>
        <v/>
      </c>
      <c r="AS1291" s="56"/>
      <c r="AT1291" s="57" t="str">
        <f t="shared" si="657"/>
        <v/>
      </c>
      <c r="AU1291" s="58"/>
      <c r="AV1291" s="59"/>
      <c r="AW1291" s="59"/>
      <c r="AX1291" s="60"/>
      <c r="AY1291" s="61">
        <v>1</v>
      </c>
      <c r="AZ1291" s="62">
        <f t="shared" si="667"/>
        <v>2</v>
      </c>
      <c r="BA1291" s="61">
        <f t="shared" si="658"/>
        <v>0</v>
      </c>
      <c r="BB1291" s="62" t="str">
        <f t="shared" si="659"/>
        <v/>
      </c>
    </row>
    <row r="1292" spans="1:54" s="3" customFormat="1" hidden="1" x14ac:dyDescent="0.35">
      <c r="A1292" s="73">
        <f t="shared" si="643"/>
        <v>2019</v>
      </c>
      <c r="B1292" s="73" t="str">
        <f t="shared" si="644"/>
        <v>Nov</v>
      </c>
      <c r="C1292" s="74">
        <f t="shared" si="660"/>
        <v>17</v>
      </c>
      <c r="D1292" s="75">
        <f t="shared" si="645"/>
        <v>12</v>
      </c>
      <c r="E1292" s="76">
        <f t="shared" si="646"/>
        <v>38</v>
      </c>
      <c r="F1292" s="80"/>
      <c r="G1292" s="83"/>
      <c r="H1292" s="69" t="str">
        <f t="shared" si="661"/>
        <v>Senbur6_20191117_12_00</v>
      </c>
      <c r="I1292" s="70">
        <f t="shared" si="662"/>
        <v>1</v>
      </c>
      <c r="J1292" s="77" t="str">
        <f t="shared" si="662"/>
        <v>Senecio</v>
      </c>
      <c r="K1292" s="77" t="str">
        <f t="shared" si="662"/>
        <v>burtoni</v>
      </c>
      <c r="L1292" s="78">
        <f t="shared" si="662"/>
        <v>6</v>
      </c>
      <c r="M1292" s="78">
        <f t="shared" si="662"/>
        <v>12</v>
      </c>
      <c r="N1292" s="72">
        <f t="shared" si="662"/>
        <v>0</v>
      </c>
      <c r="O1292" s="45"/>
      <c r="P1292" s="46" t="str">
        <f t="shared" si="647"/>
        <v/>
      </c>
      <c r="Q1292" s="47" t="str">
        <f t="shared" si="648"/>
        <v/>
      </c>
      <c r="R1292" s="48" t="e">
        <f t="shared" si="649"/>
        <v>#VALUE!</v>
      </c>
      <c r="S1292" s="49" t="e">
        <f t="shared" si="642"/>
        <v>#VALUE!</v>
      </c>
      <c r="T1292" s="48" t="str">
        <f t="shared" si="650"/>
        <v/>
      </c>
      <c r="U1292" s="50"/>
      <c r="V1292" s="51"/>
      <c r="W1292" s="52" t="e">
        <f t="shared" si="651"/>
        <v>#VALUE!</v>
      </c>
      <c r="X1292" s="53"/>
      <c r="Y1292" s="53"/>
      <c r="Z1292" s="53"/>
      <c r="AA1292" s="48" t="e">
        <f>INDEX([1]!VISITORS[INSECT ORDER], MATCH(X1292,[1]!VISITORS[NAME USED],0))</f>
        <v>#REF!</v>
      </c>
      <c r="AB1292" s="48" t="e">
        <f t="shared" si="652"/>
        <v>#REF!</v>
      </c>
      <c r="AC1292" s="54" t="e">
        <f t="shared" si="653"/>
        <v>#VALUE!</v>
      </c>
      <c r="AD1292" s="55" t="str">
        <f t="shared" si="663"/>
        <v/>
      </c>
      <c r="AE1292" s="55"/>
      <c r="AF1292" s="55"/>
      <c r="AG1292" s="56" t="str">
        <f t="shared" si="668"/>
        <v/>
      </c>
      <c r="AH1292" s="57" t="str">
        <f t="shared" si="664"/>
        <v/>
      </c>
      <c r="AI1292" s="56"/>
      <c r="AJ1292" s="57" t="str">
        <f t="shared" si="665"/>
        <v/>
      </c>
      <c r="AK1292" s="56"/>
      <c r="AL1292" s="57" t="str">
        <f t="shared" si="666"/>
        <v/>
      </c>
      <c r="AM1292" s="56"/>
      <c r="AN1292" s="57" t="str">
        <f t="shared" si="654"/>
        <v/>
      </c>
      <c r="AO1292" s="56"/>
      <c r="AP1292" s="57" t="str">
        <f t="shared" si="655"/>
        <v/>
      </c>
      <c r="AQ1292" s="56"/>
      <c r="AR1292" s="57" t="str">
        <f t="shared" si="656"/>
        <v/>
      </c>
      <c r="AS1292" s="56"/>
      <c r="AT1292" s="57" t="str">
        <f t="shared" si="657"/>
        <v/>
      </c>
      <c r="AU1292" s="58"/>
      <c r="AV1292" s="59"/>
      <c r="AW1292" s="59"/>
      <c r="AX1292" s="60"/>
      <c r="AY1292" s="61" t="str">
        <f t="shared" si="669"/>
        <v/>
      </c>
      <c r="AZ1292" s="62" t="str">
        <f t="shared" si="667"/>
        <v/>
      </c>
      <c r="BA1292" s="61" t="str">
        <f t="shared" si="658"/>
        <v/>
      </c>
      <c r="BB1292" s="62" t="str">
        <f t="shared" si="659"/>
        <v/>
      </c>
    </row>
    <row r="1293" spans="1:54" s="3" customFormat="1" hidden="1" x14ac:dyDescent="0.35">
      <c r="A1293" s="73">
        <f t="shared" si="643"/>
        <v>2019</v>
      </c>
      <c r="B1293" s="73" t="str">
        <f t="shared" si="644"/>
        <v>Nov</v>
      </c>
      <c r="C1293" s="74">
        <f t="shared" si="660"/>
        <v>17</v>
      </c>
      <c r="D1293" s="75">
        <f t="shared" si="645"/>
        <v>12</v>
      </c>
      <c r="E1293" s="76">
        <f t="shared" si="646"/>
        <v>39</v>
      </c>
      <c r="F1293" s="80"/>
      <c r="G1293" s="83"/>
      <c r="H1293" s="69" t="str">
        <f t="shared" si="661"/>
        <v>Senbur6_20191117_12_00</v>
      </c>
      <c r="I1293" s="70">
        <f t="shared" si="662"/>
        <v>1</v>
      </c>
      <c r="J1293" s="77" t="str">
        <f t="shared" si="662"/>
        <v>Senecio</v>
      </c>
      <c r="K1293" s="77" t="str">
        <f t="shared" si="662"/>
        <v>burtoni</v>
      </c>
      <c r="L1293" s="78">
        <f t="shared" si="662"/>
        <v>6</v>
      </c>
      <c r="M1293" s="78">
        <f t="shared" si="662"/>
        <v>12</v>
      </c>
      <c r="N1293" s="72">
        <f t="shared" si="662"/>
        <v>0</v>
      </c>
      <c r="O1293" s="45"/>
      <c r="P1293" s="46" t="str">
        <f t="shared" si="647"/>
        <v/>
      </c>
      <c r="Q1293" s="47" t="str">
        <f t="shared" si="648"/>
        <v/>
      </c>
      <c r="R1293" s="48" t="e">
        <f t="shared" si="649"/>
        <v>#VALUE!</v>
      </c>
      <c r="S1293" s="49" t="e">
        <f t="shared" si="642"/>
        <v>#VALUE!</v>
      </c>
      <c r="T1293" s="48" t="str">
        <f t="shared" si="650"/>
        <v/>
      </c>
      <c r="U1293" s="50"/>
      <c r="V1293" s="51"/>
      <c r="W1293" s="52" t="e">
        <f t="shared" si="651"/>
        <v>#VALUE!</v>
      </c>
      <c r="X1293" s="53"/>
      <c r="Y1293" s="53"/>
      <c r="Z1293" s="53"/>
      <c r="AA1293" s="48" t="e">
        <f>INDEX([1]!VISITORS[INSECT ORDER], MATCH(X1293,[1]!VISITORS[NAME USED],0))</f>
        <v>#REF!</v>
      </c>
      <c r="AB1293" s="48" t="e">
        <f t="shared" si="652"/>
        <v>#REF!</v>
      </c>
      <c r="AC1293" s="54" t="e">
        <f t="shared" si="653"/>
        <v>#VALUE!</v>
      </c>
      <c r="AD1293" s="55" t="str">
        <f t="shared" si="663"/>
        <v/>
      </c>
      <c r="AE1293" s="55"/>
      <c r="AF1293" s="55"/>
      <c r="AG1293" s="56" t="str">
        <f t="shared" si="668"/>
        <v/>
      </c>
      <c r="AH1293" s="57" t="str">
        <f t="shared" si="664"/>
        <v/>
      </c>
      <c r="AI1293" s="56"/>
      <c r="AJ1293" s="57" t="str">
        <f t="shared" si="665"/>
        <v/>
      </c>
      <c r="AK1293" s="56"/>
      <c r="AL1293" s="57" t="str">
        <f t="shared" si="666"/>
        <v/>
      </c>
      <c r="AM1293" s="56"/>
      <c r="AN1293" s="57" t="str">
        <f t="shared" si="654"/>
        <v/>
      </c>
      <c r="AO1293" s="56"/>
      <c r="AP1293" s="57" t="str">
        <f t="shared" si="655"/>
        <v/>
      </c>
      <c r="AQ1293" s="56"/>
      <c r="AR1293" s="57" t="str">
        <f t="shared" si="656"/>
        <v/>
      </c>
      <c r="AS1293" s="56"/>
      <c r="AT1293" s="57" t="str">
        <f t="shared" si="657"/>
        <v/>
      </c>
      <c r="AU1293" s="58"/>
      <c r="AV1293" s="59"/>
      <c r="AW1293" s="59"/>
      <c r="AX1293" s="60"/>
      <c r="AY1293" s="61" t="str">
        <f t="shared" si="669"/>
        <v/>
      </c>
      <c r="AZ1293" s="62" t="str">
        <f t="shared" si="667"/>
        <v/>
      </c>
      <c r="BA1293" s="61" t="str">
        <f t="shared" si="658"/>
        <v/>
      </c>
      <c r="BB1293" s="62" t="str">
        <f t="shared" si="659"/>
        <v/>
      </c>
    </row>
    <row r="1294" spans="1:54" s="3" customFormat="1" hidden="1" x14ac:dyDescent="0.35">
      <c r="A1294" s="73">
        <f t="shared" si="643"/>
        <v>2019</v>
      </c>
      <c r="B1294" s="73" t="str">
        <f t="shared" si="644"/>
        <v>Nov</v>
      </c>
      <c r="C1294" s="74">
        <f t="shared" si="660"/>
        <v>17</v>
      </c>
      <c r="D1294" s="75">
        <f t="shared" si="645"/>
        <v>12</v>
      </c>
      <c r="E1294" s="76">
        <f t="shared" si="646"/>
        <v>40</v>
      </c>
      <c r="F1294" s="80">
        <v>26</v>
      </c>
      <c r="G1294" s="83"/>
      <c r="H1294" s="69" t="str">
        <f t="shared" si="661"/>
        <v>Senbur6_20191117_12_00</v>
      </c>
      <c r="I1294" s="70">
        <f t="shared" si="662"/>
        <v>1</v>
      </c>
      <c r="J1294" s="77" t="str">
        <f t="shared" si="662"/>
        <v>Senecio</v>
      </c>
      <c r="K1294" s="77" t="str">
        <f t="shared" si="662"/>
        <v>burtoni</v>
      </c>
      <c r="L1294" s="78">
        <f t="shared" si="662"/>
        <v>6</v>
      </c>
      <c r="M1294" s="78">
        <f t="shared" si="662"/>
        <v>12</v>
      </c>
      <c r="N1294" s="72">
        <f t="shared" si="662"/>
        <v>0</v>
      </c>
      <c r="O1294" s="45"/>
      <c r="P1294" s="46">
        <f t="shared" si="647"/>
        <v>1</v>
      </c>
      <c r="Q1294" s="47" t="str">
        <f t="shared" si="648"/>
        <v>12:40:26</v>
      </c>
      <c r="R1294" s="48" t="str">
        <f t="shared" si="649"/>
        <v>40:26</v>
      </c>
      <c r="S1294" s="49">
        <f t="shared" si="642"/>
        <v>24</v>
      </c>
      <c r="T1294" s="48" t="str">
        <f t="shared" si="650"/>
        <v>12</v>
      </c>
      <c r="U1294" s="50">
        <v>40</v>
      </c>
      <c r="V1294" s="51">
        <v>50</v>
      </c>
      <c r="W1294" s="52" t="str">
        <f t="shared" si="651"/>
        <v>40:50</v>
      </c>
      <c r="X1294" s="53" t="s">
        <v>62</v>
      </c>
      <c r="Y1294" s="97" t="s">
        <v>81</v>
      </c>
      <c r="Z1294" s="97"/>
      <c r="AA1294" s="48" t="s">
        <v>63</v>
      </c>
      <c r="AB1294" s="48" t="str">
        <f t="shared" si="652"/>
        <v>NA</v>
      </c>
      <c r="AC1294" s="54">
        <f t="shared" si="653"/>
        <v>0</v>
      </c>
      <c r="AD1294" s="55">
        <f t="shared" si="663"/>
        <v>1</v>
      </c>
      <c r="AE1294" s="55"/>
      <c r="AF1294" s="55"/>
      <c r="AG1294" s="56">
        <v>1</v>
      </c>
      <c r="AH1294" s="57">
        <v>23</v>
      </c>
      <c r="AI1294" s="56">
        <v>1</v>
      </c>
      <c r="AJ1294" s="57">
        <v>1</v>
      </c>
      <c r="AK1294" s="56"/>
      <c r="AL1294" s="57" t="str">
        <f t="shared" si="666"/>
        <v/>
      </c>
      <c r="AM1294" s="56"/>
      <c r="AN1294" s="57" t="str">
        <f t="shared" si="654"/>
        <v/>
      </c>
      <c r="AO1294" s="56"/>
      <c r="AP1294" s="57" t="str">
        <f t="shared" si="655"/>
        <v/>
      </c>
      <c r="AQ1294" s="56"/>
      <c r="AR1294" s="57" t="str">
        <f t="shared" si="656"/>
        <v/>
      </c>
      <c r="AS1294" s="56"/>
      <c r="AT1294" s="57" t="str">
        <f t="shared" si="657"/>
        <v/>
      </c>
      <c r="AU1294" s="58"/>
      <c r="AV1294" s="59"/>
      <c r="AW1294" s="59"/>
      <c r="AX1294" s="60"/>
      <c r="AY1294" s="61">
        <v>1</v>
      </c>
      <c r="AZ1294" s="62">
        <f t="shared" si="667"/>
        <v>1</v>
      </c>
      <c r="BA1294" s="61">
        <f t="shared" si="658"/>
        <v>0</v>
      </c>
      <c r="BB1294" s="62" t="str">
        <f t="shared" si="659"/>
        <v/>
      </c>
    </row>
    <row r="1295" spans="1:54" s="3" customFormat="1" hidden="1" x14ac:dyDescent="0.35">
      <c r="A1295" s="73">
        <f t="shared" si="643"/>
        <v>2019</v>
      </c>
      <c r="B1295" s="73" t="str">
        <f t="shared" si="644"/>
        <v>Nov</v>
      </c>
      <c r="C1295" s="74">
        <f t="shared" si="660"/>
        <v>17</v>
      </c>
      <c r="D1295" s="75">
        <f t="shared" si="645"/>
        <v>12</v>
      </c>
      <c r="E1295" s="76">
        <v>40</v>
      </c>
      <c r="F1295" s="80">
        <v>34</v>
      </c>
      <c r="G1295" s="83"/>
      <c r="H1295" s="69" t="str">
        <f t="shared" si="661"/>
        <v>Senbur6_20191117_12_00</v>
      </c>
      <c r="I1295" s="70">
        <f t="shared" si="662"/>
        <v>1</v>
      </c>
      <c r="J1295" s="77" t="str">
        <f t="shared" si="662"/>
        <v>Senecio</v>
      </c>
      <c r="K1295" s="77" t="str">
        <f t="shared" si="662"/>
        <v>burtoni</v>
      </c>
      <c r="L1295" s="78">
        <f t="shared" si="662"/>
        <v>6</v>
      </c>
      <c r="M1295" s="78">
        <f t="shared" si="662"/>
        <v>12</v>
      </c>
      <c r="N1295" s="72">
        <f t="shared" si="662"/>
        <v>0</v>
      </c>
      <c r="O1295" s="45"/>
      <c r="P1295" s="46">
        <f t="shared" si="647"/>
        <v>1</v>
      </c>
      <c r="Q1295" s="47" t="str">
        <f t="shared" si="648"/>
        <v>12:40:34</v>
      </c>
      <c r="R1295" s="48" t="str">
        <f t="shared" si="649"/>
        <v>40:34</v>
      </c>
      <c r="S1295" s="49">
        <f t="shared" si="642"/>
        <v>8</v>
      </c>
      <c r="T1295" s="48" t="str">
        <f t="shared" si="650"/>
        <v>12</v>
      </c>
      <c r="U1295" s="50">
        <v>40</v>
      </c>
      <c r="V1295" s="51">
        <v>42</v>
      </c>
      <c r="W1295" s="52" t="str">
        <f t="shared" si="651"/>
        <v>40:42</v>
      </c>
      <c r="X1295" s="53" t="s">
        <v>70</v>
      </c>
      <c r="Y1295" s="97" t="s">
        <v>87</v>
      </c>
      <c r="Z1295" s="97"/>
      <c r="AA1295" s="48" t="s">
        <v>63</v>
      </c>
      <c r="AB1295" s="48" t="str">
        <f t="shared" si="652"/>
        <v>NA</v>
      </c>
      <c r="AC1295" s="54">
        <f t="shared" si="653"/>
        <v>0</v>
      </c>
      <c r="AD1295" s="55">
        <v>2</v>
      </c>
      <c r="AE1295" s="55"/>
      <c r="AF1295" s="55"/>
      <c r="AG1295" s="56">
        <v>1</v>
      </c>
      <c r="AH1295" s="57">
        <v>2</v>
      </c>
      <c r="AI1295" s="56"/>
      <c r="AJ1295" s="57" t="str">
        <f t="shared" si="665"/>
        <v/>
      </c>
      <c r="AK1295" s="56">
        <v>1</v>
      </c>
      <c r="AL1295" s="57">
        <v>6</v>
      </c>
      <c r="AM1295" s="56"/>
      <c r="AN1295" s="57" t="str">
        <f t="shared" si="654"/>
        <v/>
      </c>
      <c r="AO1295" s="56"/>
      <c r="AP1295" s="57" t="str">
        <f t="shared" si="655"/>
        <v/>
      </c>
      <c r="AQ1295" s="56"/>
      <c r="AR1295" s="57" t="str">
        <f t="shared" si="656"/>
        <v/>
      </c>
      <c r="AS1295" s="56"/>
      <c r="AT1295" s="57" t="str">
        <f t="shared" si="657"/>
        <v/>
      </c>
      <c r="AU1295" s="58"/>
      <c r="AV1295" s="59"/>
      <c r="AW1295" s="59"/>
      <c r="AX1295" s="60"/>
      <c r="AY1295" s="61">
        <v>1</v>
      </c>
      <c r="AZ1295" s="62">
        <v>1</v>
      </c>
      <c r="BA1295" s="61">
        <f t="shared" si="658"/>
        <v>0</v>
      </c>
      <c r="BB1295" s="62" t="str">
        <f t="shared" si="659"/>
        <v/>
      </c>
    </row>
    <row r="1296" spans="1:54" s="3" customFormat="1" hidden="1" x14ac:dyDescent="0.35">
      <c r="A1296" s="73">
        <f t="shared" si="643"/>
        <v>2019</v>
      </c>
      <c r="B1296" s="73" t="str">
        <f t="shared" si="644"/>
        <v>Nov</v>
      </c>
      <c r="C1296" s="74">
        <f t="shared" si="660"/>
        <v>17</v>
      </c>
      <c r="D1296" s="75">
        <f t="shared" si="645"/>
        <v>12</v>
      </c>
      <c r="E1296" s="76">
        <f t="shared" si="646"/>
        <v>41</v>
      </c>
      <c r="F1296" s="80"/>
      <c r="G1296" s="83"/>
      <c r="H1296" s="69" t="str">
        <f t="shared" si="661"/>
        <v>Senbur6_20191117_12_00</v>
      </c>
      <c r="I1296" s="70">
        <f t="shared" si="662"/>
        <v>1</v>
      </c>
      <c r="J1296" s="77" t="str">
        <f t="shared" si="662"/>
        <v>Senecio</v>
      </c>
      <c r="K1296" s="77" t="str">
        <f t="shared" si="662"/>
        <v>burtoni</v>
      </c>
      <c r="L1296" s="78">
        <f t="shared" si="662"/>
        <v>6</v>
      </c>
      <c r="M1296" s="78">
        <f t="shared" si="662"/>
        <v>12</v>
      </c>
      <c r="N1296" s="72">
        <f t="shared" si="662"/>
        <v>0</v>
      </c>
      <c r="O1296" s="45"/>
      <c r="P1296" s="46" t="str">
        <f t="shared" si="647"/>
        <v/>
      </c>
      <c r="Q1296" s="47" t="str">
        <f t="shared" si="648"/>
        <v/>
      </c>
      <c r="R1296" s="48" t="e">
        <f t="shared" si="649"/>
        <v>#VALUE!</v>
      </c>
      <c r="S1296" s="49" t="e">
        <f t="shared" si="642"/>
        <v>#VALUE!</v>
      </c>
      <c r="T1296" s="48" t="str">
        <f t="shared" si="650"/>
        <v/>
      </c>
      <c r="U1296" s="50"/>
      <c r="V1296" s="51"/>
      <c r="W1296" s="52" t="e">
        <f t="shared" si="651"/>
        <v>#VALUE!</v>
      </c>
      <c r="X1296" s="53"/>
      <c r="Y1296" s="53"/>
      <c r="Z1296" s="53"/>
      <c r="AA1296" s="48" t="e">
        <f>INDEX([1]!VISITORS[INSECT ORDER], MATCH(X1296,[1]!VISITORS[NAME USED],0))</f>
        <v>#REF!</v>
      </c>
      <c r="AB1296" s="48" t="e">
        <f t="shared" si="652"/>
        <v>#REF!</v>
      </c>
      <c r="AC1296" s="54" t="e">
        <f t="shared" si="653"/>
        <v>#VALUE!</v>
      </c>
      <c r="AD1296" s="55" t="str">
        <f t="shared" si="663"/>
        <v/>
      </c>
      <c r="AE1296" s="55"/>
      <c r="AF1296" s="55"/>
      <c r="AG1296" s="56" t="str">
        <f t="shared" si="668"/>
        <v/>
      </c>
      <c r="AH1296" s="57" t="str">
        <f t="shared" si="664"/>
        <v/>
      </c>
      <c r="AI1296" s="56"/>
      <c r="AJ1296" s="57" t="str">
        <f t="shared" si="665"/>
        <v/>
      </c>
      <c r="AK1296" s="56"/>
      <c r="AL1296" s="57" t="str">
        <f t="shared" si="666"/>
        <v/>
      </c>
      <c r="AM1296" s="56"/>
      <c r="AN1296" s="57" t="str">
        <f t="shared" si="654"/>
        <v/>
      </c>
      <c r="AO1296" s="56"/>
      <c r="AP1296" s="57" t="str">
        <f t="shared" si="655"/>
        <v/>
      </c>
      <c r="AQ1296" s="56"/>
      <c r="AR1296" s="57" t="str">
        <f t="shared" si="656"/>
        <v/>
      </c>
      <c r="AS1296" s="56"/>
      <c r="AT1296" s="57" t="str">
        <f t="shared" si="657"/>
        <v/>
      </c>
      <c r="AU1296" s="58"/>
      <c r="AV1296" s="59"/>
      <c r="AW1296" s="59"/>
      <c r="AX1296" s="60"/>
      <c r="AY1296" s="61" t="str">
        <f t="shared" si="669"/>
        <v/>
      </c>
      <c r="AZ1296" s="62" t="str">
        <f t="shared" si="667"/>
        <v/>
      </c>
      <c r="BA1296" s="61" t="str">
        <f t="shared" si="658"/>
        <v/>
      </c>
      <c r="BB1296" s="62" t="str">
        <f t="shared" si="659"/>
        <v/>
      </c>
    </row>
    <row r="1297" spans="1:54" s="3" customFormat="1" hidden="1" x14ac:dyDescent="0.35">
      <c r="A1297" s="73">
        <f t="shared" si="643"/>
        <v>2019</v>
      </c>
      <c r="B1297" s="73" t="str">
        <f t="shared" si="644"/>
        <v>Nov</v>
      </c>
      <c r="C1297" s="74">
        <f t="shared" si="660"/>
        <v>17</v>
      </c>
      <c r="D1297" s="75">
        <f t="shared" si="645"/>
        <v>12</v>
      </c>
      <c r="E1297" s="76">
        <f t="shared" si="646"/>
        <v>42</v>
      </c>
      <c r="F1297" s="80"/>
      <c r="G1297" s="83"/>
      <c r="H1297" s="69" t="str">
        <f t="shared" si="661"/>
        <v>Senbur6_20191117_12_00</v>
      </c>
      <c r="I1297" s="70">
        <f t="shared" si="662"/>
        <v>1</v>
      </c>
      <c r="J1297" s="77" t="str">
        <f t="shared" si="662"/>
        <v>Senecio</v>
      </c>
      <c r="K1297" s="77" t="str">
        <f t="shared" si="662"/>
        <v>burtoni</v>
      </c>
      <c r="L1297" s="78">
        <f t="shared" si="662"/>
        <v>6</v>
      </c>
      <c r="M1297" s="78">
        <f t="shared" si="662"/>
        <v>12</v>
      </c>
      <c r="N1297" s="72">
        <f t="shared" si="662"/>
        <v>0</v>
      </c>
      <c r="O1297" s="45"/>
      <c r="P1297" s="46" t="str">
        <f t="shared" si="647"/>
        <v/>
      </c>
      <c r="Q1297" s="47" t="str">
        <f t="shared" si="648"/>
        <v/>
      </c>
      <c r="R1297" s="48" t="e">
        <f t="shared" si="649"/>
        <v>#VALUE!</v>
      </c>
      <c r="S1297" s="49" t="e">
        <f t="shared" si="642"/>
        <v>#VALUE!</v>
      </c>
      <c r="T1297" s="48" t="str">
        <f t="shared" si="650"/>
        <v/>
      </c>
      <c r="U1297" s="50"/>
      <c r="V1297" s="51"/>
      <c r="W1297" s="52" t="e">
        <f t="shared" si="651"/>
        <v>#VALUE!</v>
      </c>
      <c r="X1297" s="53"/>
      <c r="Y1297" s="53"/>
      <c r="Z1297" s="53"/>
      <c r="AA1297" s="48" t="e">
        <f>INDEX([1]!VISITORS[INSECT ORDER], MATCH(X1297,[1]!VISITORS[NAME USED],0))</f>
        <v>#REF!</v>
      </c>
      <c r="AB1297" s="48" t="e">
        <f t="shared" si="652"/>
        <v>#REF!</v>
      </c>
      <c r="AC1297" s="54" t="e">
        <f t="shared" si="653"/>
        <v>#VALUE!</v>
      </c>
      <c r="AD1297" s="55" t="str">
        <f t="shared" si="663"/>
        <v/>
      </c>
      <c r="AE1297" s="55"/>
      <c r="AF1297" s="55"/>
      <c r="AG1297" s="56" t="str">
        <f t="shared" si="668"/>
        <v/>
      </c>
      <c r="AH1297" s="57" t="str">
        <f t="shared" si="664"/>
        <v/>
      </c>
      <c r="AI1297" s="56"/>
      <c r="AJ1297" s="57" t="str">
        <f t="shared" si="665"/>
        <v/>
      </c>
      <c r="AK1297" s="56"/>
      <c r="AL1297" s="57" t="str">
        <f t="shared" si="666"/>
        <v/>
      </c>
      <c r="AM1297" s="56"/>
      <c r="AN1297" s="57" t="str">
        <f t="shared" si="654"/>
        <v/>
      </c>
      <c r="AO1297" s="56"/>
      <c r="AP1297" s="57" t="str">
        <f t="shared" si="655"/>
        <v/>
      </c>
      <c r="AQ1297" s="56"/>
      <c r="AR1297" s="57" t="str">
        <f t="shared" si="656"/>
        <v/>
      </c>
      <c r="AS1297" s="56"/>
      <c r="AT1297" s="57" t="str">
        <f t="shared" si="657"/>
        <v/>
      </c>
      <c r="AU1297" s="58"/>
      <c r="AV1297" s="59"/>
      <c r="AW1297" s="59"/>
      <c r="AX1297" s="60"/>
      <c r="AY1297" s="61" t="str">
        <f t="shared" si="669"/>
        <v/>
      </c>
      <c r="AZ1297" s="62" t="str">
        <f t="shared" si="667"/>
        <v/>
      </c>
      <c r="BA1297" s="61" t="str">
        <f t="shared" si="658"/>
        <v/>
      </c>
      <c r="BB1297" s="62" t="str">
        <f t="shared" si="659"/>
        <v/>
      </c>
    </row>
    <row r="1298" spans="1:54" s="3" customFormat="1" hidden="1" x14ac:dyDescent="0.35">
      <c r="A1298" s="73">
        <f t="shared" si="643"/>
        <v>2019</v>
      </c>
      <c r="B1298" s="73" t="str">
        <f t="shared" si="644"/>
        <v>Nov</v>
      </c>
      <c r="C1298" s="74">
        <f t="shared" si="660"/>
        <v>17</v>
      </c>
      <c r="D1298" s="75">
        <f t="shared" si="645"/>
        <v>12</v>
      </c>
      <c r="E1298" s="76">
        <f t="shared" si="646"/>
        <v>43</v>
      </c>
      <c r="F1298" s="80">
        <v>40</v>
      </c>
      <c r="G1298" s="83"/>
      <c r="H1298" s="69" t="str">
        <f t="shared" si="661"/>
        <v>Senbur6_20191117_12_00</v>
      </c>
      <c r="I1298" s="70">
        <f t="shared" si="662"/>
        <v>1</v>
      </c>
      <c r="J1298" s="77" t="str">
        <f t="shared" si="662"/>
        <v>Senecio</v>
      </c>
      <c r="K1298" s="77" t="str">
        <f t="shared" si="662"/>
        <v>burtoni</v>
      </c>
      <c r="L1298" s="78">
        <f t="shared" si="662"/>
        <v>6</v>
      </c>
      <c r="M1298" s="78">
        <f t="shared" si="662"/>
        <v>12</v>
      </c>
      <c r="N1298" s="72">
        <f t="shared" si="662"/>
        <v>0</v>
      </c>
      <c r="O1298" s="45"/>
      <c r="P1298" s="46">
        <f t="shared" si="647"/>
        <v>1</v>
      </c>
      <c r="Q1298" s="47" t="str">
        <f t="shared" si="648"/>
        <v>12:43:40</v>
      </c>
      <c r="R1298" s="48" t="str">
        <f t="shared" si="649"/>
        <v>43:40</v>
      </c>
      <c r="S1298" s="49">
        <f t="shared" si="642"/>
        <v>92</v>
      </c>
      <c r="T1298" s="48" t="str">
        <f t="shared" si="650"/>
        <v>12</v>
      </c>
      <c r="U1298" s="50">
        <v>45</v>
      </c>
      <c r="V1298" s="51">
        <v>12</v>
      </c>
      <c r="W1298" s="52" t="str">
        <f t="shared" si="651"/>
        <v>45:12</v>
      </c>
      <c r="X1298" s="53" t="s">
        <v>61</v>
      </c>
      <c r="Y1298" s="97" t="s">
        <v>84</v>
      </c>
      <c r="Z1298" s="97" t="s">
        <v>80</v>
      </c>
      <c r="AA1298" s="48" t="s">
        <v>60</v>
      </c>
      <c r="AB1298" s="48" t="str">
        <f t="shared" si="652"/>
        <v>NA</v>
      </c>
      <c r="AC1298" s="54">
        <f t="shared" si="653"/>
        <v>0</v>
      </c>
      <c r="AD1298" s="55">
        <v>2</v>
      </c>
      <c r="AE1298" s="55"/>
      <c r="AF1298" s="55"/>
      <c r="AG1298" s="56">
        <v>1</v>
      </c>
      <c r="AH1298" s="57">
        <v>2</v>
      </c>
      <c r="AI1298" s="56"/>
      <c r="AJ1298" s="57" t="str">
        <f t="shared" si="665"/>
        <v/>
      </c>
      <c r="AK1298" s="56">
        <v>1</v>
      </c>
      <c r="AL1298" s="57">
        <v>90</v>
      </c>
      <c r="AM1298" s="56"/>
      <c r="AN1298" s="57" t="str">
        <f t="shared" si="654"/>
        <v/>
      </c>
      <c r="AO1298" s="56"/>
      <c r="AP1298" s="57" t="str">
        <f t="shared" si="655"/>
        <v/>
      </c>
      <c r="AQ1298" s="56"/>
      <c r="AR1298" s="57" t="str">
        <f t="shared" si="656"/>
        <v/>
      </c>
      <c r="AS1298" s="56"/>
      <c r="AT1298" s="57" t="str">
        <f t="shared" si="657"/>
        <v/>
      </c>
      <c r="AU1298" s="58"/>
      <c r="AV1298" s="59"/>
      <c r="AW1298" s="59"/>
      <c r="AX1298" s="60"/>
      <c r="AY1298" s="61">
        <v>1</v>
      </c>
      <c r="AZ1298" s="62">
        <f t="shared" si="667"/>
        <v>2</v>
      </c>
      <c r="BA1298" s="61">
        <f t="shared" si="658"/>
        <v>0</v>
      </c>
      <c r="BB1298" s="62" t="str">
        <f t="shared" si="659"/>
        <v/>
      </c>
    </row>
    <row r="1299" spans="1:54" s="3" customFormat="1" hidden="1" x14ac:dyDescent="0.35">
      <c r="A1299" s="73">
        <f t="shared" si="643"/>
        <v>2019</v>
      </c>
      <c r="B1299" s="73" t="str">
        <f t="shared" si="644"/>
        <v>Nov</v>
      </c>
      <c r="C1299" s="74">
        <f t="shared" si="660"/>
        <v>17</v>
      </c>
      <c r="D1299" s="75">
        <f t="shared" si="645"/>
        <v>12</v>
      </c>
      <c r="E1299" s="76">
        <f t="shared" si="646"/>
        <v>44</v>
      </c>
      <c r="F1299" s="80">
        <v>0</v>
      </c>
      <c r="G1299" s="83"/>
      <c r="H1299" s="69" t="str">
        <f t="shared" si="661"/>
        <v>Senbur6_20191117_12_00</v>
      </c>
      <c r="I1299" s="70">
        <f t="shared" si="662"/>
        <v>1</v>
      </c>
      <c r="J1299" s="77" t="str">
        <f t="shared" si="662"/>
        <v>Senecio</v>
      </c>
      <c r="K1299" s="77" t="str">
        <f t="shared" si="662"/>
        <v>burtoni</v>
      </c>
      <c r="L1299" s="78">
        <f t="shared" si="662"/>
        <v>6</v>
      </c>
      <c r="M1299" s="78">
        <f t="shared" si="662"/>
        <v>12</v>
      </c>
      <c r="N1299" s="72">
        <f t="shared" si="662"/>
        <v>0</v>
      </c>
      <c r="O1299" s="45"/>
      <c r="P1299" s="46">
        <f t="shared" si="647"/>
        <v>1</v>
      </c>
      <c r="Q1299" s="47" t="str">
        <f t="shared" si="648"/>
        <v>12:44:00</v>
      </c>
      <c r="R1299" s="48" t="str">
        <f t="shared" si="649"/>
        <v>44:00</v>
      </c>
      <c r="S1299" s="49">
        <f t="shared" si="642"/>
        <v>20</v>
      </c>
      <c r="T1299" s="48" t="str">
        <f t="shared" si="650"/>
        <v>12</v>
      </c>
      <c r="U1299" s="50">
        <v>44</v>
      </c>
      <c r="V1299" s="51">
        <v>20</v>
      </c>
      <c r="W1299" s="52" t="str">
        <f t="shared" si="651"/>
        <v>44:20</v>
      </c>
      <c r="X1299" s="53" t="s">
        <v>61</v>
      </c>
      <c r="Y1299" s="97" t="s">
        <v>79</v>
      </c>
      <c r="Z1299" s="97" t="s">
        <v>80</v>
      </c>
      <c r="AA1299" s="48" t="s">
        <v>60</v>
      </c>
      <c r="AB1299" s="48" t="str">
        <f t="shared" si="652"/>
        <v>NA</v>
      </c>
      <c r="AC1299" s="54">
        <f t="shared" si="653"/>
        <v>0</v>
      </c>
      <c r="AD1299" s="55">
        <v>3</v>
      </c>
      <c r="AE1299" s="55"/>
      <c r="AF1299" s="55"/>
      <c r="AG1299" s="56">
        <v>1</v>
      </c>
      <c r="AH1299" s="57">
        <v>4</v>
      </c>
      <c r="AI1299" s="56"/>
      <c r="AJ1299" s="57" t="str">
        <f t="shared" si="665"/>
        <v/>
      </c>
      <c r="AK1299" s="56">
        <v>1</v>
      </c>
      <c r="AL1299" s="57">
        <v>16</v>
      </c>
      <c r="AM1299" s="56"/>
      <c r="AN1299" s="57" t="str">
        <f t="shared" si="654"/>
        <v/>
      </c>
      <c r="AO1299" s="56"/>
      <c r="AP1299" s="57" t="str">
        <f t="shared" si="655"/>
        <v/>
      </c>
      <c r="AQ1299" s="56"/>
      <c r="AR1299" s="57" t="str">
        <f t="shared" si="656"/>
        <v/>
      </c>
      <c r="AS1299" s="56"/>
      <c r="AT1299" s="57" t="str">
        <f t="shared" si="657"/>
        <v/>
      </c>
      <c r="AU1299" s="58"/>
      <c r="AV1299" s="59"/>
      <c r="AW1299" s="59"/>
      <c r="AX1299" s="60"/>
      <c r="AY1299" s="61">
        <v>1</v>
      </c>
      <c r="AZ1299" s="62">
        <f t="shared" si="667"/>
        <v>3</v>
      </c>
      <c r="BA1299" s="61">
        <f t="shared" si="658"/>
        <v>0</v>
      </c>
      <c r="BB1299" s="62" t="str">
        <f t="shared" si="659"/>
        <v/>
      </c>
    </row>
    <row r="1300" spans="1:54" s="3" customFormat="1" hidden="1" x14ac:dyDescent="0.35">
      <c r="A1300" s="73">
        <f t="shared" si="643"/>
        <v>2019</v>
      </c>
      <c r="B1300" s="73" t="str">
        <f t="shared" si="644"/>
        <v>Nov</v>
      </c>
      <c r="C1300" s="74">
        <f t="shared" si="660"/>
        <v>17</v>
      </c>
      <c r="D1300" s="75">
        <f t="shared" si="645"/>
        <v>12</v>
      </c>
      <c r="E1300" s="76">
        <v>44</v>
      </c>
      <c r="F1300" s="80">
        <v>3</v>
      </c>
      <c r="G1300" s="83"/>
      <c r="H1300" s="69" t="str">
        <f t="shared" si="661"/>
        <v>Senbur6_20191117_12_00</v>
      </c>
      <c r="I1300" s="70">
        <f t="shared" si="662"/>
        <v>1</v>
      </c>
      <c r="J1300" s="77" t="str">
        <f t="shared" si="662"/>
        <v>Senecio</v>
      </c>
      <c r="K1300" s="77" t="str">
        <f t="shared" si="662"/>
        <v>burtoni</v>
      </c>
      <c r="L1300" s="78">
        <f t="shared" si="662"/>
        <v>6</v>
      </c>
      <c r="M1300" s="78">
        <f t="shared" si="662"/>
        <v>12</v>
      </c>
      <c r="N1300" s="72">
        <f t="shared" si="662"/>
        <v>0</v>
      </c>
      <c r="O1300" s="45"/>
      <c r="P1300" s="46">
        <f t="shared" si="647"/>
        <v>1</v>
      </c>
      <c r="Q1300" s="47" t="str">
        <f t="shared" si="648"/>
        <v>12:44:03</v>
      </c>
      <c r="R1300" s="48" t="str">
        <f t="shared" si="649"/>
        <v>44:03</v>
      </c>
      <c r="S1300" s="49">
        <f t="shared" si="642"/>
        <v>9</v>
      </c>
      <c r="T1300" s="48" t="str">
        <f t="shared" si="650"/>
        <v>12</v>
      </c>
      <c r="U1300" s="50">
        <v>44</v>
      </c>
      <c r="V1300" s="51">
        <v>12</v>
      </c>
      <c r="W1300" s="52" t="str">
        <f t="shared" si="651"/>
        <v>44:12</v>
      </c>
      <c r="X1300" s="53" t="s">
        <v>61</v>
      </c>
      <c r="Y1300" s="97" t="s">
        <v>78</v>
      </c>
      <c r="Z1300" s="97"/>
      <c r="AA1300" s="48" t="s">
        <v>60</v>
      </c>
      <c r="AB1300" s="48" t="str">
        <f t="shared" si="652"/>
        <v>NA</v>
      </c>
      <c r="AC1300" s="54">
        <f t="shared" si="653"/>
        <v>0</v>
      </c>
      <c r="AD1300" s="55">
        <f t="shared" si="663"/>
        <v>1</v>
      </c>
      <c r="AE1300" s="55"/>
      <c r="AF1300" s="55"/>
      <c r="AG1300" s="56">
        <v>1</v>
      </c>
      <c r="AH1300" s="57">
        <v>9</v>
      </c>
      <c r="AI1300" s="56"/>
      <c r="AJ1300" s="57" t="str">
        <f t="shared" si="665"/>
        <v/>
      </c>
      <c r="AK1300" s="56"/>
      <c r="AL1300" s="57" t="str">
        <f t="shared" si="666"/>
        <v/>
      </c>
      <c r="AM1300" s="56"/>
      <c r="AN1300" s="57" t="str">
        <f t="shared" si="654"/>
        <v/>
      </c>
      <c r="AO1300" s="56"/>
      <c r="AP1300" s="57" t="str">
        <f t="shared" si="655"/>
        <v/>
      </c>
      <c r="AQ1300" s="56"/>
      <c r="AR1300" s="57" t="str">
        <f t="shared" si="656"/>
        <v/>
      </c>
      <c r="AS1300" s="56"/>
      <c r="AT1300" s="57" t="str">
        <f t="shared" si="657"/>
        <v/>
      </c>
      <c r="AU1300" s="58"/>
      <c r="AV1300" s="59"/>
      <c r="AW1300" s="59"/>
      <c r="AX1300" s="60"/>
      <c r="AY1300" s="61">
        <v>1</v>
      </c>
      <c r="AZ1300" s="62">
        <v>1</v>
      </c>
      <c r="BA1300" s="61">
        <f t="shared" si="658"/>
        <v>0</v>
      </c>
      <c r="BB1300" s="62" t="str">
        <f t="shared" si="659"/>
        <v/>
      </c>
    </row>
    <row r="1301" spans="1:54" s="3" customFormat="1" hidden="1" x14ac:dyDescent="0.35">
      <c r="A1301" s="73">
        <f t="shared" si="643"/>
        <v>2019</v>
      </c>
      <c r="B1301" s="73" t="str">
        <f t="shared" si="644"/>
        <v>Nov</v>
      </c>
      <c r="C1301" s="74">
        <f t="shared" si="660"/>
        <v>17</v>
      </c>
      <c r="D1301" s="75">
        <f t="shared" si="645"/>
        <v>12</v>
      </c>
      <c r="E1301" s="76">
        <f t="shared" si="646"/>
        <v>45</v>
      </c>
      <c r="F1301" s="80">
        <v>0</v>
      </c>
      <c r="G1301" s="83"/>
      <c r="H1301" s="69" t="str">
        <f t="shared" si="661"/>
        <v>Senbur6_20191117_12_00</v>
      </c>
      <c r="I1301" s="70">
        <f t="shared" si="662"/>
        <v>1</v>
      </c>
      <c r="J1301" s="77" t="str">
        <f t="shared" si="662"/>
        <v>Senecio</v>
      </c>
      <c r="K1301" s="77" t="str">
        <f t="shared" si="662"/>
        <v>burtoni</v>
      </c>
      <c r="L1301" s="78">
        <f t="shared" si="662"/>
        <v>6</v>
      </c>
      <c r="M1301" s="78">
        <f t="shared" si="662"/>
        <v>12</v>
      </c>
      <c r="N1301" s="72">
        <f t="shared" si="662"/>
        <v>0</v>
      </c>
      <c r="O1301" s="45"/>
      <c r="P1301" s="46">
        <f t="shared" si="647"/>
        <v>1</v>
      </c>
      <c r="Q1301" s="47" t="str">
        <f t="shared" si="648"/>
        <v>12:45:00</v>
      </c>
      <c r="R1301" s="48" t="str">
        <f t="shared" si="649"/>
        <v>45:00</v>
      </c>
      <c r="S1301" s="49">
        <f t="shared" si="642"/>
        <v>49</v>
      </c>
      <c r="T1301" s="48" t="str">
        <f t="shared" si="650"/>
        <v>12</v>
      </c>
      <c r="U1301" s="50">
        <v>45</v>
      </c>
      <c r="V1301" s="51">
        <v>49</v>
      </c>
      <c r="W1301" s="52" t="str">
        <f t="shared" si="651"/>
        <v>45:49</v>
      </c>
      <c r="X1301" s="53" t="s">
        <v>61</v>
      </c>
      <c r="Y1301" s="97" t="s">
        <v>79</v>
      </c>
      <c r="Z1301" s="97" t="s">
        <v>80</v>
      </c>
      <c r="AA1301" s="48" t="s">
        <v>60</v>
      </c>
      <c r="AB1301" s="48" t="str">
        <f t="shared" si="652"/>
        <v>NA</v>
      </c>
      <c r="AC1301" s="54">
        <f t="shared" si="653"/>
        <v>0</v>
      </c>
      <c r="AD1301" s="55">
        <v>5</v>
      </c>
      <c r="AE1301" s="55"/>
      <c r="AF1301" s="55"/>
      <c r="AG1301" s="56">
        <v>1</v>
      </c>
      <c r="AH1301" s="57">
        <v>37</v>
      </c>
      <c r="AI1301" s="56">
        <v>1</v>
      </c>
      <c r="AJ1301" s="57">
        <v>1</v>
      </c>
      <c r="AK1301" s="56">
        <v>1</v>
      </c>
      <c r="AL1301" s="57">
        <v>11</v>
      </c>
      <c r="AM1301" s="56"/>
      <c r="AN1301" s="57" t="str">
        <f t="shared" si="654"/>
        <v/>
      </c>
      <c r="AO1301" s="56"/>
      <c r="AP1301" s="57" t="str">
        <f t="shared" si="655"/>
        <v/>
      </c>
      <c r="AQ1301" s="56"/>
      <c r="AR1301" s="57" t="str">
        <f t="shared" si="656"/>
        <v/>
      </c>
      <c r="AS1301" s="56"/>
      <c r="AT1301" s="57" t="str">
        <f t="shared" si="657"/>
        <v/>
      </c>
      <c r="AU1301" s="58"/>
      <c r="AV1301" s="59"/>
      <c r="AW1301" s="59"/>
      <c r="AX1301" s="60"/>
      <c r="AY1301" s="61">
        <v>1</v>
      </c>
      <c r="AZ1301" s="62">
        <v>4</v>
      </c>
      <c r="BA1301" s="61">
        <f t="shared" si="658"/>
        <v>0</v>
      </c>
      <c r="BB1301" s="62" t="str">
        <f t="shared" si="659"/>
        <v/>
      </c>
    </row>
    <row r="1302" spans="1:54" s="3" customFormat="1" hidden="1" x14ac:dyDescent="0.35">
      <c r="A1302" s="73">
        <f t="shared" si="643"/>
        <v>2019</v>
      </c>
      <c r="B1302" s="73" t="str">
        <f t="shared" si="644"/>
        <v>Nov</v>
      </c>
      <c r="C1302" s="74">
        <f t="shared" si="660"/>
        <v>17</v>
      </c>
      <c r="D1302" s="75">
        <f t="shared" si="645"/>
        <v>12</v>
      </c>
      <c r="E1302" s="76">
        <v>45</v>
      </c>
      <c r="F1302" s="80">
        <v>1</v>
      </c>
      <c r="G1302" s="83"/>
      <c r="H1302" s="69" t="str">
        <f t="shared" si="661"/>
        <v>Senbur6_20191117_12_00</v>
      </c>
      <c r="I1302" s="70">
        <f t="shared" ref="I1302:N1318" si="670">I1301</f>
        <v>1</v>
      </c>
      <c r="J1302" s="77" t="str">
        <f t="shared" si="670"/>
        <v>Senecio</v>
      </c>
      <c r="K1302" s="77" t="str">
        <f t="shared" si="670"/>
        <v>burtoni</v>
      </c>
      <c r="L1302" s="78">
        <f t="shared" si="670"/>
        <v>6</v>
      </c>
      <c r="M1302" s="78">
        <f t="shared" si="670"/>
        <v>12</v>
      </c>
      <c r="N1302" s="72">
        <f t="shared" si="670"/>
        <v>0</v>
      </c>
      <c r="O1302" s="45"/>
      <c r="P1302" s="46">
        <f t="shared" si="647"/>
        <v>1</v>
      </c>
      <c r="Q1302" s="47" t="str">
        <f t="shared" si="648"/>
        <v>12:45:01</v>
      </c>
      <c r="R1302" s="48" t="str">
        <f t="shared" si="649"/>
        <v>45:01</v>
      </c>
      <c r="S1302" s="49">
        <f t="shared" si="642"/>
        <v>1</v>
      </c>
      <c r="T1302" s="48" t="str">
        <f t="shared" si="650"/>
        <v>12</v>
      </c>
      <c r="U1302" s="50">
        <v>45</v>
      </c>
      <c r="V1302" s="51">
        <v>2</v>
      </c>
      <c r="W1302" s="52" t="str">
        <f t="shared" si="651"/>
        <v>45:02</v>
      </c>
      <c r="X1302" s="53" t="s">
        <v>61</v>
      </c>
      <c r="Y1302" s="97" t="s">
        <v>78</v>
      </c>
      <c r="Z1302" s="97"/>
      <c r="AA1302" s="48" t="s">
        <v>60</v>
      </c>
      <c r="AB1302" s="48" t="str">
        <f t="shared" si="652"/>
        <v>NA</v>
      </c>
      <c r="AC1302" s="54">
        <f t="shared" si="653"/>
        <v>0</v>
      </c>
      <c r="AD1302" s="55">
        <f t="shared" si="663"/>
        <v>1</v>
      </c>
      <c r="AE1302" s="55"/>
      <c r="AF1302" s="55"/>
      <c r="AG1302" s="56">
        <v>1</v>
      </c>
      <c r="AH1302" s="57">
        <f t="shared" si="664"/>
        <v>1</v>
      </c>
      <c r="AI1302" s="56"/>
      <c r="AJ1302" s="57" t="str">
        <f t="shared" si="665"/>
        <v/>
      </c>
      <c r="AK1302" s="56"/>
      <c r="AL1302" s="57" t="str">
        <f t="shared" si="666"/>
        <v/>
      </c>
      <c r="AM1302" s="56"/>
      <c r="AN1302" s="57" t="str">
        <f t="shared" si="654"/>
        <v/>
      </c>
      <c r="AO1302" s="56"/>
      <c r="AP1302" s="57" t="str">
        <f t="shared" si="655"/>
        <v/>
      </c>
      <c r="AQ1302" s="56"/>
      <c r="AR1302" s="57" t="str">
        <f t="shared" si="656"/>
        <v/>
      </c>
      <c r="AS1302" s="56"/>
      <c r="AT1302" s="57" t="str">
        <f t="shared" si="657"/>
        <v/>
      </c>
      <c r="AU1302" s="58"/>
      <c r="AV1302" s="59"/>
      <c r="AW1302" s="59"/>
      <c r="AX1302" s="60"/>
      <c r="AY1302" s="61">
        <f t="shared" si="669"/>
        <v>0</v>
      </c>
      <c r="AZ1302" s="62" t="str">
        <f t="shared" si="667"/>
        <v/>
      </c>
      <c r="BA1302" s="61">
        <f t="shared" si="658"/>
        <v>0</v>
      </c>
      <c r="BB1302" s="62" t="str">
        <f t="shared" si="659"/>
        <v/>
      </c>
    </row>
    <row r="1303" spans="1:54" s="3" customFormat="1" hidden="1" x14ac:dyDescent="0.35">
      <c r="A1303" s="73">
        <f t="shared" si="643"/>
        <v>2019</v>
      </c>
      <c r="B1303" s="73" t="str">
        <f t="shared" si="644"/>
        <v>Nov</v>
      </c>
      <c r="C1303" s="74">
        <f t="shared" si="660"/>
        <v>17</v>
      </c>
      <c r="D1303" s="75">
        <f t="shared" si="645"/>
        <v>12</v>
      </c>
      <c r="E1303" s="76">
        <v>45</v>
      </c>
      <c r="F1303" s="80">
        <v>14</v>
      </c>
      <c r="G1303" s="83"/>
      <c r="H1303" s="69" t="str">
        <f t="shared" si="661"/>
        <v>Senbur6_20191117_12_00</v>
      </c>
      <c r="I1303" s="70">
        <f t="shared" si="670"/>
        <v>1</v>
      </c>
      <c r="J1303" s="77" t="str">
        <f t="shared" si="670"/>
        <v>Senecio</v>
      </c>
      <c r="K1303" s="77" t="str">
        <f t="shared" si="670"/>
        <v>burtoni</v>
      </c>
      <c r="L1303" s="78">
        <f t="shared" si="670"/>
        <v>6</v>
      </c>
      <c r="M1303" s="78">
        <f t="shared" si="670"/>
        <v>12</v>
      </c>
      <c r="N1303" s="72">
        <f t="shared" si="670"/>
        <v>0</v>
      </c>
      <c r="O1303" s="45"/>
      <c r="P1303" s="46">
        <f t="shared" si="647"/>
        <v>1</v>
      </c>
      <c r="Q1303" s="47" t="str">
        <f t="shared" si="648"/>
        <v>12:45:14</v>
      </c>
      <c r="R1303" s="48" t="str">
        <f t="shared" si="649"/>
        <v>45:14</v>
      </c>
      <c r="S1303" s="49">
        <f t="shared" si="642"/>
        <v>7</v>
      </c>
      <c r="T1303" s="48" t="str">
        <f t="shared" si="650"/>
        <v>12</v>
      </c>
      <c r="U1303" s="50">
        <v>45</v>
      </c>
      <c r="V1303" s="51">
        <v>21</v>
      </c>
      <c r="W1303" s="52" t="str">
        <f t="shared" si="651"/>
        <v>45:21</v>
      </c>
      <c r="X1303" s="53" t="s">
        <v>61</v>
      </c>
      <c r="Y1303" s="97" t="s">
        <v>84</v>
      </c>
      <c r="Z1303" s="97" t="s">
        <v>80</v>
      </c>
      <c r="AA1303" s="48" t="s">
        <v>60</v>
      </c>
      <c r="AB1303" s="48" t="str">
        <f t="shared" si="652"/>
        <v>NA</v>
      </c>
      <c r="AC1303" s="54">
        <f t="shared" si="653"/>
        <v>0</v>
      </c>
      <c r="AD1303" s="55">
        <f t="shared" si="663"/>
        <v>1</v>
      </c>
      <c r="AE1303" s="55"/>
      <c r="AF1303" s="55"/>
      <c r="AG1303" s="56">
        <v>1</v>
      </c>
      <c r="AH1303" s="57">
        <f t="shared" si="664"/>
        <v>7</v>
      </c>
      <c r="AI1303" s="56"/>
      <c r="AJ1303" s="57" t="str">
        <f t="shared" si="665"/>
        <v/>
      </c>
      <c r="AK1303" s="56"/>
      <c r="AL1303" s="57" t="str">
        <f t="shared" si="666"/>
        <v/>
      </c>
      <c r="AM1303" s="56"/>
      <c r="AN1303" s="57" t="str">
        <f t="shared" si="654"/>
        <v/>
      </c>
      <c r="AO1303" s="56"/>
      <c r="AP1303" s="57" t="str">
        <f t="shared" si="655"/>
        <v/>
      </c>
      <c r="AQ1303" s="56"/>
      <c r="AR1303" s="57" t="str">
        <f t="shared" si="656"/>
        <v/>
      </c>
      <c r="AS1303" s="56"/>
      <c r="AT1303" s="57" t="str">
        <f t="shared" si="657"/>
        <v/>
      </c>
      <c r="AU1303" s="58"/>
      <c r="AV1303" s="59"/>
      <c r="AW1303" s="59"/>
      <c r="AX1303" s="60"/>
      <c r="AY1303" s="61">
        <f t="shared" si="669"/>
        <v>0</v>
      </c>
      <c r="AZ1303" s="62" t="str">
        <f t="shared" si="667"/>
        <v/>
      </c>
      <c r="BA1303" s="61">
        <f t="shared" si="658"/>
        <v>0</v>
      </c>
      <c r="BB1303" s="62" t="str">
        <f t="shared" si="659"/>
        <v/>
      </c>
    </row>
    <row r="1304" spans="1:54" s="3" customFormat="1" hidden="1" x14ac:dyDescent="0.35">
      <c r="A1304" s="73">
        <f t="shared" si="643"/>
        <v>2019</v>
      </c>
      <c r="B1304" s="73" t="str">
        <f t="shared" si="644"/>
        <v>Nov</v>
      </c>
      <c r="C1304" s="74">
        <f t="shared" si="660"/>
        <v>17</v>
      </c>
      <c r="D1304" s="75">
        <f t="shared" si="645"/>
        <v>12</v>
      </c>
      <c r="E1304" s="76">
        <v>45</v>
      </c>
      <c r="F1304" s="80">
        <v>16</v>
      </c>
      <c r="G1304" s="83"/>
      <c r="H1304" s="69" t="str">
        <f t="shared" si="661"/>
        <v>Senbur6_20191117_12_00</v>
      </c>
      <c r="I1304" s="70">
        <f t="shared" si="670"/>
        <v>1</v>
      </c>
      <c r="J1304" s="77" t="str">
        <f t="shared" si="670"/>
        <v>Senecio</v>
      </c>
      <c r="K1304" s="77" t="str">
        <f t="shared" si="670"/>
        <v>burtoni</v>
      </c>
      <c r="L1304" s="78">
        <f t="shared" si="670"/>
        <v>6</v>
      </c>
      <c r="M1304" s="78">
        <f t="shared" si="670"/>
        <v>12</v>
      </c>
      <c r="N1304" s="72">
        <f t="shared" si="670"/>
        <v>0</v>
      </c>
      <c r="O1304" s="45"/>
      <c r="P1304" s="46">
        <f t="shared" si="647"/>
        <v>1</v>
      </c>
      <c r="Q1304" s="47" t="str">
        <f t="shared" si="648"/>
        <v>12:45:16</v>
      </c>
      <c r="R1304" s="48" t="str">
        <f t="shared" si="649"/>
        <v>45:16</v>
      </c>
      <c r="S1304" s="49">
        <f t="shared" si="642"/>
        <v>80</v>
      </c>
      <c r="T1304" s="48" t="str">
        <f t="shared" si="650"/>
        <v>12</v>
      </c>
      <c r="U1304" s="50">
        <v>46</v>
      </c>
      <c r="V1304" s="51">
        <v>36</v>
      </c>
      <c r="W1304" s="52" t="str">
        <f t="shared" si="651"/>
        <v>46:36</v>
      </c>
      <c r="X1304" s="53" t="s">
        <v>61</v>
      </c>
      <c r="Y1304" s="97" t="s">
        <v>78</v>
      </c>
      <c r="Z1304" s="97"/>
      <c r="AA1304" s="48" t="s">
        <v>60</v>
      </c>
      <c r="AB1304" s="48" t="str">
        <f t="shared" si="652"/>
        <v>NA</v>
      </c>
      <c r="AC1304" s="54">
        <f t="shared" si="653"/>
        <v>0</v>
      </c>
      <c r="AD1304" s="55">
        <v>2</v>
      </c>
      <c r="AE1304" s="55"/>
      <c r="AF1304" s="55"/>
      <c r="AG1304" s="56">
        <v>1</v>
      </c>
      <c r="AH1304" s="57">
        <v>10</v>
      </c>
      <c r="AI1304" s="56">
        <v>1</v>
      </c>
      <c r="AJ1304" s="57">
        <v>1</v>
      </c>
      <c r="AK1304" s="56">
        <v>1</v>
      </c>
      <c r="AL1304" s="57">
        <v>69</v>
      </c>
      <c r="AM1304" s="56"/>
      <c r="AN1304" s="57" t="str">
        <f t="shared" si="654"/>
        <v/>
      </c>
      <c r="AO1304" s="56"/>
      <c r="AP1304" s="57" t="str">
        <f t="shared" si="655"/>
        <v/>
      </c>
      <c r="AQ1304" s="56"/>
      <c r="AR1304" s="57" t="str">
        <f t="shared" si="656"/>
        <v/>
      </c>
      <c r="AS1304" s="56"/>
      <c r="AT1304" s="57" t="str">
        <f t="shared" si="657"/>
        <v/>
      </c>
      <c r="AU1304" s="58"/>
      <c r="AV1304" s="59"/>
      <c r="AW1304" s="59"/>
      <c r="AX1304" s="60"/>
      <c r="AY1304" s="61">
        <v>1</v>
      </c>
      <c r="AZ1304" s="62">
        <f t="shared" si="667"/>
        <v>2</v>
      </c>
      <c r="BA1304" s="61">
        <f t="shared" si="658"/>
        <v>0</v>
      </c>
      <c r="BB1304" s="62" t="str">
        <f t="shared" si="659"/>
        <v/>
      </c>
    </row>
    <row r="1305" spans="1:54" s="3" customFormat="1" hidden="1" x14ac:dyDescent="0.35">
      <c r="A1305" s="73">
        <f t="shared" si="643"/>
        <v>2019</v>
      </c>
      <c r="B1305" s="73" t="str">
        <f t="shared" si="644"/>
        <v>Nov</v>
      </c>
      <c r="C1305" s="74">
        <f t="shared" si="660"/>
        <v>17</v>
      </c>
      <c r="D1305" s="75">
        <f t="shared" si="645"/>
        <v>12</v>
      </c>
      <c r="E1305" s="76">
        <f t="shared" si="646"/>
        <v>46</v>
      </c>
      <c r="F1305" s="80">
        <v>9</v>
      </c>
      <c r="G1305" s="83"/>
      <c r="H1305" s="69" t="str">
        <f t="shared" si="661"/>
        <v>Senbur6_20191117_12_00</v>
      </c>
      <c r="I1305" s="70">
        <f t="shared" si="670"/>
        <v>1</v>
      </c>
      <c r="J1305" s="77" t="str">
        <f t="shared" si="670"/>
        <v>Senecio</v>
      </c>
      <c r="K1305" s="77" t="str">
        <f t="shared" si="670"/>
        <v>burtoni</v>
      </c>
      <c r="L1305" s="78">
        <f t="shared" si="670"/>
        <v>6</v>
      </c>
      <c r="M1305" s="78">
        <f t="shared" si="670"/>
        <v>12</v>
      </c>
      <c r="N1305" s="72">
        <f t="shared" si="670"/>
        <v>0</v>
      </c>
      <c r="O1305" s="45"/>
      <c r="P1305" s="46">
        <f t="shared" si="647"/>
        <v>1</v>
      </c>
      <c r="Q1305" s="47" t="str">
        <f t="shared" si="648"/>
        <v>12:46:09</v>
      </c>
      <c r="R1305" s="48" t="str">
        <f t="shared" si="649"/>
        <v>46:09</v>
      </c>
      <c r="S1305" s="49">
        <f t="shared" si="642"/>
        <v>23</v>
      </c>
      <c r="T1305" s="48" t="str">
        <f t="shared" si="650"/>
        <v>12</v>
      </c>
      <c r="U1305" s="50">
        <v>46</v>
      </c>
      <c r="V1305" s="51">
        <v>32</v>
      </c>
      <c r="W1305" s="52" t="str">
        <f t="shared" si="651"/>
        <v>46:32</v>
      </c>
      <c r="X1305" s="53" t="s">
        <v>59</v>
      </c>
      <c r="Y1305" s="97" t="s">
        <v>84</v>
      </c>
      <c r="Z1305" s="97" t="s">
        <v>80</v>
      </c>
      <c r="AA1305" s="48" t="s">
        <v>60</v>
      </c>
      <c r="AB1305" s="48" t="str">
        <f t="shared" si="652"/>
        <v>NA</v>
      </c>
      <c r="AC1305" s="54">
        <f t="shared" si="653"/>
        <v>0</v>
      </c>
      <c r="AD1305" s="55">
        <f t="shared" si="663"/>
        <v>1</v>
      </c>
      <c r="AE1305" s="55"/>
      <c r="AF1305" s="55"/>
      <c r="AG1305" s="56" t="str">
        <f t="shared" si="668"/>
        <v/>
      </c>
      <c r="AH1305" s="57" t="str">
        <f t="shared" si="664"/>
        <v/>
      </c>
      <c r="AI1305" s="56"/>
      <c r="AJ1305" s="57" t="str">
        <f t="shared" si="665"/>
        <v/>
      </c>
      <c r="AK1305" s="56">
        <v>1</v>
      </c>
      <c r="AL1305" s="57">
        <v>23</v>
      </c>
      <c r="AM1305" s="56"/>
      <c r="AN1305" s="57" t="str">
        <f t="shared" si="654"/>
        <v/>
      </c>
      <c r="AO1305" s="56"/>
      <c r="AP1305" s="57" t="str">
        <f t="shared" si="655"/>
        <v/>
      </c>
      <c r="AQ1305" s="56"/>
      <c r="AR1305" s="57" t="str">
        <f t="shared" si="656"/>
        <v/>
      </c>
      <c r="AS1305" s="56"/>
      <c r="AT1305" s="57" t="str">
        <f t="shared" si="657"/>
        <v/>
      </c>
      <c r="AU1305" s="58"/>
      <c r="AV1305" s="59"/>
      <c r="AW1305" s="59"/>
      <c r="AX1305" s="60"/>
      <c r="AY1305" s="61">
        <v>1</v>
      </c>
      <c r="AZ1305" s="62">
        <f t="shared" si="667"/>
        <v>1</v>
      </c>
      <c r="BA1305" s="61">
        <f t="shared" si="658"/>
        <v>0</v>
      </c>
      <c r="BB1305" s="62" t="str">
        <f t="shared" si="659"/>
        <v/>
      </c>
    </row>
    <row r="1306" spans="1:54" s="3" customFormat="1" hidden="1" x14ac:dyDescent="0.35">
      <c r="A1306" s="73">
        <f t="shared" si="643"/>
        <v>2019</v>
      </c>
      <c r="B1306" s="73" t="str">
        <f t="shared" ref="B1306" si="671">IF(C1305-C1306&gt;0, TEXT(DATE(2016,(MONTH(DATEVALUE(B1305&amp;"1"))+1),1),"mmm"), B1305)</f>
        <v>Nov</v>
      </c>
      <c r="C1306" s="74">
        <f t="shared" ref="C1306" si="672">IF(AND(D1306=0, E1306=0), IF(TEXT(C1305,"dd")=TEXT(EOMONTH(DATE(A1305,MONTH(DATEVALUE(B1305&amp;"1")),C1305),0), "dd"), 1, C1305+1), C1305)</f>
        <v>17</v>
      </c>
      <c r="D1306" s="75">
        <f t="shared" ref="D1306" si="673">IF(IF(E1305=59,D1305+1,D1305)=24,0,IF(E1305=59,D1305+1,D1305))</f>
        <v>12</v>
      </c>
      <c r="E1306" s="76">
        <v>46</v>
      </c>
      <c r="F1306" s="80">
        <v>9</v>
      </c>
      <c r="G1306" s="83"/>
      <c r="H1306" s="69" t="str">
        <f t="shared" ref="H1306" si="674">IF(AND(OR(E1305=$G$3,E1305=$G$4,E1305=$G$5,E1305=$G$6,E1305=$G$7,E1305=$G$8),E1305&lt;&gt;RIGHT(H1305,2)),CONCATENATE(LEFT(J1306,3),LEFT(K1306,3),L1306,"_",A1306,TEXT(MONTH(DATEVALUE(B1306&amp;"1")),"00"),TEXT(C1306,"00"),"_",TEXT(D1306,"00"),"_",TEXT(E1305,"00")),IF(AND(OR(E1306=$G$3,E1306=$G$4,E1306=$G$5,E1306=$G$6,E1306=$G$7,E1306=$G$8),OR(F1306="",F1306&gt;$G$9-1)),CONCATENATE(LEFT(J1306,3),LEFT(K1306,3),L1306,"_",A1306,TEXT(MONTH(DATEVALUE(B1306&amp;"1")),"00"),TEXT(C1306,"00"),"_",TEXT(D1306,"00"),"_",TEXT(E1306,"00")),H1305))</f>
        <v>Senbur6_20191117_12_00</v>
      </c>
      <c r="I1306" s="70">
        <f t="shared" si="670"/>
        <v>1</v>
      </c>
      <c r="J1306" s="77" t="str">
        <f t="shared" si="670"/>
        <v>Senecio</v>
      </c>
      <c r="K1306" s="77" t="str">
        <f t="shared" si="670"/>
        <v>burtoni</v>
      </c>
      <c r="L1306" s="78">
        <f t="shared" si="670"/>
        <v>6</v>
      </c>
      <c r="M1306" s="78">
        <f t="shared" si="670"/>
        <v>12</v>
      </c>
      <c r="N1306" s="72">
        <f t="shared" si="670"/>
        <v>0</v>
      </c>
      <c r="O1306" s="45"/>
      <c r="P1306" s="46">
        <f t="shared" ref="P1306" si="675">IF(F1306="","",1)</f>
        <v>1</v>
      </c>
      <c r="Q1306" s="47" t="str">
        <f t="shared" ref="Q1306" si="676">TEXT(IF(P1306=1,CONCATENATE($D1306,":",$E1306,":",(LEFT($F1306,2))),""),"hh:mm:ss")</f>
        <v>12:46:09</v>
      </c>
      <c r="R1306" s="48" t="str">
        <f t="shared" ref="R1306" si="677">TEXT(Q1306-TIME(0,RIGHT($H1306,2),$G$9)+(Q1306&gt;TIME(0,RIGHT($H1306,2),$G$9)),"mm:ss")</f>
        <v>46:09</v>
      </c>
      <c r="S1306" s="49">
        <f t="shared" ref="S1306" si="678">IF(T1306&lt;D1306, (T1306*3600+U1306*60+V1306)+((23*3600+59*60+60)-(D1306*3600+E1306*60+LEFT(F1306,2))), (T1306*3600+U1306*60+V1306)-(D1306*3600+E1306*60+LEFT(F1306,2)))</f>
        <v>250</v>
      </c>
      <c r="T1306" s="48" t="str">
        <f t="shared" ref="T1306" si="679">TEXT(IF(P1306=1,D1306,""),"00")</f>
        <v>12</v>
      </c>
      <c r="U1306" s="50">
        <v>50</v>
      </c>
      <c r="V1306" s="51">
        <v>19</v>
      </c>
      <c r="W1306" s="52" t="str">
        <f t="shared" ref="W1306" si="680">IF(O1306=0,TEXT(TIME(T1306,U1306,V1306)-TIME(D1306,E1306,RIGHT(F1306,2))+TIME(0,LEFT(R1306,2),RIGHT(R1306,2)),"mm:ss"),TEXT(TIME(T1306,U1306,V1306)-TIME(D1306,E1306,RIGHT(F1306,2))+TIME(0,LEFT(R1306,2),RIGHT(R1306,2))-TIME(0,($G$10*O1306),0),"mm:ss"))</f>
        <v>50:19</v>
      </c>
      <c r="X1306" s="53" t="s">
        <v>59</v>
      </c>
      <c r="Y1306" s="97" t="s">
        <v>84</v>
      </c>
      <c r="Z1306" s="97" t="s">
        <v>80</v>
      </c>
      <c r="AA1306" s="48" t="s">
        <v>60</v>
      </c>
      <c r="AB1306" s="48" t="str">
        <f t="shared" ref="AB1306" si="681">IF(AA1306&lt;&gt;0,"NA","")</f>
        <v>NA</v>
      </c>
      <c r="AC1306" s="54">
        <f t="shared" ref="AC1306" si="682">IF(SUM(AH1306,AJ1306,AL1306,AN1306,AP1306,AR1306,AT1306)=S1306,,"")</f>
        <v>0</v>
      </c>
      <c r="AD1306" s="55">
        <v>4</v>
      </c>
      <c r="AE1306" s="55"/>
      <c r="AF1306" s="55"/>
      <c r="AG1306" s="56" t="str">
        <f t="shared" ref="AG1306" si="683">IF(OR(X1306="Something small"),1,"")</f>
        <v/>
      </c>
      <c r="AH1306" s="57" t="str">
        <f t="shared" ref="AH1306" si="684">IF(AG1306=1,$S1306,"")</f>
        <v/>
      </c>
      <c r="AI1306" s="56">
        <v>1</v>
      </c>
      <c r="AJ1306" s="57">
        <v>3</v>
      </c>
      <c r="AK1306" s="56">
        <v>1</v>
      </c>
      <c r="AL1306" s="57">
        <v>247</v>
      </c>
      <c r="AM1306" s="56"/>
      <c r="AN1306" s="57" t="str">
        <f t="shared" ref="AN1306" si="685">IF(AM1306=1,$S1306,"")</f>
        <v/>
      </c>
      <c r="AO1306" s="56"/>
      <c r="AP1306" s="57" t="str">
        <f t="shared" ref="AP1306" si="686">IF(AO1306=1,$S1306,"")</f>
        <v/>
      </c>
      <c r="AQ1306" s="56"/>
      <c r="AR1306" s="57" t="str">
        <f t="shared" ref="AR1306" si="687">IF(AQ1306=1,$S1306,"")</f>
        <v/>
      </c>
      <c r="AS1306" s="56"/>
      <c r="AT1306" s="57" t="str">
        <f t="shared" ref="AT1306" si="688">IF(AS1306=1,$S1306,"")</f>
        <v/>
      </c>
      <c r="AU1306" s="58"/>
      <c r="AV1306" s="59"/>
      <c r="AW1306" s="59"/>
      <c r="AX1306" s="60"/>
      <c r="AY1306" s="61">
        <v>1</v>
      </c>
      <c r="AZ1306" s="62">
        <f t="shared" ref="AZ1306" si="689">IF(AY1306=1,AD1306,"")</f>
        <v>4</v>
      </c>
      <c r="BA1306" s="61">
        <f t="shared" ref="BA1306" si="690">IF(P1306=1,0,"")</f>
        <v>0</v>
      </c>
      <c r="BB1306" s="62" t="str">
        <f t="shared" ref="BB1306" si="691">IF(BA1306=1,AD1306,"")</f>
        <v/>
      </c>
    </row>
    <row r="1307" spans="1:54" s="3" customFormat="1" hidden="1" x14ac:dyDescent="0.35">
      <c r="A1307" s="73">
        <f>A1305</f>
        <v>2019</v>
      </c>
      <c r="B1307" s="73" t="str">
        <f>IF(C1305-C1307&gt;0, TEXT(DATE(2016,(MONTH(DATEVALUE(B1305&amp;"1"))+1),1),"mmm"), B1305)</f>
        <v>Nov</v>
      </c>
      <c r="C1307" s="74">
        <f>IF(AND(D1307=0, E1307=0), IF(TEXT(C1305,"dd")=TEXT(EOMONTH(DATE(A1305,MONTH(DATEVALUE(B1305&amp;"1")),C1305),0), "dd"), 1, C1305+1), C1305)</f>
        <v>17</v>
      </c>
      <c r="D1307" s="75">
        <f>IF(IF(E1305=59,D1305+1,D1305)=24,0,IF(E1305=59,D1305+1,D1305))</f>
        <v>12</v>
      </c>
      <c r="E1307" s="76">
        <v>46</v>
      </c>
      <c r="F1307" s="80">
        <v>13</v>
      </c>
      <c r="G1307" s="83"/>
      <c r="H1307" s="69" t="str">
        <f>IF(AND(OR(E1305=$G$3,E1305=$G$4,E1305=$G$5,E1305=$G$6,E1305=$G$7,E1305=$G$8),E1305&lt;&gt;RIGHT(H1305,2)),CONCATENATE(LEFT(J1307,3),LEFT(K1307,3),L1307,"_",A1307,TEXT(MONTH(DATEVALUE(B1307&amp;"1")),"00"),TEXT(C1307,"00"),"_",TEXT(D1307,"00"),"_",TEXT(E1305,"00")),IF(AND(OR(E1307=$G$3,E1307=$G$4,E1307=$G$5,E1307=$G$6,E1307=$G$7,E1307=$G$8),OR(F1307="",F1307&gt;$G$9-1)),CONCATENATE(LEFT(J1307,3),LEFT(K1307,3),L1307,"_",A1307,TEXT(MONTH(DATEVALUE(B1307&amp;"1")),"00"),TEXT(C1307,"00"),"_",TEXT(D1307,"00"),"_",TEXT(E1307,"00")),H1305))</f>
        <v>Senbur6_20191117_12_00</v>
      </c>
      <c r="I1307" s="70">
        <f t="shared" ref="I1307:N1307" si="692">I1305</f>
        <v>1</v>
      </c>
      <c r="J1307" s="77" t="str">
        <f t="shared" si="692"/>
        <v>Senecio</v>
      </c>
      <c r="K1307" s="77" t="str">
        <f t="shared" si="692"/>
        <v>burtoni</v>
      </c>
      <c r="L1307" s="78">
        <f t="shared" si="692"/>
        <v>6</v>
      </c>
      <c r="M1307" s="78">
        <f t="shared" si="692"/>
        <v>12</v>
      </c>
      <c r="N1307" s="72">
        <f t="shared" si="692"/>
        <v>0</v>
      </c>
      <c r="O1307" s="45"/>
      <c r="P1307" s="46">
        <f t="shared" si="647"/>
        <v>1</v>
      </c>
      <c r="Q1307" s="47" t="str">
        <f t="shared" si="648"/>
        <v>12:46:13</v>
      </c>
      <c r="R1307" s="48" t="str">
        <f t="shared" si="649"/>
        <v>46:13</v>
      </c>
      <c r="S1307" s="49">
        <f t="shared" si="642"/>
        <v>17</v>
      </c>
      <c r="T1307" s="48" t="str">
        <f t="shared" si="650"/>
        <v>12</v>
      </c>
      <c r="U1307" s="50">
        <v>46</v>
      </c>
      <c r="V1307" s="51">
        <v>30</v>
      </c>
      <c r="W1307" s="52" t="str">
        <f t="shared" si="651"/>
        <v>46:30</v>
      </c>
      <c r="X1307" s="53" t="s">
        <v>59</v>
      </c>
      <c r="Y1307" s="97" t="s">
        <v>84</v>
      </c>
      <c r="Z1307" s="97" t="s">
        <v>80</v>
      </c>
      <c r="AA1307" s="48" t="s">
        <v>60</v>
      </c>
      <c r="AB1307" s="48" t="str">
        <f t="shared" si="652"/>
        <v>NA</v>
      </c>
      <c r="AC1307" s="54">
        <f t="shared" si="653"/>
        <v>0</v>
      </c>
      <c r="AD1307" s="55">
        <f t="shared" si="663"/>
        <v>1</v>
      </c>
      <c r="AE1307" s="55"/>
      <c r="AF1307" s="55"/>
      <c r="AG1307" s="56" t="str">
        <f t="shared" si="668"/>
        <v/>
      </c>
      <c r="AH1307" s="57" t="str">
        <f t="shared" si="664"/>
        <v/>
      </c>
      <c r="AI1307" s="56"/>
      <c r="AJ1307" s="57" t="str">
        <f t="shared" si="665"/>
        <v/>
      </c>
      <c r="AK1307" s="56">
        <v>1</v>
      </c>
      <c r="AL1307" s="57">
        <f t="shared" si="666"/>
        <v>17</v>
      </c>
      <c r="AM1307" s="56"/>
      <c r="AN1307" s="57" t="str">
        <f t="shared" si="654"/>
        <v/>
      </c>
      <c r="AO1307" s="56"/>
      <c r="AP1307" s="57" t="str">
        <f t="shared" si="655"/>
        <v/>
      </c>
      <c r="AQ1307" s="56"/>
      <c r="AR1307" s="57" t="str">
        <f t="shared" si="656"/>
        <v/>
      </c>
      <c r="AS1307" s="56"/>
      <c r="AT1307" s="57" t="str">
        <f t="shared" si="657"/>
        <v/>
      </c>
      <c r="AU1307" s="58"/>
      <c r="AV1307" s="59"/>
      <c r="AW1307" s="59"/>
      <c r="AX1307" s="60"/>
      <c r="AY1307" s="61">
        <f t="shared" si="669"/>
        <v>0</v>
      </c>
      <c r="AZ1307" s="62" t="str">
        <f t="shared" si="667"/>
        <v/>
      </c>
      <c r="BA1307" s="61">
        <f t="shared" si="658"/>
        <v>0</v>
      </c>
      <c r="BB1307" s="62" t="str">
        <f t="shared" si="659"/>
        <v/>
      </c>
    </row>
    <row r="1308" spans="1:54" s="3" customFormat="1" hidden="1" x14ac:dyDescent="0.35">
      <c r="A1308" s="73">
        <f t="shared" si="643"/>
        <v>2019</v>
      </c>
      <c r="B1308" s="73" t="str">
        <f t="shared" si="644"/>
        <v>Nov</v>
      </c>
      <c r="C1308" s="74">
        <f t="shared" si="660"/>
        <v>17</v>
      </c>
      <c r="D1308" s="75">
        <f t="shared" si="645"/>
        <v>12</v>
      </c>
      <c r="E1308" s="76">
        <f t="shared" si="646"/>
        <v>47</v>
      </c>
      <c r="F1308" s="80"/>
      <c r="G1308" s="83"/>
      <c r="H1308" s="69" t="str">
        <f t="shared" si="661"/>
        <v>Senbur6_20191117_12_00</v>
      </c>
      <c r="I1308" s="70">
        <f t="shared" si="670"/>
        <v>1</v>
      </c>
      <c r="J1308" s="77" t="str">
        <f t="shared" si="670"/>
        <v>Senecio</v>
      </c>
      <c r="K1308" s="77" t="str">
        <f t="shared" si="670"/>
        <v>burtoni</v>
      </c>
      <c r="L1308" s="78">
        <f t="shared" si="670"/>
        <v>6</v>
      </c>
      <c r="M1308" s="78">
        <f t="shared" si="670"/>
        <v>12</v>
      </c>
      <c r="N1308" s="72">
        <f t="shared" si="670"/>
        <v>0</v>
      </c>
      <c r="O1308" s="45"/>
      <c r="P1308" s="46" t="str">
        <f t="shared" si="647"/>
        <v/>
      </c>
      <c r="Q1308" s="47" t="str">
        <f t="shared" si="648"/>
        <v/>
      </c>
      <c r="R1308" s="48" t="e">
        <f t="shared" si="649"/>
        <v>#VALUE!</v>
      </c>
      <c r="S1308" s="49" t="e">
        <f t="shared" si="642"/>
        <v>#VALUE!</v>
      </c>
      <c r="T1308" s="48" t="str">
        <f t="shared" si="650"/>
        <v/>
      </c>
      <c r="U1308" s="50"/>
      <c r="V1308" s="51"/>
      <c r="W1308" s="52" t="e">
        <f t="shared" si="651"/>
        <v>#VALUE!</v>
      </c>
      <c r="X1308" s="53"/>
      <c r="Y1308" s="53"/>
      <c r="Z1308" s="53"/>
      <c r="AA1308" s="48" t="e">
        <f>INDEX([1]!VISITORS[INSECT ORDER], MATCH(X1308,[1]!VISITORS[NAME USED],0))</f>
        <v>#REF!</v>
      </c>
      <c r="AB1308" s="48" t="e">
        <f t="shared" si="652"/>
        <v>#REF!</v>
      </c>
      <c r="AC1308" s="54" t="e">
        <f t="shared" si="653"/>
        <v>#VALUE!</v>
      </c>
      <c r="AD1308" s="55" t="str">
        <f t="shared" si="663"/>
        <v/>
      </c>
      <c r="AE1308" s="55"/>
      <c r="AF1308" s="55"/>
      <c r="AG1308" s="56" t="str">
        <f t="shared" si="668"/>
        <v/>
      </c>
      <c r="AH1308" s="57" t="str">
        <f t="shared" si="664"/>
        <v/>
      </c>
      <c r="AI1308" s="56"/>
      <c r="AJ1308" s="57" t="str">
        <f t="shared" si="665"/>
        <v/>
      </c>
      <c r="AK1308" s="56"/>
      <c r="AL1308" s="57" t="str">
        <f t="shared" si="666"/>
        <v/>
      </c>
      <c r="AM1308" s="56"/>
      <c r="AN1308" s="57" t="str">
        <f t="shared" si="654"/>
        <v/>
      </c>
      <c r="AO1308" s="56"/>
      <c r="AP1308" s="57" t="str">
        <f t="shared" si="655"/>
        <v/>
      </c>
      <c r="AQ1308" s="56"/>
      <c r="AR1308" s="57" t="str">
        <f t="shared" si="656"/>
        <v/>
      </c>
      <c r="AS1308" s="56"/>
      <c r="AT1308" s="57" t="str">
        <f t="shared" si="657"/>
        <v/>
      </c>
      <c r="AU1308" s="58"/>
      <c r="AV1308" s="59"/>
      <c r="AW1308" s="59"/>
      <c r="AX1308" s="60"/>
      <c r="AY1308" s="61" t="str">
        <f t="shared" si="669"/>
        <v/>
      </c>
      <c r="AZ1308" s="62" t="str">
        <f t="shared" si="667"/>
        <v/>
      </c>
      <c r="BA1308" s="61" t="str">
        <f t="shared" si="658"/>
        <v/>
      </c>
      <c r="BB1308" s="62" t="str">
        <f t="shared" si="659"/>
        <v/>
      </c>
    </row>
    <row r="1309" spans="1:54" s="3" customFormat="1" hidden="1" x14ac:dyDescent="0.35">
      <c r="A1309" s="73">
        <f t="shared" si="643"/>
        <v>2019</v>
      </c>
      <c r="B1309" s="73" t="str">
        <f t="shared" si="644"/>
        <v>Nov</v>
      </c>
      <c r="C1309" s="74">
        <f t="shared" si="660"/>
        <v>17</v>
      </c>
      <c r="D1309" s="75">
        <f t="shared" si="645"/>
        <v>12</v>
      </c>
      <c r="E1309" s="76">
        <f t="shared" si="646"/>
        <v>48</v>
      </c>
      <c r="F1309" s="80">
        <v>23</v>
      </c>
      <c r="G1309" s="83"/>
      <c r="H1309" s="69" t="str">
        <f t="shared" si="661"/>
        <v>Senbur6_20191117_12_00</v>
      </c>
      <c r="I1309" s="70">
        <f t="shared" si="670"/>
        <v>1</v>
      </c>
      <c r="J1309" s="77" t="str">
        <f t="shared" si="670"/>
        <v>Senecio</v>
      </c>
      <c r="K1309" s="77" t="str">
        <f t="shared" si="670"/>
        <v>burtoni</v>
      </c>
      <c r="L1309" s="78">
        <f t="shared" si="670"/>
        <v>6</v>
      </c>
      <c r="M1309" s="78">
        <f t="shared" si="670"/>
        <v>12</v>
      </c>
      <c r="N1309" s="72">
        <f t="shared" si="670"/>
        <v>0</v>
      </c>
      <c r="O1309" s="45"/>
      <c r="P1309" s="46">
        <f t="shared" si="647"/>
        <v>1</v>
      </c>
      <c r="Q1309" s="47" t="str">
        <f t="shared" si="648"/>
        <v>12:48:23</v>
      </c>
      <c r="R1309" s="48" t="str">
        <f t="shared" si="649"/>
        <v>48:23</v>
      </c>
      <c r="S1309" s="49">
        <f t="shared" si="642"/>
        <v>12</v>
      </c>
      <c r="T1309" s="48" t="str">
        <f t="shared" si="650"/>
        <v>12</v>
      </c>
      <c r="U1309" s="50">
        <v>48</v>
      </c>
      <c r="V1309" s="51">
        <v>35</v>
      </c>
      <c r="W1309" s="52" t="str">
        <f t="shared" si="651"/>
        <v>48:35</v>
      </c>
      <c r="X1309" s="53" t="s">
        <v>71</v>
      </c>
      <c r="Y1309" s="97" t="s">
        <v>89</v>
      </c>
      <c r="Z1309" s="97" t="s">
        <v>80</v>
      </c>
      <c r="AA1309" s="48" t="s">
        <v>63</v>
      </c>
      <c r="AB1309" s="48" t="str">
        <f t="shared" si="652"/>
        <v>NA</v>
      </c>
      <c r="AC1309" s="54">
        <f t="shared" si="653"/>
        <v>0</v>
      </c>
      <c r="AD1309" s="55">
        <v>2</v>
      </c>
      <c r="AE1309" s="55"/>
      <c r="AF1309" s="55"/>
      <c r="AG1309" s="56" t="str">
        <f t="shared" si="668"/>
        <v/>
      </c>
      <c r="AH1309" s="57" t="str">
        <f t="shared" si="664"/>
        <v/>
      </c>
      <c r="AI1309" s="56">
        <v>1</v>
      </c>
      <c r="AJ1309" s="57">
        <v>1</v>
      </c>
      <c r="AK1309" s="56">
        <v>1</v>
      </c>
      <c r="AL1309" s="57">
        <v>11</v>
      </c>
      <c r="AM1309" s="56"/>
      <c r="AN1309" s="57" t="str">
        <f t="shared" si="654"/>
        <v/>
      </c>
      <c r="AO1309" s="56"/>
      <c r="AP1309" s="57" t="str">
        <f t="shared" si="655"/>
        <v/>
      </c>
      <c r="AQ1309" s="56"/>
      <c r="AR1309" s="57" t="str">
        <f t="shared" si="656"/>
        <v/>
      </c>
      <c r="AS1309" s="56"/>
      <c r="AT1309" s="57" t="str">
        <f t="shared" si="657"/>
        <v/>
      </c>
      <c r="AU1309" s="58"/>
      <c r="AV1309" s="59"/>
      <c r="AW1309" s="59"/>
      <c r="AX1309" s="60"/>
      <c r="AY1309" s="61">
        <v>1</v>
      </c>
      <c r="AZ1309" s="62">
        <f t="shared" si="667"/>
        <v>2</v>
      </c>
      <c r="BA1309" s="61">
        <f t="shared" si="658"/>
        <v>0</v>
      </c>
      <c r="BB1309" s="62" t="str">
        <f t="shared" si="659"/>
        <v/>
      </c>
    </row>
    <row r="1310" spans="1:54" s="3" customFormat="1" hidden="1" x14ac:dyDescent="0.35">
      <c r="A1310" s="73">
        <f t="shared" si="643"/>
        <v>2019</v>
      </c>
      <c r="B1310" s="73" t="str">
        <f t="shared" si="644"/>
        <v>Nov</v>
      </c>
      <c r="C1310" s="74">
        <f t="shared" si="660"/>
        <v>17</v>
      </c>
      <c r="D1310" s="75">
        <f t="shared" si="645"/>
        <v>12</v>
      </c>
      <c r="E1310" s="76">
        <v>48</v>
      </c>
      <c r="F1310" s="80">
        <v>26</v>
      </c>
      <c r="G1310" s="83"/>
      <c r="H1310" s="69" t="str">
        <f t="shared" si="661"/>
        <v>Senbur6_20191117_12_00</v>
      </c>
      <c r="I1310" s="70">
        <f t="shared" si="670"/>
        <v>1</v>
      </c>
      <c r="J1310" s="77" t="str">
        <f t="shared" si="670"/>
        <v>Senecio</v>
      </c>
      <c r="K1310" s="77" t="str">
        <f t="shared" si="670"/>
        <v>burtoni</v>
      </c>
      <c r="L1310" s="78">
        <f t="shared" si="670"/>
        <v>6</v>
      </c>
      <c r="M1310" s="78">
        <f t="shared" si="670"/>
        <v>12</v>
      </c>
      <c r="N1310" s="72">
        <f t="shared" si="670"/>
        <v>0</v>
      </c>
      <c r="O1310" s="45"/>
      <c r="P1310" s="46">
        <f t="shared" si="647"/>
        <v>1</v>
      </c>
      <c r="Q1310" s="47" t="str">
        <f t="shared" si="648"/>
        <v>12:48:26</v>
      </c>
      <c r="R1310" s="48" t="str">
        <f t="shared" si="649"/>
        <v>48:26</v>
      </c>
      <c r="S1310" s="49">
        <f t="shared" si="642"/>
        <v>9</v>
      </c>
      <c r="T1310" s="48" t="str">
        <f t="shared" si="650"/>
        <v>12</v>
      </c>
      <c r="U1310" s="50">
        <v>48</v>
      </c>
      <c r="V1310" s="51">
        <v>35</v>
      </c>
      <c r="W1310" s="52" t="str">
        <f t="shared" si="651"/>
        <v>48:35</v>
      </c>
      <c r="X1310" s="53" t="s">
        <v>61</v>
      </c>
      <c r="Y1310" s="97" t="s">
        <v>84</v>
      </c>
      <c r="Z1310" s="97" t="s">
        <v>80</v>
      </c>
      <c r="AA1310" s="48" t="s">
        <v>60</v>
      </c>
      <c r="AB1310" s="48" t="str">
        <f t="shared" si="652"/>
        <v>NA</v>
      </c>
      <c r="AC1310" s="54">
        <f t="shared" si="653"/>
        <v>0</v>
      </c>
      <c r="AD1310" s="55">
        <v>3</v>
      </c>
      <c r="AE1310" s="55"/>
      <c r="AF1310" s="55"/>
      <c r="AG1310" s="56">
        <v>1</v>
      </c>
      <c r="AH1310" s="57">
        <v>2</v>
      </c>
      <c r="AI1310" s="56">
        <v>1</v>
      </c>
      <c r="AJ1310" s="57">
        <v>2</v>
      </c>
      <c r="AK1310" s="56">
        <v>1</v>
      </c>
      <c r="AL1310" s="57">
        <v>5</v>
      </c>
      <c r="AM1310" s="56"/>
      <c r="AN1310" s="57" t="str">
        <f t="shared" si="654"/>
        <v/>
      </c>
      <c r="AO1310" s="56"/>
      <c r="AP1310" s="57" t="str">
        <f t="shared" si="655"/>
        <v/>
      </c>
      <c r="AQ1310" s="56"/>
      <c r="AR1310" s="57" t="str">
        <f t="shared" si="656"/>
        <v/>
      </c>
      <c r="AS1310" s="56"/>
      <c r="AT1310" s="57" t="str">
        <f t="shared" si="657"/>
        <v/>
      </c>
      <c r="AU1310" s="58"/>
      <c r="AV1310" s="59"/>
      <c r="AW1310" s="59"/>
      <c r="AX1310" s="60"/>
      <c r="AY1310" s="61">
        <v>1</v>
      </c>
      <c r="AZ1310" s="62">
        <f t="shared" si="667"/>
        <v>3</v>
      </c>
      <c r="BA1310" s="61">
        <f t="shared" si="658"/>
        <v>0</v>
      </c>
      <c r="BB1310" s="62" t="str">
        <f t="shared" si="659"/>
        <v/>
      </c>
    </row>
    <row r="1311" spans="1:54" s="3" customFormat="1" hidden="1" x14ac:dyDescent="0.35">
      <c r="A1311" s="73">
        <f t="shared" si="643"/>
        <v>2019</v>
      </c>
      <c r="B1311" s="73" t="str">
        <f t="shared" si="644"/>
        <v>Nov</v>
      </c>
      <c r="C1311" s="74">
        <f t="shared" si="660"/>
        <v>17</v>
      </c>
      <c r="D1311" s="75">
        <f t="shared" si="645"/>
        <v>12</v>
      </c>
      <c r="E1311" s="76">
        <f t="shared" si="646"/>
        <v>49</v>
      </c>
      <c r="F1311" s="80"/>
      <c r="G1311" s="83"/>
      <c r="H1311" s="69" t="str">
        <f t="shared" si="661"/>
        <v>Senbur6_20191117_12_00</v>
      </c>
      <c r="I1311" s="70">
        <f t="shared" si="670"/>
        <v>1</v>
      </c>
      <c r="J1311" s="77" t="str">
        <f t="shared" si="670"/>
        <v>Senecio</v>
      </c>
      <c r="K1311" s="77" t="str">
        <f t="shared" si="670"/>
        <v>burtoni</v>
      </c>
      <c r="L1311" s="78">
        <f t="shared" si="670"/>
        <v>6</v>
      </c>
      <c r="M1311" s="78">
        <f t="shared" si="670"/>
        <v>12</v>
      </c>
      <c r="N1311" s="72">
        <f t="shared" si="670"/>
        <v>0</v>
      </c>
      <c r="O1311" s="45"/>
      <c r="P1311" s="46" t="str">
        <f t="shared" si="647"/>
        <v/>
      </c>
      <c r="Q1311" s="47" t="str">
        <f t="shared" si="648"/>
        <v/>
      </c>
      <c r="R1311" s="48" t="e">
        <f t="shared" si="649"/>
        <v>#VALUE!</v>
      </c>
      <c r="S1311" s="49" t="e">
        <f t="shared" si="642"/>
        <v>#VALUE!</v>
      </c>
      <c r="T1311" s="48" t="str">
        <f t="shared" si="650"/>
        <v/>
      </c>
      <c r="U1311" s="50"/>
      <c r="V1311" s="51"/>
      <c r="W1311" s="52" t="e">
        <f t="shared" si="651"/>
        <v>#VALUE!</v>
      </c>
      <c r="X1311" s="53"/>
      <c r="Y1311" s="53"/>
      <c r="Z1311" s="53"/>
      <c r="AA1311" s="48" t="e">
        <f>INDEX([1]!VISITORS[INSECT ORDER], MATCH(X1311,[1]!VISITORS[NAME USED],0))</f>
        <v>#REF!</v>
      </c>
      <c r="AB1311" s="48" t="e">
        <f t="shared" si="652"/>
        <v>#REF!</v>
      </c>
      <c r="AC1311" s="54" t="e">
        <f t="shared" si="653"/>
        <v>#VALUE!</v>
      </c>
      <c r="AD1311" s="55" t="str">
        <f t="shared" si="663"/>
        <v/>
      </c>
      <c r="AE1311" s="55"/>
      <c r="AF1311" s="55"/>
      <c r="AG1311" s="56" t="str">
        <f t="shared" si="668"/>
        <v/>
      </c>
      <c r="AH1311" s="57" t="str">
        <f t="shared" si="664"/>
        <v/>
      </c>
      <c r="AI1311" s="56"/>
      <c r="AJ1311" s="57" t="str">
        <f t="shared" si="665"/>
        <v/>
      </c>
      <c r="AK1311" s="56"/>
      <c r="AL1311" s="57" t="str">
        <f t="shared" si="666"/>
        <v/>
      </c>
      <c r="AM1311" s="56"/>
      <c r="AN1311" s="57" t="str">
        <f t="shared" si="654"/>
        <v/>
      </c>
      <c r="AO1311" s="56"/>
      <c r="AP1311" s="57" t="str">
        <f t="shared" si="655"/>
        <v/>
      </c>
      <c r="AQ1311" s="56"/>
      <c r="AR1311" s="57" t="str">
        <f t="shared" si="656"/>
        <v/>
      </c>
      <c r="AS1311" s="56"/>
      <c r="AT1311" s="57" t="str">
        <f t="shared" si="657"/>
        <v/>
      </c>
      <c r="AU1311" s="58"/>
      <c r="AV1311" s="59"/>
      <c r="AW1311" s="59"/>
      <c r="AX1311" s="60"/>
      <c r="AY1311" s="61" t="str">
        <f t="shared" si="669"/>
        <v/>
      </c>
      <c r="AZ1311" s="62" t="str">
        <f t="shared" si="667"/>
        <v/>
      </c>
      <c r="BA1311" s="61" t="str">
        <f t="shared" si="658"/>
        <v/>
      </c>
      <c r="BB1311" s="62" t="str">
        <f t="shared" si="659"/>
        <v/>
      </c>
    </row>
    <row r="1312" spans="1:54" s="3" customFormat="1" hidden="1" x14ac:dyDescent="0.35">
      <c r="A1312" s="73">
        <f t="shared" si="643"/>
        <v>2019</v>
      </c>
      <c r="B1312" s="73" t="str">
        <f t="shared" si="644"/>
        <v>Nov</v>
      </c>
      <c r="C1312" s="74">
        <f t="shared" si="660"/>
        <v>17</v>
      </c>
      <c r="D1312" s="75">
        <f t="shared" si="645"/>
        <v>12</v>
      </c>
      <c r="E1312" s="76">
        <f t="shared" si="646"/>
        <v>50</v>
      </c>
      <c r="F1312" s="80">
        <v>18</v>
      </c>
      <c r="G1312" s="83"/>
      <c r="H1312" s="69" t="str">
        <f t="shared" si="661"/>
        <v>Senbur6_20191117_12_00</v>
      </c>
      <c r="I1312" s="70">
        <f t="shared" si="670"/>
        <v>1</v>
      </c>
      <c r="J1312" s="77" t="str">
        <f t="shared" si="670"/>
        <v>Senecio</v>
      </c>
      <c r="K1312" s="77" t="str">
        <f t="shared" si="670"/>
        <v>burtoni</v>
      </c>
      <c r="L1312" s="78">
        <f t="shared" si="670"/>
        <v>6</v>
      </c>
      <c r="M1312" s="78">
        <f t="shared" si="670"/>
        <v>12</v>
      </c>
      <c r="N1312" s="72">
        <f t="shared" si="670"/>
        <v>0</v>
      </c>
      <c r="O1312" s="45"/>
      <c r="P1312" s="46">
        <f t="shared" si="647"/>
        <v>1</v>
      </c>
      <c r="Q1312" s="47" t="str">
        <f t="shared" si="648"/>
        <v>12:50:18</v>
      </c>
      <c r="R1312" s="48" t="str">
        <f t="shared" si="649"/>
        <v>50:18</v>
      </c>
      <c r="S1312" s="49">
        <f t="shared" si="642"/>
        <v>1</v>
      </c>
      <c r="T1312" s="48" t="str">
        <f t="shared" si="650"/>
        <v>12</v>
      </c>
      <c r="U1312" s="50">
        <v>50</v>
      </c>
      <c r="V1312" s="51">
        <v>19</v>
      </c>
      <c r="W1312" s="52" t="str">
        <f t="shared" si="651"/>
        <v>50:19</v>
      </c>
      <c r="X1312" s="53" t="s">
        <v>59</v>
      </c>
      <c r="Y1312" s="97" t="s">
        <v>78</v>
      </c>
      <c r="Z1312" s="97"/>
      <c r="AA1312" s="48" t="s">
        <v>60</v>
      </c>
      <c r="AB1312" s="48" t="str">
        <f t="shared" si="652"/>
        <v>NA</v>
      </c>
      <c r="AC1312" s="54">
        <f t="shared" si="653"/>
        <v>0</v>
      </c>
      <c r="AD1312" s="55">
        <f t="shared" si="663"/>
        <v>1</v>
      </c>
      <c r="AE1312" s="55"/>
      <c r="AF1312" s="55"/>
      <c r="AG1312" s="56">
        <v>1</v>
      </c>
      <c r="AH1312" s="57">
        <v>1</v>
      </c>
      <c r="AI1312" s="56"/>
      <c r="AJ1312" s="57" t="str">
        <f t="shared" si="665"/>
        <v/>
      </c>
      <c r="AK1312" s="56"/>
      <c r="AL1312" s="57" t="str">
        <f t="shared" si="666"/>
        <v/>
      </c>
      <c r="AM1312" s="56"/>
      <c r="AN1312" s="57" t="str">
        <f t="shared" si="654"/>
        <v/>
      </c>
      <c r="AO1312" s="56"/>
      <c r="AP1312" s="57" t="str">
        <f t="shared" si="655"/>
        <v/>
      </c>
      <c r="AQ1312" s="56"/>
      <c r="AR1312" s="57" t="str">
        <f t="shared" si="656"/>
        <v/>
      </c>
      <c r="AS1312" s="56"/>
      <c r="AT1312" s="57" t="str">
        <f t="shared" si="657"/>
        <v/>
      </c>
      <c r="AU1312" s="58"/>
      <c r="AV1312" s="59"/>
      <c r="AW1312" s="59"/>
      <c r="AX1312" s="60"/>
      <c r="AY1312" s="61">
        <f t="shared" si="669"/>
        <v>0</v>
      </c>
      <c r="AZ1312" s="62" t="str">
        <f t="shared" si="667"/>
        <v/>
      </c>
      <c r="BA1312" s="61">
        <f t="shared" si="658"/>
        <v>0</v>
      </c>
      <c r="BB1312" s="62" t="str">
        <f t="shared" si="659"/>
        <v/>
      </c>
    </row>
    <row r="1313" spans="1:54" s="3" customFormat="1" hidden="1" x14ac:dyDescent="0.35">
      <c r="A1313" s="73">
        <f t="shared" si="643"/>
        <v>2019</v>
      </c>
      <c r="B1313" s="73" t="str">
        <f t="shared" si="644"/>
        <v>Nov</v>
      </c>
      <c r="C1313" s="74">
        <f t="shared" si="660"/>
        <v>17</v>
      </c>
      <c r="D1313" s="75">
        <f t="shared" si="645"/>
        <v>12</v>
      </c>
      <c r="E1313" s="76">
        <v>50</v>
      </c>
      <c r="F1313" s="80">
        <v>21</v>
      </c>
      <c r="G1313" s="83"/>
      <c r="H1313" s="69" t="str">
        <f t="shared" si="661"/>
        <v>Senbur6_20191117_12_00</v>
      </c>
      <c r="I1313" s="70">
        <f t="shared" si="670"/>
        <v>1</v>
      </c>
      <c r="J1313" s="77" t="str">
        <f t="shared" si="670"/>
        <v>Senecio</v>
      </c>
      <c r="K1313" s="77" t="str">
        <f t="shared" si="670"/>
        <v>burtoni</v>
      </c>
      <c r="L1313" s="78">
        <f t="shared" si="670"/>
        <v>6</v>
      </c>
      <c r="M1313" s="78">
        <f t="shared" si="670"/>
        <v>12</v>
      </c>
      <c r="N1313" s="72">
        <f t="shared" si="670"/>
        <v>0</v>
      </c>
      <c r="O1313" s="45"/>
      <c r="P1313" s="46">
        <f t="shared" si="647"/>
        <v>1</v>
      </c>
      <c r="Q1313" s="47" t="str">
        <f t="shared" si="648"/>
        <v>12:50:21</v>
      </c>
      <c r="R1313" s="48" t="str">
        <f t="shared" si="649"/>
        <v>50:21</v>
      </c>
      <c r="S1313" s="49">
        <f t="shared" si="642"/>
        <v>154</v>
      </c>
      <c r="T1313" s="48" t="str">
        <f t="shared" si="650"/>
        <v>12</v>
      </c>
      <c r="U1313" s="50">
        <v>52</v>
      </c>
      <c r="V1313" s="51">
        <v>55</v>
      </c>
      <c r="W1313" s="52" t="str">
        <f t="shared" si="651"/>
        <v>52:55</v>
      </c>
      <c r="X1313" s="53" t="s">
        <v>61</v>
      </c>
      <c r="Y1313" s="97" t="s">
        <v>78</v>
      </c>
      <c r="Z1313" s="97"/>
      <c r="AA1313" s="48" t="s">
        <v>60</v>
      </c>
      <c r="AB1313" s="48" t="str">
        <f t="shared" si="652"/>
        <v>NA</v>
      </c>
      <c r="AC1313" s="54">
        <f t="shared" si="653"/>
        <v>0</v>
      </c>
      <c r="AD1313" s="55">
        <v>3</v>
      </c>
      <c r="AE1313" s="55"/>
      <c r="AF1313" s="55"/>
      <c r="AG1313" s="56" t="str">
        <f t="shared" si="668"/>
        <v/>
      </c>
      <c r="AH1313" s="57" t="str">
        <f t="shared" si="664"/>
        <v/>
      </c>
      <c r="AI1313" s="56">
        <v>1</v>
      </c>
      <c r="AJ1313" s="57">
        <v>1</v>
      </c>
      <c r="AK1313" s="56">
        <v>1</v>
      </c>
      <c r="AL1313" s="57">
        <v>153</v>
      </c>
      <c r="AM1313" s="56"/>
      <c r="AN1313" s="57" t="str">
        <f t="shared" si="654"/>
        <v/>
      </c>
      <c r="AO1313" s="56"/>
      <c r="AP1313" s="57" t="str">
        <f t="shared" si="655"/>
        <v/>
      </c>
      <c r="AQ1313" s="56"/>
      <c r="AR1313" s="57" t="str">
        <f t="shared" si="656"/>
        <v/>
      </c>
      <c r="AS1313" s="56"/>
      <c r="AT1313" s="57" t="str">
        <f t="shared" si="657"/>
        <v/>
      </c>
      <c r="AU1313" s="58"/>
      <c r="AV1313" s="59"/>
      <c r="AW1313" s="59"/>
      <c r="AX1313" s="60"/>
      <c r="AY1313" s="61">
        <v>1</v>
      </c>
      <c r="AZ1313" s="62">
        <f t="shared" si="667"/>
        <v>3</v>
      </c>
      <c r="BA1313" s="61">
        <f t="shared" si="658"/>
        <v>0</v>
      </c>
      <c r="BB1313" s="62" t="str">
        <f t="shared" si="659"/>
        <v/>
      </c>
    </row>
    <row r="1314" spans="1:54" s="3" customFormat="1" hidden="1" x14ac:dyDescent="0.35">
      <c r="A1314" s="73">
        <f t="shared" si="643"/>
        <v>2019</v>
      </c>
      <c r="B1314" s="73" t="str">
        <f t="shared" si="644"/>
        <v>Nov</v>
      </c>
      <c r="C1314" s="74">
        <f t="shared" si="660"/>
        <v>17</v>
      </c>
      <c r="D1314" s="75">
        <f t="shared" si="645"/>
        <v>12</v>
      </c>
      <c r="E1314" s="76">
        <f t="shared" si="646"/>
        <v>51</v>
      </c>
      <c r="F1314" s="80">
        <v>58</v>
      </c>
      <c r="G1314" s="83"/>
      <c r="H1314" s="69" t="str">
        <f t="shared" si="661"/>
        <v>Senbur6_20191117_12_00</v>
      </c>
      <c r="I1314" s="70">
        <f t="shared" si="670"/>
        <v>1</v>
      </c>
      <c r="J1314" s="77" t="str">
        <f t="shared" si="670"/>
        <v>Senecio</v>
      </c>
      <c r="K1314" s="77" t="str">
        <f t="shared" si="670"/>
        <v>burtoni</v>
      </c>
      <c r="L1314" s="78">
        <f t="shared" si="670"/>
        <v>6</v>
      </c>
      <c r="M1314" s="78">
        <f t="shared" si="670"/>
        <v>12</v>
      </c>
      <c r="N1314" s="72">
        <f t="shared" si="670"/>
        <v>0</v>
      </c>
      <c r="O1314" s="45"/>
      <c r="P1314" s="46">
        <f t="shared" si="647"/>
        <v>1</v>
      </c>
      <c r="Q1314" s="47" t="str">
        <f t="shared" si="648"/>
        <v>12:51:58</v>
      </c>
      <c r="R1314" s="48" t="str">
        <f t="shared" si="649"/>
        <v>51:58</v>
      </c>
      <c r="S1314" s="49">
        <f t="shared" si="642"/>
        <v>108</v>
      </c>
      <c r="T1314" s="48" t="str">
        <f t="shared" si="650"/>
        <v>12</v>
      </c>
      <c r="U1314" s="50">
        <v>53</v>
      </c>
      <c r="V1314" s="51">
        <v>46</v>
      </c>
      <c r="W1314" s="52" t="str">
        <f t="shared" si="651"/>
        <v>53:46</v>
      </c>
      <c r="X1314" s="53" t="s">
        <v>59</v>
      </c>
      <c r="Y1314" s="97" t="s">
        <v>84</v>
      </c>
      <c r="Z1314" s="97" t="s">
        <v>80</v>
      </c>
      <c r="AA1314" s="48" t="s">
        <v>60</v>
      </c>
      <c r="AB1314" s="48" t="str">
        <f t="shared" si="652"/>
        <v>NA</v>
      </c>
      <c r="AC1314" s="54">
        <f t="shared" si="653"/>
        <v>0</v>
      </c>
      <c r="AD1314" s="55">
        <f t="shared" si="663"/>
        <v>1</v>
      </c>
      <c r="AE1314" s="55"/>
      <c r="AF1314" s="55"/>
      <c r="AG1314" s="56">
        <v>1</v>
      </c>
      <c r="AH1314" s="57">
        <v>2</v>
      </c>
      <c r="AI1314" s="56">
        <v>1</v>
      </c>
      <c r="AJ1314" s="57">
        <v>1</v>
      </c>
      <c r="AK1314" s="56">
        <v>1</v>
      </c>
      <c r="AL1314" s="57">
        <v>105</v>
      </c>
      <c r="AM1314" s="56"/>
      <c r="AN1314" s="57" t="str">
        <f t="shared" si="654"/>
        <v/>
      </c>
      <c r="AO1314" s="56"/>
      <c r="AP1314" s="57" t="str">
        <f t="shared" si="655"/>
        <v/>
      </c>
      <c r="AQ1314" s="56"/>
      <c r="AR1314" s="57" t="str">
        <f t="shared" si="656"/>
        <v/>
      </c>
      <c r="AS1314" s="56"/>
      <c r="AT1314" s="57" t="str">
        <f t="shared" si="657"/>
        <v/>
      </c>
      <c r="AU1314" s="58"/>
      <c r="AV1314" s="59"/>
      <c r="AW1314" s="59"/>
      <c r="AX1314" s="60"/>
      <c r="AY1314" s="61">
        <v>1</v>
      </c>
      <c r="AZ1314" s="62">
        <f t="shared" si="667"/>
        <v>1</v>
      </c>
      <c r="BA1314" s="61">
        <f t="shared" si="658"/>
        <v>0</v>
      </c>
      <c r="BB1314" s="62" t="str">
        <f t="shared" si="659"/>
        <v/>
      </c>
    </row>
    <row r="1315" spans="1:54" s="3" customFormat="1" hidden="1" x14ac:dyDescent="0.35">
      <c r="A1315" s="73">
        <f t="shared" si="643"/>
        <v>2019</v>
      </c>
      <c r="B1315" s="73" t="str">
        <f t="shared" si="644"/>
        <v>Nov</v>
      </c>
      <c r="C1315" s="74">
        <f t="shared" si="660"/>
        <v>17</v>
      </c>
      <c r="D1315" s="75">
        <f t="shared" si="645"/>
        <v>12</v>
      </c>
      <c r="E1315" s="76">
        <f t="shared" si="646"/>
        <v>52</v>
      </c>
      <c r="F1315" s="80">
        <v>28</v>
      </c>
      <c r="G1315" s="83"/>
      <c r="H1315" s="69" t="str">
        <f t="shared" si="661"/>
        <v>Senbur6_20191117_12_00</v>
      </c>
      <c r="I1315" s="70">
        <f t="shared" si="670"/>
        <v>1</v>
      </c>
      <c r="J1315" s="77" t="str">
        <f t="shared" si="670"/>
        <v>Senecio</v>
      </c>
      <c r="K1315" s="77" t="str">
        <f t="shared" si="670"/>
        <v>burtoni</v>
      </c>
      <c r="L1315" s="78">
        <f t="shared" si="670"/>
        <v>6</v>
      </c>
      <c r="M1315" s="78">
        <f t="shared" si="670"/>
        <v>12</v>
      </c>
      <c r="N1315" s="72">
        <f t="shared" si="670"/>
        <v>0</v>
      </c>
      <c r="O1315" s="45"/>
      <c r="P1315" s="46">
        <f t="shared" si="647"/>
        <v>1</v>
      </c>
      <c r="Q1315" s="47" t="str">
        <f t="shared" si="648"/>
        <v>12:52:28</v>
      </c>
      <c r="R1315" s="48" t="str">
        <f t="shared" si="649"/>
        <v>52:28</v>
      </c>
      <c r="S1315" s="49">
        <f t="shared" si="642"/>
        <v>10</v>
      </c>
      <c r="T1315" s="48" t="str">
        <f t="shared" si="650"/>
        <v>12</v>
      </c>
      <c r="U1315" s="50">
        <v>52</v>
      </c>
      <c r="V1315" s="51">
        <v>38</v>
      </c>
      <c r="W1315" s="52" t="str">
        <f t="shared" si="651"/>
        <v>52:38</v>
      </c>
      <c r="X1315" s="53" t="s">
        <v>59</v>
      </c>
      <c r="Y1315" s="97" t="s">
        <v>84</v>
      </c>
      <c r="Z1315" s="97" t="s">
        <v>80</v>
      </c>
      <c r="AA1315" s="48" t="s">
        <v>60</v>
      </c>
      <c r="AB1315" s="48" t="str">
        <f t="shared" si="652"/>
        <v>NA</v>
      </c>
      <c r="AC1315" s="54">
        <f t="shared" si="653"/>
        <v>0</v>
      </c>
      <c r="AD1315" s="55">
        <f t="shared" si="663"/>
        <v>1</v>
      </c>
      <c r="AE1315" s="55"/>
      <c r="AF1315" s="55"/>
      <c r="AG1315" s="56">
        <v>1</v>
      </c>
      <c r="AH1315" s="57">
        <f t="shared" si="664"/>
        <v>10</v>
      </c>
      <c r="AI1315" s="56"/>
      <c r="AJ1315" s="57" t="str">
        <f t="shared" si="665"/>
        <v/>
      </c>
      <c r="AK1315" s="56"/>
      <c r="AL1315" s="57" t="str">
        <f t="shared" si="666"/>
        <v/>
      </c>
      <c r="AM1315" s="56"/>
      <c r="AN1315" s="57" t="str">
        <f t="shared" si="654"/>
        <v/>
      </c>
      <c r="AO1315" s="56"/>
      <c r="AP1315" s="57" t="str">
        <f t="shared" si="655"/>
        <v/>
      </c>
      <c r="AQ1315" s="56"/>
      <c r="AR1315" s="57" t="str">
        <f t="shared" si="656"/>
        <v/>
      </c>
      <c r="AS1315" s="56"/>
      <c r="AT1315" s="57" t="str">
        <f t="shared" si="657"/>
        <v/>
      </c>
      <c r="AU1315" s="58"/>
      <c r="AV1315" s="59"/>
      <c r="AW1315" s="59"/>
      <c r="AX1315" s="60"/>
      <c r="AY1315" s="61">
        <f t="shared" si="669"/>
        <v>0</v>
      </c>
      <c r="AZ1315" s="62" t="str">
        <f t="shared" si="667"/>
        <v/>
      </c>
      <c r="BA1315" s="61">
        <f t="shared" si="658"/>
        <v>0</v>
      </c>
      <c r="BB1315" s="62" t="str">
        <f t="shared" si="659"/>
        <v/>
      </c>
    </row>
    <row r="1316" spans="1:54" s="3" customFormat="1" hidden="1" x14ac:dyDescent="0.35">
      <c r="A1316" s="73">
        <f t="shared" si="643"/>
        <v>2019</v>
      </c>
      <c r="B1316" s="73" t="str">
        <f t="shared" si="644"/>
        <v>Nov</v>
      </c>
      <c r="C1316" s="74">
        <f t="shared" si="660"/>
        <v>17</v>
      </c>
      <c r="D1316" s="75">
        <f t="shared" si="645"/>
        <v>12</v>
      </c>
      <c r="E1316" s="76">
        <v>52</v>
      </c>
      <c r="F1316" s="80">
        <v>57</v>
      </c>
      <c r="G1316" s="83"/>
      <c r="H1316" s="69" t="str">
        <f t="shared" si="661"/>
        <v>Senbur6_20191117_12_00</v>
      </c>
      <c r="I1316" s="70">
        <f t="shared" si="670"/>
        <v>1</v>
      </c>
      <c r="J1316" s="77" t="str">
        <f t="shared" si="670"/>
        <v>Senecio</v>
      </c>
      <c r="K1316" s="77" t="str">
        <f t="shared" si="670"/>
        <v>burtoni</v>
      </c>
      <c r="L1316" s="78">
        <f t="shared" si="670"/>
        <v>6</v>
      </c>
      <c r="M1316" s="78">
        <f t="shared" si="670"/>
        <v>12</v>
      </c>
      <c r="N1316" s="72">
        <f t="shared" si="670"/>
        <v>0</v>
      </c>
      <c r="O1316" s="45"/>
      <c r="P1316" s="46">
        <f t="shared" si="647"/>
        <v>1</v>
      </c>
      <c r="Q1316" s="47" t="str">
        <f t="shared" si="648"/>
        <v>12:52:57</v>
      </c>
      <c r="R1316" s="48" t="str">
        <f t="shared" si="649"/>
        <v>52:57</v>
      </c>
      <c r="S1316" s="49">
        <f t="shared" si="642"/>
        <v>128</v>
      </c>
      <c r="T1316" s="48" t="str">
        <f t="shared" si="650"/>
        <v>12</v>
      </c>
      <c r="U1316" s="50">
        <v>55</v>
      </c>
      <c r="V1316" s="51">
        <v>5</v>
      </c>
      <c r="W1316" s="52" t="str">
        <f t="shared" si="651"/>
        <v>55:05</v>
      </c>
      <c r="X1316" s="53" t="s">
        <v>61</v>
      </c>
      <c r="Y1316" s="97" t="s">
        <v>78</v>
      </c>
      <c r="Z1316" s="97"/>
      <c r="AA1316" s="48" t="s">
        <v>60</v>
      </c>
      <c r="AB1316" s="48" t="str">
        <f t="shared" si="652"/>
        <v>NA</v>
      </c>
      <c r="AC1316" s="54">
        <f t="shared" si="653"/>
        <v>0</v>
      </c>
      <c r="AD1316" s="55">
        <v>2</v>
      </c>
      <c r="AE1316" s="55"/>
      <c r="AF1316" s="55"/>
      <c r="AG1316" s="56">
        <v>1</v>
      </c>
      <c r="AH1316" s="57">
        <v>7</v>
      </c>
      <c r="AI1316" s="56">
        <v>1</v>
      </c>
      <c r="AJ1316" s="57">
        <v>1</v>
      </c>
      <c r="AK1316" s="56">
        <v>1</v>
      </c>
      <c r="AL1316" s="57">
        <v>120</v>
      </c>
      <c r="AM1316" s="56"/>
      <c r="AN1316" s="57" t="str">
        <f t="shared" si="654"/>
        <v/>
      </c>
      <c r="AO1316" s="56"/>
      <c r="AP1316" s="57" t="str">
        <f t="shared" si="655"/>
        <v/>
      </c>
      <c r="AQ1316" s="56"/>
      <c r="AR1316" s="57" t="str">
        <f t="shared" si="656"/>
        <v/>
      </c>
      <c r="AS1316" s="56"/>
      <c r="AT1316" s="57" t="str">
        <f t="shared" si="657"/>
        <v/>
      </c>
      <c r="AU1316" s="58"/>
      <c r="AV1316" s="59"/>
      <c r="AW1316" s="59"/>
      <c r="AX1316" s="60"/>
      <c r="AY1316" s="61">
        <v>1</v>
      </c>
      <c r="AZ1316" s="62">
        <f t="shared" si="667"/>
        <v>2</v>
      </c>
      <c r="BA1316" s="61">
        <f t="shared" si="658"/>
        <v>0</v>
      </c>
      <c r="BB1316" s="62" t="str">
        <f t="shared" si="659"/>
        <v/>
      </c>
    </row>
    <row r="1317" spans="1:54" s="3" customFormat="1" hidden="1" x14ac:dyDescent="0.35">
      <c r="A1317" s="73">
        <f t="shared" si="643"/>
        <v>2019</v>
      </c>
      <c r="B1317" s="73" t="str">
        <f t="shared" si="644"/>
        <v>Nov</v>
      </c>
      <c r="C1317" s="74">
        <f t="shared" si="660"/>
        <v>17</v>
      </c>
      <c r="D1317" s="75">
        <f t="shared" si="645"/>
        <v>12</v>
      </c>
      <c r="E1317" s="76">
        <f t="shared" si="646"/>
        <v>53</v>
      </c>
      <c r="F1317" s="80">
        <v>16</v>
      </c>
      <c r="G1317" s="83"/>
      <c r="H1317" s="69" t="str">
        <f t="shared" si="661"/>
        <v>Senbur6_20191117_12_00</v>
      </c>
      <c r="I1317" s="70">
        <f t="shared" si="670"/>
        <v>1</v>
      </c>
      <c r="J1317" s="77" t="str">
        <f t="shared" si="670"/>
        <v>Senecio</v>
      </c>
      <c r="K1317" s="77" t="str">
        <f t="shared" si="670"/>
        <v>burtoni</v>
      </c>
      <c r="L1317" s="78">
        <f t="shared" si="670"/>
        <v>6</v>
      </c>
      <c r="M1317" s="78">
        <f t="shared" si="670"/>
        <v>12</v>
      </c>
      <c r="N1317" s="72">
        <f t="shared" si="670"/>
        <v>0</v>
      </c>
      <c r="O1317" s="45"/>
      <c r="P1317" s="46">
        <f t="shared" si="647"/>
        <v>1</v>
      </c>
      <c r="Q1317" s="47" t="str">
        <f t="shared" si="648"/>
        <v>12:53:16</v>
      </c>
      <c r="R1317" s="48" t="str">
        <f t="shared" si="649"/>
        <v>53:16</v>
      </c>
      <c r="S1317" s="49">
        <f t="shared" si="642"/>
        <v>4</v>
      </c>
      <c r="T1317" s="48" t="str">
        <f t="shared" si="650"/>
        <v>12</v>
      </c>
      <c r="U1317" s="50">
        <v>53</v>
      </c>
      <c r="V1317" s="51">
        <v>20</v>
      </c>
      <c r="W1317" s="52" t="str">
        <f t="shared" si="651"/>
        <v>53:20</v>
      </c>
      <c r="X1317" s="53" t="s">
        <v>61</v>
      </c>
      <c r="Y1317" s="97" t="s">
        <v>78</v>
      </c>
      <c r="Z1317" s="97"/>
      <c r="AA1317" s="48" t="s">
        <v>60</v>
      </c>
      <c r="AB1317" s="48" t="str">
        <f t="shared" si="652"/>
        <v>NA</v>
      </c>
      <c r="AC1317" s="54">
        <f t="shared" si="653"/>
        <v>0</v>
      </c>
      <c r="AD1317" s="55">
        <f t="shared" si="663"/>
        <v>1</v>
      </c>
      <c r="AE1317" s="55"/>
      <c r="AF1317" s="55"/>
      <c r="AG1317" s="56">
        <v>1</v>
      </c>
      <c r="AH1317" s="57">
        <f t="shared" si="664"/>
        <v>4</v>
      </c>
      <c r="AI1317" s="56"/>
      <c r="AJ1317" s="57" t="str">
        <f t="shared" si="665"/>
        <v/>
      </c>
      <c r="AK1317" s="56"/>
      <c r="AL1317" s="57" t="str">
        <f t="shared" si="666"/>
        <v/>
      </c>
      <c r="AM1317" s="56"/>
      <c r="AN1317" s="57" t="str">
        <f t="shared" si="654"/>
        <v/>
      </c>
      <c r="AO1317" s="56"/>
      <c r="AP1317" s="57" t="str">
        <f t="shared" si="655"/>
        <v/>
      </c>
      <c r="AQ1317" s="56"/>
      <c r="AR1317" s="57" t="str">
        <f t="shared" si="656"/>
        <v/>
      </c>
      <c r="AS1317" s="56"/>
      <c r="AT1317" s="57" t="str">
        <f t="shared" si="657"/>
        <v/>
      </c>
      <c r="AU1317" s="58"/>
      <c r="AV1317" s="59"/>
      <c r="AW1317" s="59"/>
      <c r="AX1317" s="60"/>
      <c r="AY1317" s="61">
        <v>1</v>
      </c>
      <c r="AZ1317" s="62">
        <f t="shared" si="667"/>
        <v>1</v>
      </c>
      <c r="BA1317" s="61">
        <f t="shared" si="658"/>
        <v>0</v>
      </c>
      <c r="BB1317" s="62" t="str">
        <f t="shared" si="659"/>
        <v/>
      </c>
    </row>
    <row r="1318" spans="1:54" s="3" customFormat="1" hidden="1" x14ac:dyDescent="0.35">
      <c r="A1318" s="73">
        <f t="shared" si="643"/>
        <v>2019</v>
      </c>
      <c r="B1318" s="73" t="str">
        <f t="shared" si="644"/>
        <v>Nov</v>
      </c>
      <c r="C1318" s="74">
        <f t="shared" si="660"/>
        <v>17</v>
      </c>
      <c r="D1318" s="75">
        <f t="shared" si="645"/>
        <v>12</v>
      </c>
      <c r="E1318" s="76">
        <f t="shared" si="646"/>
        <v>54</v>
      </c>
      <c r="F1318" s="80"/>
      <c r="G1318" s="83"/>
      <c r="H1318" s="69" t="str">
        <f t="shared" si="661"/>
        <v>Senbur6_20191117_12_00</v>
      </c>
      <c r="I1318" s="70">
        <f t="shared" si="670"/>
        <v>1</v>
      </c>
      <c r="J1318" s="77" t="str">
        <f t="shared" si="670"/>
        <v>Senecio</v>
      </c>
      <c r="K1318" s="77" t="str">
        <f t="shared" si="670"/>
        <v>burtoni</v>
      </c>
      <c r="L1318" s="78">
        <f t="shared" si="670"/>
        <v>6</v>
      </c>
      <c r="M1318" s="78">
        <f t="shared" si="670"/>
        <v>12</v>
      </c>
      <c r="N1318" s="72">
        <f t="shared" si="670"/>
        <v>0</v>
      </c>
      <c r="O1318" s="45"/>
      <c r="P1318" s="46" t="str">
        <f t="shared" si="647"/>
        <v/>
      </c>
      <c r="Q1318" s="47" t="str">
        <f t="shared" si="648"/>
        <v/>
      </c>
      <c r="R1318" s="48" t="e">
        <f t="shared" si="649"/>
        <v>#VALUE!</v>
      </c>
      <c r="S1318" s="49" t="e">
        <f t="shared" si="642"/>
        <v>#VALUE!</v>
      </c>
      <c r="T1318" s="48" t="str">
        <f t="shared" si="650"/>
        <v/>
      </c>
      <c r="U1318" s="50"/>
      <c r="V1318" s="51"/>
      <c r="W1318" s="52" t="e">
        <f t="shared" si="651"/>
        <v>#VALUE!</v>
      </c>
      <c r="X1318" s="53"/>
      <c r="Y1318" s="53"/>
      <c r="Z1318" s="53"/>
      <c r="AA1318" s="48" t="e">
        <f>INDEX([1]!VISITORS[INSECT ORDER], MATCH(X1318,[1]!VISITORS[NAME USED],0))</f>
        <v>#REF!</v>
      </c>
      <c r="AB1318" s="48" t="e">
        <f t="shared" si="652"/>
        <v>#REF!</v>
      </c>
      <c r="AC1318" s="54" t="e">
        <f t="shared" si="653"/>
        <v>#VALUE!</v>
      </c>
      <c r="AD1318" s="55" t="str">
        <f t="shared" si="663"/>
        <v/>
      </c>
      <c r="AE1318" s="55"/>
      <c r="AF1318" s="55"/>
      <c r="AG1318" s="56" t="str">
        <f t="shared" si="668"/>
        <v/>
      </c>
      <c r="AH1318" s="57" t="str">
        <f t="shared" si="664"/>
        <v/>
      </c>
      <c r="AI1318" s="56"/>
      <c r="AJ1318" s="57" t="str">
        <f t="shared" si="665"/>
        <v/>
      </c>
      <c r="AK1318" s="56"/>
      <c r="AL1318" s="57" t="str">
        <f t="shared" si="666"/>
        <v/>
      </c>
      <c r="AM1318" s="56"/>
      <c r="AN1318" s="57" t="str">
        <f t="shared" si="654"/>
        <v/>
      </c>
      <c r="AO1318" s="56"/>
      <c r="AP1318" s="57" t="str">
        <f t="shared" si="655"/>
        <v/>
      </c>
      <c r="AQ1318" s="56"/>
      <c r="AR1318" s="57" t="str">
        <f t="shared" si="656"/>
        <v/>
      </c>
      <c r="AS1318" s="56"/>
      <c r="AT1318" s="57" t="str">
        <f t="shared" si="657"/>
        <v/>
      </c>
      <c r="AU1318" s="58"/>
      <c r="AV1318" s="59"/>
      <c r="AW1318" s="59"/>
      <c r="AX1318" s="60"/>
      <c r="AY1318" s="61" t="str">
        <f t="shared" si="669"/>
        <v/>
      </c>
      <c r="AZ1318" s="62" t="str">
        <f t="shared" si="667"/>
        <v/>
      </c>
      <c r="BA1318" s="61" t="str">
        <f t="shared" si="658"/>
        <v/>
      </c>
      <c r="BB1318" s="62" t="str">
        <f t="shared" si="659"/>
        <v/>
      </c>
    </row>
    <row r="1319" spans="1:54" s="3" customFormat="1" hidden="1" x14ac:dyDescent="0.35">
      <c r="A1319" s="73">
        <f t="shared" si="643"/>
        <v>2019</v>
      </c>
      <c r="B1319" s="73" t="str">
        <f t="shared" si="644"/>
        <v>Nov</v>
      </c>
      <c r="C1319" s="74">
        <f t="shared" si="660"/>
        <v>17</v>
      </c>
      <c r="D1319" s="75">
        <f t="shared" si="645"/>
        <v>12</v>
      </c>
      <c r="E1319" s="76">
        <f t="shared" si="646"/>
        <v>55</v>
      </c>
      <c r="F1319" s="80">
        <v>46</v>
      </c>
      <c r="G1319" s="83"/>
      <c r="H1319" s="69" t="str">
        <f t="shared" si="661"/>
        <v>Senbur6_20191117_12_00</v>
      </c>
      <c r="I1319" s="70">
        <f t="shared" ref="I1319:N1335" si="693">I1318</f>
        <v>1</v>
      </c>
      <c r="J1319" s="77" t="str">
        <f t="shared" si="693"/>
        <v>Senecio</v>
      </c>
      <c r="K1319" s="77" t="str">
        <f t="shared" si="693"/>
        <v>burtoni</v>
      </c>
      <c r="L1319" s="78">
        <f t="shared" si="693"/>
        <v>6</v>
      </c>
      <c r="M1319" s="78">
        <f t="shared" si="693"/>
        <v>12</v>
      </c>
      <c r="N1319" s="72">
        <f t="shared" si="693"/>
        <v>0</v>
      </c>
      <c r="O1319" s="45"/>
      <c r="P1319" s="46">
        <f t="shared" si="647"/>
        <v>1</v>
      </c>
      <c r="Q1319" s="47" t="str">
        <f t="shared" si="648"/>
        <v>12:55:46</v>
      </c>
      <c r="R1319" s="48" t="str">
        <f t="shared" si="649"/>
        <v>55:46</v>
      </c>
      <c r="S1319" s="49">
        <f t="shared" si="642"/>
        <v>368</v>
      </c>
      <c r="T1319" s="48">
        <v>13</v>
      </c>
      <c r="U1319" s="50">
        <v>1</v>
      </c>
      <c r="V1319" s="51">
        <v>54</v>
      </c>
      <c r="W1319" s="52" t="str">
        <f t="shared" si="651"/>
        <v>01:54</v>
      </c>
      <c r="X1319" s="53" t="s">
        <v>61</v>
      </c>
      <c r="Y1319" s="97" t="s">
        <v>78</v>
      </c>
      <c r="Z1319" s="97"/>
      <c r="AA1319" s="48" t="s">
        <v>60</v>
      </c>
      <c r="AB1319" s="48" t="str">
        <f t="shared" si="652"/>
        <v>NA</v>
      </c>
      <c r="AC1319" s="54">
        <f t="shared" si="653"/>
        <v>0</v>
      </c>
      <c r="AD1319" s="55">
        <v>6</v>
      </c>
      <c r="AE1319" s="55"/>
      <c r="AF1319" s="55"/>
      <c r="AG1319" s="56">
        <v>1</v>
      </c>
      <c r="AH1319" s="57">
        <v>5</v>
      </c>
      <c r="AI1319" s="56">
        <v>1</v>
      </c>
      <c r="AJ1319" s="57">
        <v>5</v>
      </c>
      <c r="AK1319" s="56">
        <v>1</v>
      </c>
      <c r="AL1319" s="57">
        <v>358</v>
      </c>
      <c r="AM1319" s="56"/>
      <c r="AN1319" s="57" t="str">
        <f t="shared" si="654"/>
        <v/>
      </c>
      <c r="AO1319" s="56"/>
      <c r="AP1319" s="57" t="str">
        <f t="shared" si="655"/>
        <v/>
      </c>
      <c r="AQ1319" s="56"/>
      <c r="AR1319" s="57" t="str">
        <f t="shared" si="656"/>
        <v/>
      </c>
      <c r="AS1319" s="56"/>
      <c r="AT1319" s="57" t="str">
        <f t="shared" si="657"/>
        <v/>
      </c>
      <c r="AU1319" s="58"/>
      <c r="AV1319" s="59"/>
      <c r="AW1319" s="59"/>
      <c r="AX1319" s="60"/>
      <c r="AY1319" s="61">
        <v>1</v>
      </c>
      <c r="AZ1319" s="62">
        <f t="shared" si="667"/>
        <v>6</v>
      </c>
      <c r="BA1319" s="61">
        <f t="shared" si="658"/>
        <v>0</v>
      </c>
      <c r="BB1319" s="62" t="str">
        <f t="shared" si="659"/>
        <v/>
      </c>
    </row>
    <row r="1320" spans="1:54" s="3" customFormat="1" hidden="1" x14ac:dyDescent="0.35">
      <c r="A1320" s="73">
        <f t="shared" si="643"/>
        <v>2019</v>
      </c>
      <c r="B1320" s="73" t="str">
        <f t="shared" si="644"/>
        <v>Nov</v>
      </c>
      <c r="C1320" s="74">
        <f t="shared" si="660"/>
        <v>17</v>
      </c>
      <c r="D1320" s="75">
        <f t="shared" si="645"/>
        <v>12</v>
      </c>
      <c r="E1320" s="76">
        <f t="shared" si="646"/>
        <v>56</v>
      </c>
      <c r="F1320" s="80"/>
      <c r="G1320" s="83"/>
      <c r="H1320" s="69" t="str">
        <f t="shared" si="661"/>
        <v>Senbur6_20191117_12_00</v>
      </c>
      <c r="I1320" s="70">
        <f t="shared" si="693"/>
        <v>1</v>
      </c>
      <c r="J1320" s="77" t="str">
        <f t="shared" si="693"/>
        <v>Senecio</v>
      </c>
      <c r="K1320" s="77" t="str">
        <f t="shared" si="693"/>
        <v>burtoni</v>
      </c>
      <c r="L1320" s="78">
        <f t="shared" si="693"/>
        <v>6</v>
      </c>
      <c r="M1320" s="78">
        <f t="shared" si="693"/>
        <v>12</v>
      </c>
      <c r="N1320" s="72">
        <f t="shared" si="693"/>
        <v>0</v>
      </c>
      <c r="O1320" s="45"/>
      <c r="P1320" s="46" t="str">
        <f t="shared" si="647"/>
        <v/>
      </c>
      <c r="Q1320" s="47" t="str">
        <f t="shared" si="648"/>
        <v/>
      </c>
      <c r="R1320" s="48" t="e">
        <f t="shared" si="649"/>
        <v>#VALUE!</v>
      </c>
      <c r="S1320" s="49" t="e">
        <f t="shared" si="642"/>
        <v>#VALUE!</v>
      </c>
      <c r="T1320" s="48" t="str">
        <f t="shared" si="650"/>
        <v/>
      </c>
      <c r="U1320" s="50"/>
      <c r="V1320" s="51"/>
      <c r="W1320" s="52" t="e">
        <f t="shared" si="651"/>
        <v>#VALUE!</v>
      </c>
      <c r="X1320" s="53"/>
      <c r="Y1320" s="53"/>
      <c r="Z1320" s="53"/>
      <c r="AA1320" s="48" t="e">
        <f>INDEX([1]!VISITORS[INSECT ORDER], MATCH(X1320,[1]!VISITORS[NAME USED],0))</f>
        <v>#REF!</v>
      </c>
      <c r="AB1320" s="48" t="e">
        <f t="shared" si="652"/>
        <v>#REF!</v>
      </c>
      <c r="AC1320" s="54" t="e">
        <f t="shared" si="653"/>
        <v>#VALUE!</v>
      </c>
      <c r="AD1320" s="55" t="str">
        <f t="shared" si="663"/>
        <v/>
      </c>
      <c r="AE1320" s="55"/>
      <c r="AF1320" s="55"/>
      <c r="AG1320" s="56" t="str">
        <f t="shared" si="668"/>
        <v/>
      </c>
      <c r="AH1320" s="57" t="str">
        <f t="shared" si="664"/>
        <v/>
      </c>
      <c r="AI1320" s="56"/>
      <c r="AJ1320" s="57" t="str">
        <f t="shared" si="665"/>
        <v/>
      </c>
      <c r="AK1320" s="56"/>
      <c r="AL1320" s="57" t="str">
        <f t="shared" si="666"/>
        <v/>
      </c>
      <c r="AM1320" s="56"/>
      <c r="AN1320" s="57" t="str">
        <f t="shared" si="654"/>
        <v/>
      </c>
      <c r="AO1320" s="56"/>
      <c r="AP1320" s="57" t="str">
        <f t="shared" si="655"/>
        <v/>
      </c>
      <c r="AQ1320" s="56"/>
      <c r="AR1320" s="57" t="str">
        <f t="shared" si="656"/>
        <v/>
      </c>
      <c r="AS1320" s="56"/>
      <c r="AT1320" s="57" t="str">
        <f t="shared" si="657"/>
        <v/>
      </c>
      <c r="AU1320" s="58"/>
      <c r="AV1320" s="59"/>
      <c r="AW1320" s="59"/>
      <c r="AX1320" s="60"/>
      <c r="AY1320" s="61" t="str">
        <f t="shared" si="669"/>
        <v/>
      </c>
      <c r="AZ1320" s="62" t="str">
        <f t="shared" si="667"/>
        <v/>
      </c>
      <c r="BA1320" s="61" t="str">
        <f t="shared" si="658"/>
        <v/>
      </c>
      <c r="BB1320" s="62" t="str">
        <f t="shared" si="659"/>
        <v/>
      </c>
    </row>
    <row r="1321" spans="1:54" s="3" customFormat="1" hidden="1" x14ac:dyDescent="0.35">
      <c r="A1321" s="73">
        <f t="shared" si="643"/>
        <v>2019</v>
      </c>
      <c r="B1321" s="73" t="str">
        <f t="shared" si="644"/>
        <v>Nov</v>
      </c>
      <c r="C1321" s="74">
        <f t="shared" si="660"/>
        <v>17</v>
      </c>
      <c r="D1321" s="75">
        <f t="shared" si="645"/>
        <v>12</v>
      </c>
      <c r="E1321" s="76">
        <f t="shared" si="646"/>
        <v>57</v>
      </c>
      <c r="F1321" s="80">
        <v>39</v>
      </c>
      <c r="G1321" s="83"/>
      <c r="H1321" s="69" t="str">
        <f t="shared" si="661"/>
        <v>Senbur6_20191117_12_00</v>
      </c>
      <c r="I1321" s="70">
        <f t="shared" si="693"/>
        <v>1</v>
      </c>
      <c r="J1321" s="77" t="str">
        <f t="shared" si="693"/>
        <v>Senecio</v>
      </c>
      <c r="K1321" s="77" t="str">
        <f t="shared" si="693"/>
        <v>burtoni</v>
      </c>
      <c r="L1321" s="78">
        <f t="shared" si="693"/>
        <v>6</v>
      </c>
      <c r="M1321" s="78">
        <f t="shared" si="693"/>
        <v>12</v>
      </c>
      <c r="N1321" s="72">
        <f t="shared" si="693"/>
        <v>0</v>
      </c>
      <c r="O1321" s="45"/>
      <c r="P1321" s="46">
        <f t="shared" si="647"/>
        <v>1</v>
      </c>
      <c r="Q1321" s="47" t="str">
        <f t="shared" si="648"/>
        <v>12:57:39</v>
      </c>
      <c r="R1321" s="48" t="str">
        <f t="shared" si="649"/>
        <v>57:39</v>
      </c>
      <c r="S1321" s="49">
        <f t="shared" si="642"/>
        <v>4</v>
      </c>
      <c r="T1321" s="48" t="str">
        <f t="shared" si="650"/>
        <v>12</v>
      </c>
      <c r="U1321" s="50">
        <v>57</v>
      </c>
      <c r="V1321" s="51">
        <v>43</v>
      </c>
      <c r="W1321" s="52" t="str">
        <f t="shared" si="651"/>
        <v>57:43</v>
      </c>
      <c r="X1321" s="53" t="s">
        <v>61</v>
      </c>
      <c r="Y1321" s="97" t="s">
        <v>78</v>
      </c>
      <c r="Z1321" s="97"/>
      <c r="AA1321" s="48" t="s">
        <v>60</v>
      </c>
      <c r="AB1321" s="48" t="str">
        <f t="shared" si="652"/>
        <v>NA</v>
      </c>
      <c r="AC1321" s="54">
        <f t="shared" si="653"/>
        <v>0</v>
      </c>
      <c r="AD1321" s="55">
        <f t="shared" si="663"/>
        <v>1</v>
      </c>
      <c r="AE1321" s="55"/>
      <c r="AF1321" s="55"/>
      <c r="AG1321" s="56">
        <v>1</v>
      </c>
      <c r="AH1321" s="57">
        <v>2</v>
      </c>
      <c r="AI1321" s="56"/>
      <c r="AJ1321" s="57" t="str">
        <f t="shared" si="665"/>
        <v/>
      </c>
      <c r="AK1321" s="56">
        <v>1</v>
      </c>
      <c r="AL1321" s="57">
        <v>2</v>
      </c>
      <c r="AM1321" s="56"/>
      <c r="AN1321" s="57" t="str">
        <f t="shared" si="654"/>
        <v/>
      </c>
      <c r="AO1321" s="56"/>
      <c r="AP1321" s="57" t="str">
        <f t="shared" si="655"/>
        <v/>
      </c>
      <c r="AQ1321" s="56"/>
      <c r="AR1321" s="57" t="str">
        <f t="shared" si="656"/>
        <v/>
      </c>
      <c r="AS1321" s="56"/>
      <c r="AT1321" s="57" t="str">
        <f t="shared" si="657"/>
        <v/>
      </c>
      <c r="AU1321" s="58"/>
      <c r="AV1321" s="59"/>
      <c r="AW1321" s="59"/>
      <c r="AX1321" s="60"/>
      <c r="AY1321" s="61">
        <v>1</v>
      </c>
      <c r="AZ1321" s="62">
        <f t="shared" si="667"/>
        <v>1</v>
      </c>
      <c r="BA1321" s="61">
        <f t="shared" si="658"/>
        <v>0</v>
      </c>
      <c r="BB1321" s="62" t="str">
        <f t="shared" si="659"/>
        <v/>
      </c>
    </row>
    <row r="1322" spans="1:54" s="3" customFormat="1" hidden="1" x14ac:dyDescent="0.35">
      <c r="A1322" s="73">
        <f t="shared" si="643"/>
        <v>2019</v>
      </c>
      <c r="B1322" s="73" t="str">
        <f t="shared" si="644"/>
        <v>Nov</v>
      </c>
      <c r="C1322" s="74">
        <f t="shared" si="660"/>
        <v>17</v>
      </c>
      <c r="D1322" s="75">
        <f t="shared" si="645"/>
        <v>12</v>
      </c>
      <c r="E1322" s="76">
        <f t="shared" si="646"/>
        <v>58</v>
      </c>
      <c r="F1322" s="80">
        <v>32</v>
      </c>
      <c r="G1322" s="83"/>
      <c r="H1322" s="69" t="str">
        <f t="shared" si="661"/>
        <v>Senbur6_20191117_12_00</v>
      </c>
      <c r="I1322" s="70">
        <f t="shared" si="693"/>
        <v>1</v>
      </c>
      <c r="J1322" s="77" t="str">
        <f t="shared" si="693"/>
        <v>Senecio</v>
      </c>
      <c r="K1322" s="77" t="str">
        <f t="shared" si="693"/>
        <v>burtoni</v>
      </c>
      <c r="L1322" s="78">
        <f t="shared" si="693"/>
        <v>6</v>
      </c>
      <c r="M1322" s="78">
        <f t="shared" si="693"/>
        <v>12</v>
      </c>
      <c r="N1322" s="72">
        <f t="shared" si="693"/>
        <v>0</v>
      </c>
      <c r="O1322" s="45"/>
      <c r="P1322" s="46">
        <f t="shared" si="647"/>
        <v>1</v>
      </c>
      <c r="Q1322" s="47" t="str">
        <f t="shared" si="648"/>
        <v>12:58:32</v>
      </c>
      <c r="R1322" s="48" t="str">
        <f t="shared" si="649"/>
        <v>58:32</v>
      </c>
      <c r="S1322" s="49">
        <f t="shared" si="642"/>
        <v>38</v>
      </c>
      <c r="T1322" s="48" t="str">
        <f t="shared" si="650"/>
        <v>12</v>
      </c>
      <c r="U1322" s="50">
        <v>59</v>
      </c>
      <c r="V1322" s="51">
        <v>10</v>
      </c>
      <c r="W1322" s="52" t="str">
        <f t="shared" si="651"/>
        <v>59:10</v>
      </c>
      <c r="X1322" s="53" t="s">
        <v>73</v>
      </c>
      <c r="Y1322" s="97" t="s">
        <v>89</v>
      </c>
      <c r="Z1322" s="97" t="s">
        <v>80</v>
      </c>
      <c r="AA1322" s="48" t="s">
        <v>63</v>
      </c>
      <c r="AB1322" s="48" t="str">
        <f t="shared" si="652"/>
        <v>NA</v>
      </c>
      <c r="AC1322" s="54">
        <f t="shared" si="653"/>
        <v>0</v>
      </c>
      <c r="AD1322" s="55">
        <v>4</v>
      </c>
      <c r="AE1322" s="55"/>
      <c r="AF1322" s="55"/>
      <c r="AG1322" s="56">
        <v>1</v>
      </c>
      <c r="AH1322" s="57">
        <v>2</v>
      </c>
      <c r="AI1322" s="56">
        <v>1</v>
      </c>
      <c r="AJ1322" s="57">
        <v>2</v>
      </c>
      <c r="AK1322" s="56">
        <v>1</v>
      </c>
      <c r="AL1322" s="57">
        <v>34</v>
      </c>
      <c r="AM1322" s="56"/>
      <c r="AN1322" s="57" t="str">
        <f t="shared" si="654"/>
        <v/>
      </c>
      <c r="AO1322" s="56"/>
      <c r="AP1322" s="57" t="str">
        <f t="shared" si="655"/>
        <v/>
      </c>
      <c r="AQ1322" s="56"/>
      <c r="AR1322" s="57" t="str">
        <f t="shared" si="656"/>
        <v/>
      </c>
      <c r="AS1322" s="56"/>
      <c r="AT1322" s="57" t="str">
        <f t="shared" si="657"/>
        <v/>
      </c>
      <c r="AU1322" s="58"/>
      <c r="AV1322" s="59"/>
      <c r="AW1322" s="59"/>
      <c r="AX1322" s="60"/>
      <c r="AY1322" s="61">
        <v>1</v>
      </c>
      <c r="AZ1322" s="62">
        <f t="shared" si="667"/>
        <v>4</v>
      </c>
      <c r="BA1322" s="61">
        <f t="shared" si="658"/>
        <v>0</v>
      </c>
      <c r="BB1322" s="62" t="str">
        <f t="shared" si="659"/>
        <v/>
      </c>
    </row>
    <row r="1323" spans="1:54" s="3" customFormat="1" hidden="1" x14ac:dyDescent="0.35">
      <c r="A1323" s="73">
        <f t="shared" si="643"/>
        <v>2019</v>
      </c>
      <c r="B1323" s="73" t="str">
        <f t="shared" si="644"/>
        <v>Nov</v>
      </c>
      <c r="C1323" s="74">
        <f t="shared" si="660"/>
        <v>17</v>
      </c>
      <c r="D1323" s="75">
        <f t="shared" si="645"/>
        <v>12</v>
      </c>
      <c r="E1323" s="76">
        <f t="shared" si="646"/>
        <v>59</v>
      </c>
      <c r="F1323" s="80">
        <v>59</v>
      </c>
      <c r="G1323" s="83"/>
      <c r="H1323" s="69" t="str">
        <f t="shared" si="661"/>
        <v>Senbur6_20191117_12_00</v>
      </c>
      <c r="I1323" s="70">
        <f t="shared" si="693"/>
        <v>1</v>
      </c>
      <c r="J1323" s="77" t="str">
        <f t="shared" si="693"/>
        <v>Senecio</v>
      </c>
      <c r="K1323" s="77" t="str">
        <f t="shared" si="693"/>
        <v>burtoni</v>
      </c>
      <c r="L1323" s="78">
        <f t="shared" si="693"/>
        <v>6</v>
      </c>
      <c r="M1323" s="78">
        <f t="shared" si="693"/>
        <v>12</v>
      </c>
      <c r="N1323" s="72">
        <f t="shared" si="693"/>
        <v>0</v>
      </c>
      <c r="O1323" s="45"/>
      <c r="P1323" s="46">
        <f t="shared" si="647"/>
        <v>1</v>
      </c>
      <c r="Q1323" s="47" t="str">
        <f t="shared" si="648"/>
        <v>12:59:59</v>
      </c>
      <c r="R1323" s="48" t="str">
        <f t="shared" si="649"/>
        <v>59:59</v>
      </c>
      <c r="S1323" s="49">
        <f t="shared" si="642"/>
        <v>4</v>
      </c>
      <c r="T1323" s="48">
        <v>13</v>
      </c>
      <c r="U1323" s="50">
        <v>0</v>
      </c>
      <c r="V1323" s="51">
        <v>3</v>
      </c>
      <c r="W1323" s="52" t="str">
        <f t="shared" si="651"/>
        <v>00:03</v>
      </c>
      <c r="X1323" s="53" t="s">
        <v>61</v>
      </c>
      <c r="Y1323" s="97" t="s">
        <v>78</v>
      </c>
      <c r="Z1323" s="97"/>
      <c r="AA1323" s="48" t="s">
        <v>60</v>
      </c>
      <c r="AB1323" s="48" t="str">
        <f t="shared" si="652"/>
        <v>NA</v>
      </c>
      <c r="AC1323" s="54">
        <f t="shared" si="653"/>
        <v>0</v>
      </c>
      <c r="AD1323" s="55">
        <f t="shared" si="663"/>
        <v>1</v>
      </c>
      <c r="AE1323" s="55"/>
      <c r="AF1323" s="55"/>
      <c r="AG1323" s="56">
        <v>1</v>
      </c>
      <c r="AH1323" s="57">
        <f t="shared" si="664"/>
        <v>4</v>
      </c>
      <c r="AI1323" s="56"/>
      <c r="AJ1323" s="57" t="str">
        <f t="shared" si="665"/>
        <v/>
      </c>
      <c r="AK1323" s="56"/>
      <c r="AL1323" s="57" t="str">
        <f t="shared" si="666"/>
        <v/>
      </c>
      <c r="AM1323" s="56"/>
      <c r="AN1323" s="57" t="str">
        <f t="shared" si="654"/>
        <v/>
      </c>
      <c r="AO1323" s="56"/>
      <c r="AP1323" s="57" t="str">
        <f t="shared" si="655"/>
        <v/>
      </c>
      <c r="AQ1323" s="56"/>
      <c r="AR1323" s="57" t="str">
        <f t="shared" si="656"/>
        <v/>
      </c>
      <c r="AS1323" s="56"/>
      <c r="AT1323" s="57" t="str">
        <f t="shared" si="657"/>
        <v/>
      </c>
      <c r="AU1323" s="58"/>
      <c r="AV1323" s="59"/>
      <c r="AW1323" s="59"/>
      <c r="AX1323" s="60"/>
      <c r="AY1323" s="61">
        <f t="shared" si="669"/>
        <v>0</v>
      </c>
      <c r="AZ1323" s="62" t="str">
        <f t="shared" si="667"/>
        <v/>
      </c>
      <c r="BA1323" s="61">
        <f t="shared" si="658"/>
        <v>0</v>
      </c>
      <c r="BB1323" s="62" t="str">
        <f t="shared" si="659"/>
        <v/>
      </c>
    </row>
    <row r="1324" spans="1:54" s="3" customFormat="1" hidden="1" x14ac:dyDescent="0.35">
      <c r="A1324" s="73">
        <f t="shared" si="643"/>
        <v>2019</v>
      </c>
      <c r="B1324" s="73" t="str">
        <f t="shared" si="644"/>
        <v>Nov</v>
      </c>
      <c r="C1324" s="74">
        <f t="shared" si="660"/>
        <v>17</v>
      </c>
      <c r="D1324" s="75">
        <f t="shared" si="645"/>
        <v>13</v>
      </c>
      <c r="E1324" s="76">
        <f t="shared" si="646"/>
        <v>0</v>
      </c>
      <c r="F1324" s="80">
        <v>1</v>
      </c>
      <c r="G1324" s="83"/>
      <c r="H1324" s="69" t="str">
        <f t="shared" si="661"/>
        <v>Senbur6_20191117_13_00</v>
      </c>
      <c r="I1324" s="70">
        <f t="shared" si="693"/>
        <v>1</v>
      </c>
      <c r="J1324" s="77" t="str">
        <f t="shared" si="693"/>
        <v>Senecio</v>
      </c>
      <c r="K1324" s="77" t="str">
        <f t="shared" si="693"/>
        <v>burtoni</v>
      </c>
      <c r="L1324" s="78">
        <f t="shared" si="693"/>
        <v>6</v>
      </c>
      <c r="M1324" s="78">
        <f t="shared" si="693"/>
        <v>12</v>
      </c>
      <c r="N1324" s="72">
        <f t="shared" si="693"/>
        <v>0</v>
      </c>
      <c r="O1324" s="45"/>
      <c r="P1324" s="46">
        <f t="shared" si="647"/>
        <v>1</v>
      </c>
      <c r="Q1324" s="47" t="str">
        <f t="shared" si="648"/>
        <v>13:00:01</v>
      </c>
      <c r="R1324" s="48" t="str">
        <f t="shared" si="649"/>
        <v>00:01</v>
      </c>
      <c r="S1324" s="49">
        <f t="shared" si="642"/>
        <v>27</v>
      </c>
      <c r="T1324" s="48" t="str">
        <f t="shared" si="650"/>
        <v>13</v>
      </c>
      <c r="U1324" s="50">
        <v>0</v>
      </c>
      <c r="V1324" s="51">
        <v>28</v>
      </c>
      <c r="W1324" s="52" t="str">
        <f t="shared" si="651"/>
        <v>00:28</v>
      </c>
      <c r="X1324" s="53" t="s">
        <v>73</v>
      </c>
      <c r="Y1324" s="97" t="s">
        <v>89</v>
      </c>
      <c r="Z1324" s="97" t="s">
        <v>80</v>
      </c>
      <c r="AA1324" s="48" t="s">
        <v>63</v>
      </c>
      <c r="AB1324" s="48" t="str">
        <f t="shared" si="652"/>
        <v>NA</v>
      </c>
      <c r="AC1324" s="54">
        <f t="shared" si="653"/>
        <v>0</v>
      </c>
      <c r="AD1324" s="55">
        <v>2</v>
      </c>
      <c r="AE1324" s="55"/>
      <c r="AF1324" s="55"/>
      <c r="AG1324" s="56">
        <v>1</v>
      </c>
      <c r="AH1324" s="57">
        <v>1</v>
      </c>
      <c r="AI1324" s="56">
        <v>1</v>
      </c>
      <c r="AJ1324" s="57">
        <v>1</v>
      </c>
      <c r="AK1324" s="56">
        <v>1</v>
      </c>
      <c r="AL1324" s="57">
        <v>25</v>
      </c>
      <c r="AM1324" s="56"/>
      <c r="AN1324" s="57" t="str">
        <f t="shared" si="654"/>
        <v/>
      </c>
      <c r="AO1324" s="56"/>
      <c r="AP1324" s="57" t="str">
        <f t="shared" si="655"/>
        <v/>
      </c>
      <c r="AQ1324" s="56"/>
      <c r="AR1324" s="57" t="str">
        <f t="shared" si="656"/>
        <v/>
      </c>
      <c r="AS1324" s="56"/>
      <c r="AT1324" s="57" t="str">
        <f t="shared" si="657"/>
        <v/>
      </c>
      <c r="AU1324" s="58"/>
      <c r="AV1324" s="59"/>
      <c r="AW1324" s="59"/>
      <c r="AX1324" s="60"/>
      <c r="AY1324" s="61">
        <v>1</v>
      </c>
      <c r="AZ1324" s="62">
        <f t="shared" si="667"/>
        <v>2</v>
      </c>
      <c r="BA1324" s="61">
        <f t="shared" si="658"/>
        <v>0</v>
      </c>
      <c r="BB1324" s="62" t="str">
        <f t="shared" si="659"/>
        <v/>
      </c>
    </row>
    <row r="1325" spans="1:54" s="3" customFormat="1" hidden="1" x14ac:dyDescent="0.35">
      <c r="A1325" s="73">
        <f t="shared" si="643"/>
        <v>2019</v>
      </c>
      <c r="B1325" s="73" t="str">
        <f t="shared" si="644"/>
        <v>Nov</v>
      </c>
      <c r="C1325" s="74">
        <f t="shared" si="660"/>
        <v>17</v>
      </c>
      <c r="D1325" s="75">
        <f t="shared" si="645"/>
        <v>13</v>
      </c>
      <c r="E1325" s="76">
        <f t="shared" si="646"/>
        <v>1</v>
      </c>
      <c r="F1325" s="80"/>
      <c r="G1325" s="83"/>
      <c r="H1325" s="69" t="str">
        <f t="shared" si="661"/>
        <v>Senbur6_20191117_13_00</v>
      </c>
      <c r="I1325" s="70">
        <f t="shared" si="693"/>
        <v>1</v>
      </c>
      <c r="J1325" s="77" t="str">
        <f t="shared" si="693"/>
        <v>Senecio</v>
      </c>
      <c r="K1325" s="77" t="str">
        <f t="shared" si="693"/>
        <v>burtoni</v>
      </c>
      <c r="L1325" s="78">
        <f t="shared" si="693"/>
        <v>6</v>
      </c>
      <c r="M1325" s="78">
        <f t="shared" si="693"/>
        <v>12</v>
      </c>
      <c r="N1325" s="72">
        <f t="shared" si="693"/>
        <v>0</v>
      </c>
      <c r="O1325" s="45"/>
      <c r="P1325" s="46" t="str">
        <f t="shared" si="647"/>
        <v/>
      </c>
      <c r="Q1325" s="47" t="str">
        <f t="shared" si="648"/>
        <v/>
      </c>
      <c r="R1325" s="48" t="e">
        <f t="shared" si="649"/>
        <v>#VALUE!</v>
      </c>
      <c r="S1325" s="49" t="e">
        <f t="shared" si="642"/>
        <v>#VALUE!</v>
      </c>
      <c r="T1325" s="48" t="str">
        <f t="shared" si="650"/>
        <v/>
      </c>
      <c r="U1325" s="50"/>
      <c r="V1325" s="51"/>
      <c r="W1325" s="52" t="e">
        <f t="shared" si="651"/>
        <v>#VALUE!</v>
      </c>
      <c r="X1325" s="53"/>
      <c r="Y1325" s="53"/>
      <c r="Z1325" s="53"/>
      <c r="AA1325" s="48" t="e">
        <f>INDEX([1]!VISITORS[INSECT ORDER], MATCH(X1325,[1]!VISITORS[NAME USED],0))</f>
        <v>#REF!</v>
      </c>
      <c r="AB1325" s="48" t="e">
        <f t="shared" si="652"/>
        <v>#REF!</v>
      </c>
      <c r="AC1325" s="54" t="e">
        <f t="shared" si="653"/>
        <v>#VALUE!</v>
      </c>
      <c r="AD1325" s="55" t="str">
        <f t="shared" si="663"/>
        <v/>
      </c>
      <c r="AE1325" s="55"/>
      <c r="AF1325" s="55"/>
      <c r="AG1325" s="56" t="str">
        <f t="shared" si="668"/>
        <v/>
      </c>
      <c r="AH1325" s="57" t="str">
        <f t="shared" si="664"/>
        <v/>
      </c>
      <c r="AI1325" s="56"/>
      <c r="AJ1325" s="57" t="str">
        <f t="shared" si="665"/>
        <v/>
      </c>
      <c r="AK1325" s="56"/>
      <c r="AL1325" s="57" t="str">
        <f t="shared" si="666"/>
        <v/>
      </c>
      <c r="AM1325" s="56"/>
      <c r="AN1325" s="57" t="str">
        <f t="shared" si="654"/>
        <v/>
      </c>
      <c r="AO1325" s="56"/>
      <c r="AP1325" s="57" t="str">
        <f t="shared" si="655"/>
        <v/>
      </c>
      <c r="AQ1325" s="56"/>
      <c r="AR1325" s="57" t="str">
        <f t="shared" si="656"/>
        <v/>
      </c>
      <c r="AS1325" s="56"/>
      <c r="AT1325" s="57" t="str">
        <f t="shared" si="657"/>
        <v/>
      </c>
      <c r="AU1325" s="58"/>
      <c r="AV1325" s="59"/>
      <c r="AW1325" s="59"/>
      <c r="AX1325" s="60"/>
      <c r="AY1325" s="61" t="str">
        <f t="shared" si="669"/>
        <v/>
      </c>
      <c r="AZ1325" s="62" t="str">
        <f t="shared" si="667"/>
        <v/>
      </c>
      <c r="BA1325" s="61" t="str">
        <f t="shared" si="658"/>
        <v/>
      </c>
      <c r="BB1325" s="62" t="str">
        <f t="shared" si="659"/>
        <v/>
      </c>
    </row>
    <row r="1326" spans="1:54" s="3" customFormat="1" hidden="1" x14ac:dyDescent="0.35">
      <c r="A1326" s="73">
        <f t="shared" si="643"/>
        <v>2019</v>
      </c>
      <c r="B1326" s="73" t="str">
        <f t="shared" si="644"/>
        <v>Nov</v>
      </c>
      <c r="C1326" s="74">
        <f t="shared" si="660"/>
        <v>17</v>
      </c>
      <c r="D1326" s="75">
        <f t="shared" si="645"/>
        <v>13</v>
      </c>
      <c r="E1326" s="76">
        <f t="shared" si="646"/>
        <v>2</v>
      </c>
      <c r="F1326" s="80">
        <v>19</v>
      </c>
      <c r="G1326" s="83"/>
      <c r="H1326" s="69" t="str">
        <f t="shared" si="661"/>
        <v>Senbur6_20191117_13_00</v>
      </c>
      <c r="I1326" s="70">
        <f t="shared" si="693"/>
        <v>1</v>
      </c>
      <c r="J1326" s="77" t="str">
        <f t="shared" si="693"/>
        <v>Senecio</v>
      </c>
      <c r="K1326" s="77" t="str">
        <f t="shared" si="693"/>
        <v>burtoni</v>
      </c>
      <c r="L1326" s="78">
        <f t="shared" si="693"/>
        <v>6</v>
      </c>
      <c r="M1326" s="78">
        <f t="shared" si="693"/>
        <v>12</v>
      </c>
      <c r="N1326" s="72">
        <f t="shared" si="693"/>
        <v>0</v>
      </c>
      <c r="O1326" s="45"/>
      <c r="P1326" s="46">
        <f t="shared" si="647"/>
        <v>1</v>
      </c>
      <c r="Q1326" s="47" t="str">
        <f t="shared" si="648"/>
        <v>13:02:19</v>
      </c>
      <c r="R1326" s="48" t="str">
        <f t="shared" si="649"/>
        <v>02:19</v>
      </c>
      <c r="S1326" s="49">
        <f t="shared" si="642"/>
        <v>142</v>
      </c>
      <c r="T1326" s="48" t="str">
        <f t="shared" si="650"/>
        <v>13</v>
      </c>
      <c r="U1326" s="50">
        <v>4</v>
      </c>
      <c r="V1326" s="51">
        <v>41</v>
      </c>
      <c r="W1326" s="52" t="str">
        <f t="shared" si="651"/>
        <v>04:41</v>
      </c>
      <c r="X1326" s="53" t="s">
        <v>61</v>
      </c>
      <c r="Y1326" s="97" t="s">
        <v>78</v>
      </c>
      <c r="Z1326" s="97"/>
      <c r="AA1326" s="48" t="s">
        <v>60</v>
      </c>
      <c r="AB1326" s="48" t="str">
        <f t="shared" si="652"/>
        <v>NA</v>
      </c>
      <c r="AC1326" s="54">
        <f t="shared" si="653"/>
        <v>0</v>
      </c>
      <c r="AD1326" s="55">
        <v>5</v>
      </c>
      <c r="AE1326" s="55"/>
      <c r="AF1326" s="55"/>
      <c r="AG1326" s="56" t="str">
        <f t="shared" si="668"/>
        <v/>
      </c>
      <c r="AH1326" s="57" t="str">
        <f t="shared" si="664"/>
        <v/>
      </c>
      <c r="AI1326" s="56">
        <v>1</v>
      </c>
      <c r="AJ1326" s="57">
        <v>5</v>
      </c>
      <c r="AK1326" s="56">
        <v>1</v>
      </c>
      <c r="AL1326" s="57">
        <v>137</v>
      </c>
      <c r="AM1326" s="56"/>
      <c r="AN1326" s="57" t="str">
        <f t="shared" si="654"/>
        <v/>
      </c>
      <c r="AO1326" s="56"/>
      <c r="AP1326" s="57" t="str">
        <f t="shared" si="655"/>
        <v/>
      </c>
      <c r="AQ1326" s="56"/>
      <c r="AR1326" s="57" t="str">
        <f t="shared" si="656"/>
        <v/>
      </c>
      <c r="AS1326" s="56"/>
      <c r="AT1326" s="57" t="str">
        <f t="shared" si="657"/>
        <v/>
      </c>
      <c r="AU1326" s="58"/>
      <c r="AV1326" s="59"/>
      <c r="AW1326" s="59"/>
      <c r="AX1326" s="60"/>
      <c r="AY1326" s="61">
        <v>1</v>
      </c>
      <c r="AZ1326" s="62">
        <f t="shared" si="667"/>
        <v>5</v>
      </c>
      <c r="BA1326" s="61">
        <f t="shared" si="658"/>
        <v>0</v>
      </c>
      <c r="BB1326" s="62" t="str">
        <f t="shared" si="659"/>
        <v/>
      </c>
    </row>
    <row r="1327" spans="1:54" s="3" customFormat="1" hidden="1" x14ac:dyDescent="0.35">
      <c r="A1327" s="73">
        <f t="shared" si="643"/>
        <v>2019</v>
      </c>
      <c r="B1327" s="73" t="str">
        <f t="shared" ref="B1327" si="694">IF(C1326-C1327&gt;0, TEXT(DATE(2016,(MONTH(DATEVALUE(B1326&amp;"1"))+1),1),"mmm"), B1326)</f>
        <v>Nov</v>
      </c>
      <c r="C1327" s="74">
        <f t="shared" ref="C1327" si="695">IF(AND(D1327=0, E1327=0), IF(TEXT(C1326,"dd")=TEXT(EOMONTH(DATE(A1326,MONTH(DATEVALUE(B1326&amp;"1")),C1326),0), "dd"), 1, C1326+1), C1326)</f>
        <v>17</v>
      </c>
      <c r="D1327" s="75">
        <f t="shared" ref="D1327" si="696">IF(IF(E1326=59,D1326+1,D1326)=24,0,IF(E1326=59,D1326+1,D1326))</f>
        <v>13</v>
      </c>
      <c r="E1327" s="76">
        <v>2</v>
      </c>
      <c r="F1327" s="80">
        <v>49</v>
      </c>
      <c r="G1327" s="83"/>
      <c r="H1327" s="69" t="str">
        <f t="shared" ref="H1327" si="697">IF(AND(OR(E1326=$G$3,E1326=$G$4,E1326=$G$5,E1326=$G$6,E1326=$G$7,E1326=$G$8),E1326&lt;&gt;RIGHT(H1326,2)),CONCATENATE(LEFT(J1327,3),LEFT(K1327,3),L1327,"_",A1327,TEXT(MONTH(DATEVALUE(B1327&amp;"1")),"00"),TEXT(C1327,"00"),"_",TEXT(D1327,"00"),"_",TEXT(E1326,"00")),IF(AND(OR(E1327=$G$3,E1327=$G$4,E1327=$G$5,E1327=$G$6,E1327=$G$7,E1327=$G$8),OR(F1327="",F1327&gt;$G$9-1)),CONCATENATE(LEFT(J1327,3),LEFT(K1327,3),L1327,"_",A1327,TEXT(MONTH(DATEVALUE(B1327&amp;"1")),"00"),TEXT(C1327,"00"),"_",TEXT(D1327,"00"),"_",TEXT(E1327,"00")),H1326))</f>
        <v>Senbur6_20191117_13_00</v>
      </c>
      <c r="I1327" s="70">
        <f t="shared" si="693"/>
        <v>1</v>
      </c>
      <c r="J1327" s="77" t="str">
        <f t="shared" si="693"/>
        <v>Senecio</v>
      </c>
      <c r="K1327" s="77" t="str">
        <f t="shared" si="693"/>
        <v>burtoni</v>
      </c>
      <c r="L1327" s="78">
        <f t="shared" si="693"/>
        <v>6</v>
      </c>
      <c r="M1327" s="78">
        <f t="shared" si="693"/>
        <v>12</v>
      </c>
      <c r="N1327" s="72">
        <f t="shared" si="693"/>
        <v>0</v>
      </c>
      <c r="O1327" s="45"/>
      <c r="P1327" s="46">
        <f t="shared" ref="P1327" si="698">IF(F1327="","",1)</f>
        <v>1</v>
      </c>
      <c r="Q1327" s="47" t="str">
        <f t="shared" ref="Q1327" si="699">TEXT(IF(P1327=1,CONCATENATE($D1327,":",$E1327,":",(LEFT($F1327,2))),""),"hh:mm:ss")</f>
        <v>13:02:49</v>
      </c>
      <c r="R1327" s="48" t="str">
        <f t="shared" ref="R1327" si="700">TEXT(Q1327-TIME(0,RIGHT($H1327,2),$G$9)+(Q1327&gt;TIME(0,RIGHT($H1327,2),$G$9)),"mm:ss")</f>
        <v>02:49</v>
      </c>
      <c r="S1327" s="49">
        <f t="shared" ref="S1327" si="701">IF(T1327&lt;D1327, (T1327*3600+U1327*60+V1327)+((23*3600+59*60+60)-(D1327*3600+E1327*60+LEFT(F1327,2))), (T1327*3600+U1327*60+V1327)-(D1327*3600+E1327*60+LEFT(F1327,2)))</f>
        <v>112</v>
      </c>
      <c r="T1327" s="48" t="str">
        <f t="shared" ref="T1327" si="702">TEXT(IF(P1327=1,D1327,""),"00")</f>
        <v>13</v>
      </c>
      <c r="U1327" s="50">
        <v>4</v>
      </c>
      <c r="V1327" s="51">
        <v>41</v>
      </c>
      <c r="W1327" s="52" t="str">
        <f t="shared" ref="W1327" si="703">IF(O1327=0,TEXT(TIME(T1327,U1327,V1327)-TIME(D1327,E1327,RIGHT(F1327,2))+TIME(0,LEFT(R1327,2),RIGHT(R1327,2)),"mm:ss"),TEXT(TIME(T1327,U1327,V1327)-TIME(D1327,E1327,RIGHT(F1327,2))+TIME(0,LEFT(R1327,2),RIGHT(R1327,2))-TIME(0,($G$10*O1327),0),"mm:ss"))</f>
        <v>04:41</v>
      </c>
      <c r="X1327" s="53" t="s">
        <v>59</v>
      </c>
      <c r="Y1327" s="97" t="s">
        <v>78</v>
      </c>
      <c r="Z1327" s="97"/>
      <c r="AA1327" s="48" t="s">
        <v>60</v>
      </c>
      <c r="AB1327" s="48" t="str">
        <f t="shared" ref="AB1327" si="704">IF(AA1327&lt;&gt;0,"NA","")</f>
        <v>NA</v>
      </c>
      <c r="AC1327" s="54">
        <f t="shared" ref="AC1327" si="705">IF(SUM(AH1327,AJ1327,AL1327,AN1327,AP1327,AR1327,AT1327)=S1327,,"")</f>
        <v>0</v>
      </c>
      <c r="AD1327" s="55">
        <v>4</v>
      </c>
      <c r="AE1327" s="55"/>
      <c r="AF1327" s="55"/>
      <c r="AG1327" s="56">
        <v>1</v>
      </c>
      <c r="AH1327" s="57">
        <v>108</v>
      </c>
      <c r="AI1327" s="56">
        <v>1</v>
      </c>
      <c r="AJ1327" s="57">
        <v>4</v>
      </c>
      <c r="AK1327" s="56"/>
      <c r="AL1327" s="57"/>
      <c r="AM1327" s="56"/>
      <c r="AN1327" s="57" t="str">
        <f t="shared" ref="AN1327" si="706">IF(AM1327=1,$S1327,"")</f>
        <v/>
      </c>
      <c r="AO1327" s="56"/>
      <c r="AP1327" s="57" t="str">
        <f t="shared" ref="AP1327" si="707">IF(AO1327=1,$S1327,"")</f>
        <v/>
      </c>
      <c r="AQ1327" s="56"/>
      <c r="AR1327" s="57" t="str">
        <f t="shared" ref="AR1327" si="708">IF(AQ1327=1,$S1327,"")</f>
        <v/>
      </c>
      <c r="AS1327" s="56"/>
      <c r="AT1327" s="57" t="str">
        <f t="shared" ref="AT1327" si="709">IF(AS1327=1,$S1327,"")</f>
        <v/>
      </c>
      <c r="AU1327" s="58"/>
      <c r="AV1327" s="59"/>
      <c r="AW1327" s="59"/>
      <c r="AX1327" s="60"/>
      <c r="AY1327" s="61">
        <v>1</v>
      </c>
      <c r="AZ1327" s="62">
        <f t="shared" ref="AZ1327" si="710">IF(AY1327=1,AD1327,"")</f>
        <v>4</v>
      </c>
      <c r="BA1327" s="61">
        <f t="shared" ref="BA1327" si="711">IF(P1327=1,0,"")</f>
        <v>0</v>
      </c>
      <c r="BB1327" s="62" t="str">
        <f t="shared" ref="BB1327" si="712">IF(BA1327=1,AD1327,"")</f>
        <v/>
      </c>
    </row>
    <row r="1328" spans="1:54" s="3" customFormat="1" hidden="1" x14ac:dyDescent="0.35">
      <c r="A1328" s="73">
        <f>A1326</f>
        <v>2019</v>
      </c>
      <c r="B1328" s="73" t="str">
        <f>IF(C1326-C1328&gt;0, TEXT(DATE(2016,(MONTH(DATEVALUE(B1326&amp;"1"))+1),1),"mmm"), B1326)</f>
        <v>Nov</v>
      </c>
      <c r="C1328" s="74">
        <f>IF(AND(D1328=0, E1328=0), IF(TEXT(C1326,"dd")=TEXT(EOMONTH(DATE(A1326,MONTH(DATEVALUE(B1326&amp;"1")),C1326),0), "dd"), 1, C1326+1), C1326)</f>
        <v>17</v>
      </c>
      <c r="D1328" s="75">
        <f>IF(IF(E1326=59,D1326+1,D1326)=24,0,IF(E1326=59,D1326+1,D1326))</f>
        <v>13</v>
      </c>
      <c r="E1328" s="76">
        <f>IF(E1326&lt;59,E1326+1,0)</f>
        <v>3</v>
      </c>
      <c r="F1328" s="80">
        <v>2</v>
      </c>
      <c r="G1328" s="83"/>
      <c r="H1328" s="69" t="str">
        <f>IF(AND(OR(E1326=$G$3,E1326=$G$4,E1326=$G$5,E1326=$G$6,E1326=$G$7,E1326=$G$8),E1326&lt;&gt;RIGHT(H1326,2)),CONCATENATE(LEFT(J1328,3),LEFT(K1328,3),L1328,"_",A1328,TEXT(MONTH(DATEVALUE(B1328&amp;"1")),"00"),TEXT(C1328,"00"),"_",TEXT(D1328,"00"),"_",TEXT(E1326,"00")),IF(AND(OR(E1328=$G$3,E1328=$G$4,E1328=$G$5,E1328=$G$6,E1328=$G$7,E1328=$G$8),OR(F1328="",F1328&gt;$G$9-1)),CONCATENATE(LEFT(J1328,3),LEFT(K1328,3),L1328,"_",A1328,TEXT(MONTH(DATEVALUE(B1328&amp;"1")),"00"),TEXT(C1328,"00"),"_",TEXT(D1328,"00"),"_",TEXT(E1328,"00")),H1326))</f>
        <v>Senbur6_20191117_13_00</v>
      </c>
      <c r="I1328" s="70">
        <f t="shared" ref="I1328:N1328" si="713">I1326</f>
        <v>1</v>
      </c>
      <c r="J1328" s="77" t="str">
        <f t="shared" si="713"/>
        <v>Senecio</v>
      </c>
      <c r="K1328" s="77" t="str">
        <f t="shared" si="713"/>
        <v>burtoni</v>
      </c>
      <c r="L1328" s="78">
        <f t="shared" si="713"/>
        <v>6</v>
      </c>
      <c r="M1328" s="78">
        <f t="shared" si="713"/>
        <v>12</v>
      </c>
      <c r="N1328" s="72">
        <f t="shared" si="713"/>
        <v>0</v>
      </c>
      <c r="O1328" s="45"/>
      <c r="P1328" s="46">
        <f t="shared" si="647"/>
        <v>1</v>
      </c>
      <c r="Q1328" s="47" t="str">
        <f t="shared" si="648"/>
        <v>13:03:02</v>
      </c>
      <c r="R1328" s="48" t="str">
        <f t="shared" si="649"/>
        <v>03:02</v>
      </c>
      <c r="S1328" s="49">
        <f t="shared" si="642"/>
        <v>6</v>
      </c>
      <c r="T1328" s="48" t="str">
        <f t="shared" si="650"/>
        <v>13</v>
      </c>
      <c r="U1328" s="50">
        <v>3</v>
      </c>
      <c r="V1328" s="51">
        <v>8</v>
      </c>
      <c r="W1328" s="52" t="str">
        <f t="shared" si="651"/>
        <v>03:08</v>
      </c>
      <c r="X1328" s="53" t="s">
        <v>61</v>
      </c>
      <c r="Y1328" s="97" t="s">
        <v>96</v>
      </c>
      <c r="Z1328" s="97" t="s">
        <v>80</v>
      </c>
      <c r="AA1328" s="48" t="s">
        <v>60</v>
      </c>
      <c r="AB1328" s="48" t="str">
        <f t="shared" si="652"/>
        <v>NA</v>
      </c>
      <c r="AC1328" s="54">
        <f t="shared" si="653"/>
        <v>0</v>
      </c>
      <c r="AD1328" s="55">
        <f t="shared" si="663"/>
        <v>1</v>
      </c>
      <c r="AE1328" s="55"/>
      <c r="AF1328" s="55"/>
      <c r="AG1328" s="56">
        <v>1</v>
      </c>
      <c r="AH1328" s="57">
        <v>4</v>
      </c>
      <c r="AI1328" s="56"/>
      <c r="AJ1328" s="57" t="str">
        <f t="shared" si="665"/>
        <v/>
      </c>
      <c r="AK1328" s="56">
        <v>1</v>
      </c>
      <c r="AL1328" s="57">
        <v>2</v>
      </c>
      <c r="AM1328" s="56"/>
      <c r="AN1328" s="57" t="str">
        <f t="shared" si="654"/>
        <v/>
      </c>
      <c r="AO1328" s="56"/>
      <c r="AP1328" s="57" t="str">
        <f t="shared" si="655"/>
        <v/>
      </c>
      <c r="AQ1328" s="56"/>
      <c r="AR1328" s="57" t="str">
        <f t="shared" si="656"/>
        <v/>
      </c>
      <c r="AS1328" s="56"/>
      <c r="AT1328" s="57" t="str">
        <f t="shared" si="657"/>
        <v/>
      </c>
      <c r="AU1328" s="58"/>
      <c r="AV1328" s="59"/>
      <c r="AW1328" s="59"/>
      <c r="AX1328" s="60"/>
      <c r="AY1328" s="61">
        <v>1</v>
      </c>
      <c r="AZ1328" s="62">
        <f t="shared" si="667"/>
        <v>1</v>
      </c>
      <c r="BA1328" s="61">
        <f t="shared" si="658"/>
        <v>0</v>
      </c>
      <c r="BB1328" s="62" t="str">
        <f t="shared" si="659"/>
        <v/>
      </c>
    </row>
    <row r="1329" spans="1:54" s="3" customFormat="1" hidden="1" x14ac:dyDescent="0.35">
      <c r="A1329" s="73">
        <f t="shared" si="643"/>
        <v>2019</v>
      </c>
      <c r="B1329" s="73" t="str">
        <f t="shared" si="644"/>
        <v>Nov</v>
      </c>
      <c r="C1329" s="74">
        <f t="shared" si="660"/>
        <v>17</v>
      </c>
      <c r="D1329" s="75">
        <f t="shared" si="645"/>
        <v>13</v>
      </c>
      <c r="E1329" s="76">
        <f t="shared" si="646"/>
        <v>4</v>
      </c>
      <c r="F1329" s="80">
        <v>24</v>
      </c>
      <c r="G1329" s="83"/>
      <c r="H1329" s="69" t="str">
        <f t="shared" si="661"/>
        <v>Senbur6_20191117_13_00</v>
      </c>
      <c r="I1329" s="70">
        <f t="shared" si="693"/>
        <v>1</v>
      </c>
      <c r="J1329" s="77" t="str">
        <f t="shared" si="693"/>
        <v>Senecio</v>
      </c>
      <c r="K1329" s="77" t="str">
        <f t="shared" si="693"/>
        <v>burtoni</v>
      </c>
      <c r="L1329" s="78">
        <f t="shared" si="693"/>
        <v>6</v>
      </c>
      <c r="M1329" s="78">
        <f t="shared" si="693"/>
        <v>12</v>
      </c>
      <c r="N1329" s="72">
        <f t="shared" si="693"/>
        <v>0</v>
      </c>
      <c r="O1329" s="45"/>
      <c r="P1329" s="46">
        <f t="shared" si="647"/>
        <v>1</v>
      </c>
      <c r="Q1329" s="47" t="str">
        <f t="shared" si="648"/>
        <v>13:04:24</v>
      </c>
      <c r="R1329" s="48" t="str">
        <f t="shared" si="649"/>
        <v>04:24</v>
      </c>
      <c r="S1329" s="49">
        <f t="shared" si="642"/>
        <v>62</v>
      </c>
      <c r="T1329" s="48" t="str">
        <f t="shared" si="650"/>
        <v>13</v>
      </c>
      <c r="U1329" s="50">
        <v>5</v>
      </c>
      <c r="V1329" s="51">
        <v>26</v>
      </c>
      <c r="W1329" s="52" t="str">
        <f t="shared" si="651"/>
        <v>05:26</v>
      </c>
      <c r="X1329" s="53" t="s">
        <v>73</v>
      </c>
      <c r="Y1329" s="97" t="s">
        <v>89</v>
      </c>
      <c r="Z1329" s="97" t="s">
        <v>80</v>
      </c>
      <c r="AA1329" s="48" t="s">
        <v>63</v>
      </c>
      <c r="AB1329" s="48" t="str">
        <f t="shared" si="652"/>
        <v>NA</v>
      </c>
      <c r="AC1329" s="54">
        <f t="shared" si="653"/>
        <v>0</v>
      </c>
      <c r="AD1329" s="55">
        <f t="shared" si="663"/>
        <v>1</v>
      </c>
      <c r="AE1329" s="55"/>
      <c r="AF1329" s="55"/>
      <c r="AG1329" s="56" t="str">
        <f t="shared" si="668"/>
        <v/>
      </c>
      <c r="AH1329" s="57" t="str">
        <f t="shared" si="664"/>
        <v/>
      </c>
      <c r="AI1329" s="56"/>
      <c r="AJ1329" s="57" t="str">
        <f t="shared" si="665"/>
        <v/>
      </c>
      <c r="AK1329" s="56">
        <v>1</v>
      </c>
      <c r="AL1329" s="57">
        <f t="shared" si="666"/>
        <v>62</v>
      </c>
      <c r="AM1329" s="56"/>
      <c r="AN1329" s="57" t="str">
        <f t="shared" si="654"/>
        <v/>
      </c>
      <c r="AO1329" s="56"/>
      <c r="AP1329" s="57" t="str">
        <f t="shared" si="655"/>
        <v/>
      </c>
      <c r="AQ1329" s="56"/>
      <c r="AR1329" s="57" t="str">
        <f t="shared" si="656"/>
        <v/>
      </c>
      <c r="AS1329" s="56"/>
      <c r="AT1329" s="57" t="str">
        <f t="shared" si="657"/>
        <v/>
      </c>
      <c r="AU1329" s="58"/>
      <c r="AV1329" s="59"/>
      <c r="AW1329" s="59"/>
      <c r="AX1329" s="60"/>
      <c r="AY1329" s="61">
        <v>1</v>
      </c>
      <c r="AZ1329" s="62">
        <f t="shared" si="667"/>
        <v>1</v>
      </c>
      <c r="BA1329" s="61">
        <f t="shared" si="658"/>
        <v>0</v>
      </c>
      <c r="BB1329" s="62" t="str">
        <f t="shared" si="659"/>
        <v/>
      </c>
    </row>
    <row r="1330" spans="1:54" s="3" customFormat="1" hidden="1" x14ac:dyDescent="0.35">
      <c r="A1330" s="73">
        <f t="shared" si="643"/>
        <v>2019</v>
      </c>
      <c r="B1330" s="73" t="str">
        <f t="shared" si="644"/>
        <v>Nov</v>
      </c>
      <c r="C1330" s="74">
        <f t="shared" si="660"/>
        <v>17</v>
      </c>
      <c r="D1330" s="75">
        <f t="shared" si="645"/>
        <v>13</v>
      </c>
      <c r="E1330" s="76">
        <f t="shared" si="646"/>
        <v>5</v>
      </c>
      <c r="F1330" s="80"/>
      <c r="G1330" s="83"/>
      <c r="H1330" s="69" t="str">
        <f t="shared" si="661"/>
        <v>Senbur6_20191117_13_00</v>
      </c>
      <c r="I1330" s="70">
        <f t="shared" si="693"/>
        <v>1</v>
      </c>
      <c r="J1330" s="77" t="str">
        <f t="shared" si="693"/>
        <v>Senecio</v>
      </c>
      <c r="K1330" s="77" t="str">
        <f t="shared" si="693"/>
        <v>burtoni</v>
      </c>
      <c r="L1330" s="78">
        <f t="shared" si="693"/>
        <v>6</v>
      </c>
      <c r="M1330" s="78">
        <f t="shared" si="693"/>
        <v>12</v>
      </c>
      <c r="N1330" s="72">
        <f t="shared" si="693"/>
        <v>0</v>
      </c>
      <c r="O1330" s="45"/>
      <c r="P1330" s="46" t="str">
        <f t="shared" si="647"/>
        <v/>
      </c>
      <c r="Q1330" s="47" t="str">
        <f t="shared" si="648"/>
        <v/>
      </c>
      <c r="R1330" s="48" t="e">
        <f t="shared" si="649"/>
        <v>#VALUE!</v>
      </c>
      <c r="S1330" s="49" t="e">
        <f t="shared" si="642"/>
        <v>#VALUE!</v>
      </c>
      <c r="T1330" s="48" t="str">
        <f t="shared" si="650"/>
        <v/>
      </c>
      <c r="U1330" s="50"/>
      <c r="V1330" s="51"/>
      <c r="W1330" s="52" t="e">
        <f t="shared" si="651"/>
        <v>#VALUE!</v>
      </c>
      <c r="X1330" s="53"/>
      <c r="Y1330" s="53"/>
      <c r="Z1330" s="53"/>
      <c r="AA1330" s="48" t="e">
        <f>INDEX([1]!VISITORS[INSECT ORDER], MATCH(X1330,[1]!VISITORS[NAME USED],0))</f>
        <v>#REF!</v>
      </c>
      <c r="AB1330" s="48" t="e">
        <f t="shared" si="652"/>
        <v>#REF!</v>
      </c>
      <c r="AC1330" s="54" t="e">
        <f t="shared" si="653"/>
        <v>#VALUE!</v>
      </c>
      <c r="AD1330" s="55" t="str">
        <f t="shared" si="663"/>
        <v/>
      </c>
      <c r="AE1330" s="55"/>
      <c r="AF1330" s="55"/>
      <c r="AG1330" s="56" t="str">
        <f t="shared" si="668"/>
        <v/>
      </c>
      <c r="AH1330" s="57" t="str">
        <f t="shared" si="664"/>
        <v/>
      </c>
      <c r="AI1330" s="56"/>
      <c r="AJ1330" s="57" t="str">
        <f t="shared" si="665"/>
        <v/>
      </c>
      <c r="AK1330" s="56"/>
      <c r="AL1330" s="57" t="str">
        <f t="shared" si="666"/>
        <v/>
      </c>
      <c r="AM1330" s="56"/>
      <c r="AN1330" s="57" t="str">
        <f t="shared" si="654"/>
        <v/>
      </c>
      <c r="AO1330" s="56"/>
      <c r="AP1330" s="57" t="str">
        <f t="shared" si="655"/>
        <v/>
      </c>
      <c r="AQ1330" s="56"/>
      <c r="AR1330" s="57" t="str">
        <f t="shared" si="656"/>
        <v/>
      </c>
      <c r="AS1330" s="56"/>
      <c r="AT1330" s="57" t="str">
        <f t="shared" si="657"/>
        <v/>
      </c>
      <c r="AU1330" s="58"/>
      <c r="AV1330" s="59"/>
      <c r="AW1330" s="59"/>
      <c r="AX1330" s="60"/>
      <c r="AY1330" s="61" t="str">
        <f t="shared" si="669"/>
        <v/>
      </c>
      <c r="AZ1330" s="62" t="str">
        <f t="shared" si="667"/>
        <v/>
      </c>
      <c r="BA1330" s="61" t="str">
        <f t="shared" si="658"/>
        <v/>
      </c>
      <c r="BB1330" s="62" t="str">
        <f t="shared" si="659"/>
        <v/>
      </c>
    </row>
    <row r="1331" spans="1:54" s="3" customFormat="1" hidden="1" x14ac:dyDescent="0.35">
      <c r="A1331" s="73">
        <f t="shared" si="643"/>
        <v>2019</v>
      </c>
      <c r="B1331" s="73" t="str">
        <f t="shared" si="644"/>
        <v>Nov</v>
      </c>
      <c r="C1331" s="74">
        <f t="shared" si="660"/>
        <v>17</v>
      </c>
      <c r="D1331" s="75">
        <f t="shared" si="645"/>
        <v>13</v>
      </c>
      <c r="E1331" s="76">
        <f t="shared" si="646"/>
        <v>6</v>
      </c>
      <c r="F1331" s="80"/>
      <c r="G1331" s="83"/>
      <c r="H1331" s="69" t="str">
        <f t="shared" si="661"/>
        <v>Senbur6_20191117_13_00</v>
      </c>
      <c r="I1331" s="70">
        <f t="shared" si="693"/>
        <v>1</v>
      </c>
      <c r="J1331" s="77" t="str">
        <f t="shared" si="693"/>
        <v>Senecio</v>
      </c>
      <c r="K1331" s="77" t="str">
        <f t="shared" si="693"/>
        <v>burtoni</v>
      </c>
      <c r="L1331" s="78">
        <f t="shared" si="693"/>
        <v>6</v>
      </c>
      <c r="M1331" s="78">
        <f t="shared" si="693"/>
        <v>12</v>
      </c>
      <c r="N1331" s="72">
        <f t="shared" si="693"/>
        <v>0</v>
      </c>
      <c r="O1331" s="45"/>
      <c r="P1331" s="46" t="str">
        <f t="shared" si="647"/>
        <v/>
      </c>
      <c r="Q1331" s="47" t="str">
        <f t="shared" si="648"/>
        <v/>
      </c>
      <c r="R1331" s="48" t="e">
        <f t="shared" si="649"/>
        <v>#VALUE!</v>
      </c>
      <c r="S1331" s="49" t="e">
        <f t="shared" si="642"/>
        <v>#VALUE!</v>
      </c>
      <c r="T1331" s="48" t="str">
        <f t="shared" si="650"/>
        <v/>
      </c>
      <c r="U1331" s="50"/>
      <c r="V1331" s="51"/>
      <c r="W1331" s="52" t="e">
        <f t="shared" si="651"/>
        <v>#VALUE!</v>
      </c>
      <c r="X1331" s="53"/>
      <c r="Y1331" s="53"/>
      <c r="Z1331" s="53"/>
      <c r="AA1331" s="48" t="e">
        <f>INDEX([1]!VISITORS[INSECT ORDER], MATCH(X1331,[1]!VISITORS[NAME USED],0))</f>
        <v>#REF!</v>
      </c>
      <c r="AB1331" s="48" t="e">
        <f t="shared" si="652"/>
        <v>#REF!</v>
      </c>
      <c r="AC1331" s="54" t="e">
        <f t="shared" si="653"/>
        <v>#VALUE!</v>
      </c>
      <c r="AD1331" s="55" t="str">
        <f t="shared" si="663"/>
        <v/>
      </c>
      <c r="AE1331" s="55"/>
      <c r="AF1331" s="55"/>
      <c r="AG1331" s="56" t="str">
        <f t="shared" si="668"/>
        <v/>
      </c>
      <c r="AH1331" s="57" t="str">
        <f t="shared" si="664"/>
        <v/>
      </c>
      <c r="AI1331" s="56"/>
      <c r="AJ1331" s="57" t="str">
        <f t="shared" si="665"/>
        <v/>
      </c>
      <c r="AK1331" s="56"/>
      <c r="AL1331" s="57" t="str">
        <f t="shared" si="666"/>
        <v/>
      </c>
      <c r="AM1331" s="56"/>
      <c r="AN1331" s="57" t="str">
        <f t="shared" si="654"/>
        <v/>
      </c>
      <c r="AO1331" s="56"/>
      <c r="AP1331" s="57" t="str">
        <f t="shared" si="655"/>
        <v/>
      </c>
      <c r="AQ1331" s="56"/>
      <c r="AR1331" s="57" t="str">
        <f t="shared" si="656"/>
        <v/>
      </c>
      <c r="AS1331" s="56"/>
      <c r="AT1331" s="57" t="str">
        <f t="shared" si="657"/>
        <v/>
      </c>
      <c r="AU1331" s="58"/>
      <c r="AV1331" s="59"/>
      <c r="AW1331" s="59"/>
      <c r="AX1331" s="60"/>
      <c r="AY1331" s="61" t="str">
        <f t="shared" si="669"/>
        <v/>
      </c>
      <c r="AZ1331" s="62" t="str">
        <f t="shared" si="667"/>
        <v/>
      </c>
      <c r="BA1331" s="61" t="str">
        <f t="shared" si="658"/>
        <v/>
      </c>
      <c r="BB1331" s="62" t="str">
        <f t="shared" si="659"/>
        <v/>
      </c>
    </row>
    <row r="1332" spans="1:54" s="3" customFormat="1" hidden="1" x14ac:dyDescent="0.35">
      <c r="A1332" s="73">
        <f t="shared" si="643"/>
        <v>2019</v>
      </c>
      <c r="B1332" s="73" t="str">
        <f t="shared" si="644"/>
        <v>Nov</v>
      </c>
      <c r="C1332" s="74">
        <f t="shared" si="660"/>
        <v>17</v>
      </c>
      <c r="D1332" s="75">
        <f t="shared" si="645"/>
        <v>13</v>
      </c>
      <c r="E1332" s="76">
        <f t="shared" si="646"/>
        <v>7</v>
      </c>
      <c r="F1332" s="80"/>
      <c r="G1332" s="83"/>
      <c r="H1332" s="69" t="str">
        <f t="shared" si="661"/>
        <v>Senbur6_20191117_13_00</v>
      </c>
      <c r="I1332" s="70">
        <f t="shared" si="693"/>
        <v>1</v>
      </c>
      <c r="J1332" s="77" t="str">
        <f t="shared" si="693"/>
        <v>Senecio</v>
      </c>
      <c r="K1332" s="77" t="str">
        <f t="shared" si="693"/>
        <v>burtoni</v>
      </c>
      <c r="L1332" s="78">
        <f t="shared" si="693"/>
        <v>6</v>
      </c>
      <c r="M1332" s="78">
        <f t="shared" si="693"/>
        <v>12</v>
      </c>
      <c r="N1332" s="72">
        <f t="shared" si="693"/>
        <v>0</v>
      </c>
      <c r="O1332" s="45"/>
      <c r="P1332" s="46" t="str">
        <f t="shared" si="647"/>
        <v/>
      </c>
      <c r="Q1332" s="47" t="str">
        <f t="shared" si="648"/>
        <v/>
      </c>
      <c r="R1332" s="48" t="e">
        <f t="shared" si="649"/>
        <v>#VALUE!</v>
      </c>
      <c r="S1332" s="49" t="e">
        <f t="shared" si="642"/>
        <v>#VALUE!</v>
      </c>
      <c r="T1332" s="48" t="str">
        <f t="shared" si="650"/>
        <v/>
      </c>
      <c r="U1332" s="50"/>
      <c r="V1332" s="51"/>
      <c r="W1332" s="52" t="e">
        <f t="shared" si="651"/>
        <v>#VALUE!</v>
      </c>
      <c r="X1332" s="53"/>
      <c r="Y1332" s="53"/>
      <c r="Z1332" s="53"/>
      <c r="AA1332" s="48" t="e">
        <f>INDEX([1]!VISITORS[INSECT ORDER], MATCH(X1332,[1]!VISITORS[NAME USED],0))</f>
        <v>#REF!</v>
      </c>
      <c r="AB1332" s="48" t="e">
        <f t="shared" si="652"/>
        <v>#REF!</v>
      </c>
      <c r="AC1332" s="54" t="e">
        <f t="shared" si="653"/>
        <v>#VALUE!</v>
      </c>
      <c r="AD1332" s="55" t="str">
        <f t="shared" si="663"/>
        <v/>
      </c>
      <c r="AE1332" s="55"/>
      <c r="AF1332" s="55"/>
      <c r="AG1332" s="56" t="str">
        <f t="shared" si="668"/>
        <v/>
      </c>
      <c r="AH1332" s="57" t="str">
        <f t="shared" si="664"/>
        <v/>
      </c>
      <c r="AI1332" s="56"/>
      <c r="AJ1332" s="57" t="str">
        <f t="shared" si="665"/>
        <v/>
      </c>
      <c r="AK1332" s="56"/>
      <c r="AL1332" s="57" t="str">
        <f t="shared" si="666"/>
        <v/>
      </c>
      <c r="AM1332" s="56"/>
      <c r="AN1332" s="57" t="str">
        <f t="shared" si="654"/>
        <v/>
      </c>
      <c r="AO1332" s="56"/>
      <c r="AP1332" s="57" t="str">
        <f t="shared" si="655"/>
        <v/>
      </c>
      <c r="AQ1332" s="56"/>
      <c r="AR1332" s="57" t="str">
        <f t="shared" si="656"/>
        <v/>
      </c>
      <c r="AS1332" s="56"/>
      <c r="AT1332" s="57" t="str">
        <f t="shared" si="657"/>
        <v/>
      </c>
      <c r="AU1332" s="58"/>
      <c r="AV1332" s="59"/>
      <c r="AW1332" s="59"/>
      <c r="AX1332" s="60"/>
      <c r="AY1332" s="61" t="str">
        <f t="shared" si="669"/>
        <v/>
      </c>
      <c r="AZ1332" s="62" t="str">
        <f t="shared" si="667"/>
        <v/>
      </c>
      <c r="BA1332" s="61" t="str">
        <f t="shared" si="658"/>
        <v/>
      </c>
      <c r="BB1332" s="62" t="str">
        <f t="shared" si="659"/>
        <v/>
      </c>
    </row>
    <row r="1333" spans="1:54" s="3" customFormat="1" hidden="1" x14ac:dyDescent="0.35">
      <c r="A1333" s="73">
        <f t="shared" si="643"/>
        <v>2019</v>
      </c>
      <c r="B1333" s="73" t="str">
        <f t="shared" si="644"/>
        <v>Nov</v>
      </c>
      <c r="C1333" s="74">
        <f t="shared" si="660"/>
        <v>17</v>
      </c>
      <c r="D1333" s="75">
        <f t="shared" si="645"/>
        <v>13</v>
      </c>
      <c r="E1333" s="76">
        <f t="shared" si="646"/>
        <v>8</v>
      </c>
      <c r="F1333" s="80">
        <v>12</v>
      </c>
      <c r="G1333" s="83"/>
      <c r="H1333" s="69" t="str">
        <f t="shared" si="661"/>
        <v>Senbur6_20191117_13_00</v>
      </c>
      <c r="I1333" s="70">
        <f t="shared" si="693"/>
        <v>1</v>
      </c>
      <c r="J1333" s="77" t="str">
        <f t="shared" si="693"/>
        <v>Senecio</v>
      </c>
      <c r="K1333" s="77" t="str">
        <f t="shared" si="693"/>
        <v>burtoni</v>
      </c>
      <c r="L1333" s="78">
        <f t="shared" si="693"/>
        <v>6</v>
      </c>
      <c r="M1333" s="78">
        <f t="shared" si="693"/>
        <v>12</v>
      </c>
      <c r="N1333" s="72">
        <f t="shared" si="693"/>
        <v>0</v>
      </c>
      <c r="O1333" s="45"/>
      <c r="P1333" s="46">
        <f t="shared" si="647"/>
        <v>1</v>
      </c>
      <c r="Q1333" s="47" t="str">
        <f t="shared" si="648"/>
        <v>13:08:12</v>
      </c>
      <c r="R1333" s="48" t="str">
        <f t="shared" si="649"/>
        <v>08:12</v>
      </c>
      <c r="S1333" s="49">
        <f t="shared" si="642"/>
        <v>15</v>
      </c>
      <c r="T1333" s="48" t="str">
        <f t="shared" si="650"/>
        <v>13</v>
      </c>
      <c r="U1333" s="50">
        <v>8</v>
      </c>
      <c r="V1333" s="51">
        <v>27</v>
      </c>
      <c r="W1333" s="52" t="str">
        <f t="shared" si="651"/>
        <v>08:27</v>
      </c>
      <c r="X1333" s="53" t="s">
        <v>61</v>
      </c>
      <c r="Y1333" s="97" t="s">
        <v>79</v>
      </c>
      <c r="Z1333" s="97" t="s">
        <v>80</v>
      </c>
      <c r="AA1333" s="48" t="s">
        <v>60</v>
      </c>
      <c r="AB1333" s="48" t="str">
        <f t="shared" si="652"/>
        <v>NA</v>
      </c>
      <c r="AC1333" s="54">
        <f t="shared" si="653"/>
        <v>0</v>
      </c>
      <c r="AD1333" s="55">
        <v>3</v>
      </c>
      <c r="AE1333" s="55"/>
      <c r="AF1333" s="55"/>
      <c r="AG1333" s="56">
        <v>1</v>
      </c>
      <c r="AH1333" s="57">
        <v>11</v>
      </c>
      <c r="AI1333" s="56"/>
      <c r="AJ1333" s="57" t="str">
        <f t="shared" si="665"/>
        <v/>
      </c>
      <c r="AK1333" s="56">
        <v>1</v>
      </c>
      <c r="AL1333" s="57">
        <v>4</v>
      </c>
      <c r="AM1333" s="56"/>
      <c r="AN1333" s="57" t="str">
        <f t="shared" si="654"/>
        <v/>
      </c>
      <c r="AO1333" s="56"/>
      <c r="AP1333" s="57" t="str">
        <f t="shared" si="655"/>
        <v/>
      </c>
      <c r="AQ1333" s="56"/>
      <c r="AR1333" s="57" t="str">
        <f t="shared" si="656"/>
        <v/>
      </c>
      <c r="AS1333" s="56"/>
      <c r="AT1333" s="57" t="str">
        <f t="shared" si="657"/>
        <v/>
      </c>
      <c r="AU1333" s="58"/>
      <c r="AV1333" s="59"/>
      <c r="AW1333" s="59"/>
      <c r="AX1333" s="60"/>
      <c r="AY1333" s="61">
        <v>1</v>
      </c>
      <c r="AZ1333" s="62">
        <f t="shared" si="667"/>
        <v>3</v>
      </c>
      <c r="BA1333" s="61">
        <f t="shared" si="658"/>
        <v>0</v>
      </c>
      <c r="BB1333" s="62" t="str">
        <f t="shared" si="659"/>
        <v/>
      </c>
    </row>
    <row r="1334" spans="1:54" s="3" customFormat="1" hidden="1" x14ac:dyDescent="0.35">
      <c r="A1334" s="73">
        <f t="shared" si="643"/>
        <v>2019</v>
      </c>
      <c r="B1334" s="73" t="str">
        <f t="shared" si="644"/>
        <v>Nov</v>
      </c>
      <c r="C1334" s="74">
        <f t="shared" si="660"/>
        <v>17</v>
      </c>
      <c r="D1334" s="75">
        <f t="shared" si="645"/>
        <v>13</v>
      </c>
      <c r="E1334" s="76">
        <f t="shared" si="646"/>
        <v>9</v>
      </c>
      <c r="F1334" s="80"/>
      <c r="G1334" s="83"/>
      <c r="H1334" s="69" t="str">
        <f t="shared" si="661"/>
        <v>Senbur6_20191117_13_00</v>
      </c>
      <c r="I1334" s="70">
        <f t="shared" si="693"/>
        <v>1</v>
      </c>
      <c r="J1334" s="77" t="str">
        <f t="shared" si="693"/>
        <v>Senecio</v>
      </c>
      <c r="K1334" s="77" t="str">
        <f t="shared" si="693"/>
        <v>burtoni</v>
      </c>
      <c r="L1334" s="78">
        <f t="shared" si="693"/>
        <v>6</v>
      </c>
      <c r="M1334" s="78">
        <f t="shared" si="693"/>
        <v>12</v>
      </c>
      <c r="N1334" s="72">
        <f t="shared" si="693"/>
        <v>0</v>
      </c>
      <c r="O1334" s="45"/>
      <c r="P1334" s="46" t="str">
        <f t="shared" si="647"/>
        <v/>
      </c>
      <c r="Q1334" s="47" t="str">
        <f t="shared" si="648"/>
        <v/>
      </c>
      <c r="R1334" s="48" t="e">
        <f t="shared" si="649"/>
        <v>#VALUE!</v>
      </c>
      <c r="S1334" s="49" t="e">
        <f t="shared" si="642"/>
        <v>#VALUE!</v>
      </c>
      <c r="T1334" s="48" t="str">
        <f t="shared" si="650"/>
        <v/>
      </c>
      <c r="U1334" s="50"/>
      <c r="V1334" s="51"/>
      <c r="W1334" s="52" t="e">
        <f t="shared" si="651"/>
        <v>#VALUE!</v>
      </c>
      <c r="X1334" s="53"/>
      <c r="Y1334" s="53"/>
      <c r="Z1334" s="53"/>
      <c r="AA1334" s="48" t="e">
        <f>INDEX([1]!VISITORS[INSECT ORDER], MATCH(X1334,[1]!VISITORS[NAME USED],0))</f>
        <v>#REF!</v>
      </c>
      <c r="AB1334" s="48" t="e">
        <f t="shared" si="652"/>
        <v>#REF!</v>
      </c>
      <c r="AC1334" s="54" t="e">
        <f t="shared" si="653"/>
        <v>#VALUE!</v>
      </c>
      <c r="AD1334" s="55" t="str">
        <f t="shared" si="663"/>
        <v/>
      </c>
      <c r="AE1334" s="55"/>
      <c r="AF1334" s="55"/>
      <c r="AG1334" s="56" t="str">
        <f t="shared" si="668"/>
        <v/>
      </c>
      <c r="AH1334" s="57" t="str">
        <f t="shared" si="664"/>
        <v/>
      </c>
      <c r="AI1334" s="56"/>
      <c r="AJ1334" s="57" t="str">
        <f t="shared" si="665"/>
        <v/>
      </c>
      <c r="AK1334" s="56"/>
      <c r="AL1334" s="57" t="str">
        <f t="shared" si="666"/>
        <v/>
      </c>
      <c r="AM1334" s="56"/>
      <c r="AN1334" s="57" t="str">
        <f t="shared" si="654"/>
        <v/>
      </c>
      <c r="AO1334" s="56"/>
      <c r="AP1334" s="57" t="str">
        <f t="shared" si="655"/>
        <v/>
      </c>
      <c r="AQ1334" s="56"/>
      <c r="AR1334" s="57" t="str">
        <f t="shared" si="656"/>
        <v/>
      </c>
      <c r="AS1334" s="56"/>
      <c r="AT1334" s="57" t="str">
        <f t="shared" si="657"/>
        <v/>
      </c>
      <c r="AU1334" s="58"/>
      <c r="AV1334" s="59"/>
      <c r="AW1334" s="59"/>
      <c r="AX1334" s="60"/>
      <c r="AY1334" s="61" t="str">
        <f t="shared" si="669"/>
        <v/>
      </c>
      <c r="AZ1334" s="62" t="str">
        <f t="shared" si="667"/>
        <v/>
      </c>
      <c r="BA1334" s="61" t="str">
        <f t="shared" si="658"/>
        <v/>
      </c>
      <c r="BB1334" s="62" t="str">
        <f t="shared" si="659"/>
        <v/>
      </c>
    </row>
    <row r="1335" spans="1:54" s="3" customFormat="1" hidden="1" x14ac:dyDescent="0.35">
      <c r="A1335" s="73">
        <f t="shared" si="643"/>
        <v>2019</v>
      </c>
      <c r="B1335" s="73" t="str">
        <f t="shared" si="644"/>
        <v>Nov</v>
      </c>
      <c r="C1335" s="74">
        <f t="shared" si="660"/>
        <v>17</v>
      </c>
      <c r="D1335" s="75">
        <f t="shared" si="645"/>
        <v>13</v>
      </c>
      <c r="E1335" s="76">
        <f t="shared" si="646"/>
        <v>10</v>
      </c>
      <c r="F1335" s="80"/>
      <c r="G1335" s="83"/>
      <c r="H1335" s="69" t="str">
        <f t="shared" si="661"/>
        <v>Senbur6_20191117_13_00</v>
      </c>
      <c r="I1335" s="70">
        <f t="shared" si="693"/>
        <v>1</v>
      </c>
      <c r="J1335" s="77" t="str">
        <f t="shared" si="693"/>
        <v>Senecio</v>
      </c>
      <c r="K1335" s="77" t="str">
        <f t="shared" si="693"/>
        <v>burtoni</v>
      </c>
      <c r="L1335" s="78">
        <f t="shared" si="693"/>
        <v>6</v>
      </c>
      <c r="M1335" s="78">
        <f t="shared" si="693"/>
        <v>12</v>
      </c>
      <c r="N1335" s="72">
        <f t="shared" si="693"/>
        <v>0</v>
      </c>
      <c r="O1335" s="45"/>
      <c r="P1335" s="46" t="str">
        <f t="shared" si="647"/>
        <v/>
      </c>
      <c r="Q1335" s="47" t="str">
        <f t="shared" si="648"/>
        <v/>
      </c>
      <c r="R1335" s="48" t="e">
        <f t="shared" si="649"/>
        <v>#VALUE!</v>
      </c>
      <c r="S1335" s="49" t="e">
        <f t="shared" si="642"/>
        <v>#VALUE!</v>
      </c>
      <c r="T1335" s="48" t="str">
        <f t="shared" si="650"/>
        <v/>
      </c>
      <c r="U1335" s="50"/>
      <c r="V1335" s="51"/>
      <c r="W1335" s="52" t="e">
        <f t="shared" si="651"/>
        <v>#VALUE!</v>
      </c>
      <c r="X1335" s="53"/>
      <c r="Y1335" s="53"/>
      <c r="Z1335" s="53"/>
      <c r="AA1335" s="48" t="e">
        <f>INDEX([1]!VISITORS[INSECT ORDER], MATCH(X1335,[1]!VISITORS[NAME USED],0))</f>
        <v>#REF!</v>
      </c>
      <c r="AB1335" s="48" t="e">
        <f t="shared" si="652"/>
        <v>#REF!</v>
      </c>
      <c r="AC1335" s="54" t="e">
        <f t="shared" si="653"/>
        <v>#VALUE!</v>
      </c>
      <c r="AD1335" s="55" t="str">
        <f t="shared" si="663"/>
        <v/>
      </c>
      <c r="AE1335" s="55"/>
      <c r="AF1335" s="55"/>
      <c r="AG1335" s="56" t="str">
        <f t="shared" si="668"/>
        <v/>
      </c>
      <c r="AH1335" s="57" t="str">
        <f t="shared" si="664"/>
        <v/>
      </c>
      <c r="AI1335" s="56"/>
      <c r="AJ1335" s="57" t="str">
        <f t="shared" si="665"/>
        <v/>
      </c>
      <c r="AK1335" s="56"/>
      <c r="AL1335" s="57" t="str">
        <f t="shared" si="666"/>
        <v/>
      </c>
      <c r="AM1335" s="56"/>
      <c r="AN1335" s="57" t="str">
        <f t="shared" si="654"/>
        <v/>
      </c>
      <c r="AO1335" s="56"/>
      <c r="AP1335" s="57" t="str">
        <f t="shared" si="655"/>
        <v/>
      </c>
      <c r="AQ1335" s="56"/>
      <c r="AR1335" s="57" t="str">
        <f t="shared" si="656"/>
        <v/>
      </c>
      <c r="AS1335" s="56"/>
      <c r="AT1335" s="57" t="str">
        <f t="shared" si="657"/>
        <v/>
      </c>
      <c r="AU1335" s="58"/>
      <c r="AV1335" s="59"/>
      <c r="AW1335" s="59"/>
      <c r="AX1335" s="60"/>
      <c r="AY1335" s="61" t="str">
        <f t="shared" si="669"/>
        <v/>
      </c>
      <c r="AZ1335" s="62" t="str">
        <f t="shared" si="667"/>
        <v/>
      </c>
      <c r="BA1335" s="61" t="str">
        <f t="shared" si="658"/>
        <v/>
      </c>
      <c r="BB1335" s="62" t="str">
        <f t="shared" si="659"/>
        <v/>
      </c>
    </row>
    <row r="1336" spans="1:54" s="3" customFormat="1" hidden="1" x14ac:dyDescent="0.35">
      <c r="A1336" s="73">
        <f t="shared" si="643"/>
        <v>2019</v>
      </c>
      <c r="B1336" s="73" t="str">
        <f t="shared" si="644"/>
        <v>Nov</v>
      </c>
      <c r="C1336" s="74">
        <f t="shared" si="660"/>
        <v>17</v>
      </c>
      <c r="D1336" s="75">
        <f t="shared" si="645"/>
        <v>13</v>
      </c>
      <c r="E1336" s="76">
        <f t="shared" si="646"/>
        <v>11</v>
      </c>
      <c r="F1336" s="80"/>
      <c r="G1336" s="83"/>
      <c r="H1336" s="69" t="str">
        <f t="shared" si="661"/>
        <v>Senbur6_20191117_13_00</v>
      </c>
      <c r="I1336" s="70">
        <f t="shared" ref="I1336:N1351" si="714">I1335</f>
        <v>1</v>
      </c>
      <c r="J1336" s="77" t="str">
        <f t="shared" si="714"/>
        <v>Senecio</v>
      </c>
      <c r="K1336" s="77" t="str">
        <f t="shared" si="714"/>
        <v>burtoni</v>
      </c>
      <c r="L1336" s="78">
        <f t="shared" si="714"/>
        <v>6</v>
      </c>
      <c r="M1336" s="78">
        <f t="shared" si="714"/>
        <v>12</v>
      </c>
      <c r="N1336" s="72">
        <f t="shared" si="714"/>
        <v>0</v>
      </c>
      <c r="O1336" s="45"/>
      <c r="P1336" s="46" t="str">
        <f t="shared" si="647"/>
        <v/>
      </c>
      <c r="Q1336" s="47" t="str">
        <f t="shared" si="648"/>
        <v/>
      </c>
      <c r="R1336" s="48" t="e">
        <f t="shared" si="649"/>
        <v>#VALUE!</v>
      </c>
      <c r="S1336" s="49" t="e">
        <f t="shared" si="642"/>
        <v>#VALUE!</v>
      </c>
      <c r="T1336" s="48" t="str">
        <f t="shared" si="650"/>
        <v/>
      </c>
      <c r="U1336" s="50"/>
      <c r="V1336" s="51"/>
      <c r="W1336" s="52" t="e">
        <f t="shared" si="651"/>
        <v>#VALUE!</v>
      </c>
      <c r="X1336" s="53"/>
      <c r="Y1336" s="53"/>
      <c r="Z1336" s="53"/>
      <c r="AA1336" s="48" t="e">
        <f>INDEX([1]!VISITORS[INSECT ORDER], MATCH(X1336,[1]!VISITORS[NAME USED],0))</f>
        <v>#REF!</v>
      </c>
      <c r="AB1336" s="48" t="e">
        <f t="shared" si="652"/>
        <v>#REF!</v>
      </c>
      <c r="AC1336" s="54" t="e">
        <f t="shared" si="653"/>
        <v>#VALUE!</v>
      </c>
      <c r="AD1336" s="55" t="str">
        <f t="shared" si="663"/>
        <v/>
      </c>
      <c r="AE1336" s="55"/>
      <c r="AF1336" s="55"/>
      <c r="AG1336" s="56" t="str">
        <f t="shared" si="668"/>
        <v/>
      </c>
      <c r="AH1336" s="57" t="str">
        <f t="shared" si="664"/>
        <v/>
      </c>
      <c r="AI1336" s="56"/>
      <c r="AJ1336" s="57" t="str">
        <f t="shared" si="665"/>
        <v/>
      </c>
      <c r="AK1336" s="56"/>
      <c r="AL1336" s="57" t="str">
        <f t="shared" si="666"/>
        <v/>
      </c>
      <c r="AM1336" s="56"/>
      <c r="AN1336" s="57" t="str">
        <f t="shared" si="654"/>
        <v/>
      </c>
      <c r="AO1336" s="56"/>
      <c r="AP1336" s="57" t="str">
        <f t="shared" si="655"/>
        <v/>
      </c>
      <c r="AQ1336" s="56"/>
      <c r="AR1336" s="57" t="str">
        <f t="shared" si="656"/>
        <v/>
      </c>
      <c r="AS1336" s="56"/>
      <c r="AT1336" s="57" t="str">
        <f t="shared" si="657"/>
        <v/>
      </c>
      <c r="AU1336" s="58"/>
      <c r="AV1336" s="59"/>
      <c r="AW1336" s="59"/>
      <c r="AX1336" s="60"/>
      <c r="AY1336" s="61" t="str">
        <f t="shared" si="669"/>
        <v/>
      </c>
      <c r="AZ1336" s="62" t="str">
        <f t="shared" si="667"/>
        <v/>
      </c>
      <c r="BA1336" s="61" t="str">
        <f t="shared" si="658"/>
        <v/>
      </c>
      <c r="BB1336" s="62" t="str">
        <f t="shared" si="659"/>
        <v/>
      </c>
    </row>
    <row r="1337" spans="1:54" s="3" customFormat="1" hidden="1" x14ac:dyDescent="0.35">
      <c r="A1337" s="73">
        <f t="shared" si="643"/>
        <v>2019</v>
      </c>
      <c r="B1337" s="73" t="str">
        <f t="shared" si="644"/>
        <v>Nov</v>
      </c>
      <c r="C1337" s="74">
        <f t="shared" si="660"/>
        <v>17</v>
      </c>
      <c r="D1337" s="75">
        <f t="shared" si="645"/>
        <v>13</v>
      </c>
      <c r="E1337" s="76">
        <f t="shared" si="646"/>
        <v>12</v>
      </c>
      <c r="F1337" s="80">
        <v>39</v>
      </c>
      <c r="G1337" s="83"/>
      <c r="H1337" s="69" t="str">
        <f t="shared" si="661"/>
        <v>Senbur6_20191117_13_00</v>
      </c>
      <c r="I1337" s="70">
        <f t="shared" si="714"/>
        <v>1</v>
      </c>
      <c r="J1337" s="77" t="str">
        <f t="shared" si="714"/>
        <v>Senecio</v>
      </c>
      <c r="K1337" s="77" t="str">
        <f t="shared" si="714"/>
        <v>burtoni</v>
      </c>
      <c r="L1337" s="78">
        <f t="shared" si="714"/>
        <v>6</v>
      </c>
      <c r="M1337" s="78">
        <f t="shared" si="714"/>
        <v>12</v>
      </c>
      <c r="N1337" s="72">
        <f t="shared" si="714"/>
        <v>0</v>
      </c>
      <c r="O1337" s="45"/>
      <c r="P1337" s="46">
        <f t="shared" si="647"/>
        <v>1</v>
      </c>
      <c r="Q1337" s="47" t="str">
        <f t="shared" si="648"/>
        <v>13:12:39</v>
      </c>
      <c r="R1337" s="48" t="str">
        <f t="shared" si="649"/>
        <v>12:39</v>
      </c>
      <c r="S1337" s="49">
        <f t="shared" si="642"/>
        <v>4</v>
      </c>
      <c r="T1337" s="48" t="str">
        <f t="shared" si="650"/>
        <v>13</v>
      </c>
      <c r="U1337" s="50">
        <v>12</v>
      </c>
      <c r="V1337" s="51">
        <v>43</v>
      </c>
      <c r="W1337" s="52" t="str">
        <f t="shared" si="651"/>
        <v>12:43</v>
      </c>
      <c r="X1337" s="53" t="s">
        <v>59</v>
      </c>
      <c r="Y1337" s="97" t="s">
        <v>78</v>
      </c>
      <c r="Z1337" s="97"/>
      <c r="AA1337" s="48" t="s">
        <v>60</v>
      </c>
      <c r="AB1337" s="48" t="str">
        <f t="shared" si="652"/>
        <v>NA</v>
      </c>
      <c r="AC1337" s="54">
        <f t="shared" si="653"/>
        <v>0</v>
      </c>
      <c r="AD1337" s="55">
        <f t="shared" si="663"/>
        <v>1</v>
      </c>
      <c r="AE1337" s="55"/>
      <c r="AF1337" s="55"/>
      <c r="AG1337" s="56">
        <v>1</v>
      </c>
      <c r="AH1337" s="57">
        <f t="shared" si="664"/>
        <v>4</v>
      </c>
      <c r="AI1337" s="56"/>
      <c r="AJ1337" s="57" t="str">
        <f t="shared" si="665"/>
        <v/>
      </c>
      <c r="AK1337" s="56"/>
      <c r="AL1337" s="57" t="str">
        <f t="shared" si="666"/>
        <v/>
      </c>
      <c r="AM1337" s="56"/>
      <c r="AN1337" s="57" t="str">
        <f t="shared" si="654"/>
        <v/>
      </c>
      <c r="AO1337" s="56"/>
      <c r="AP1337" s="57" t="str">
        <f t="shared" si="655"/>
        <v/>
      </c>
      <c r="AQ1337" s="56"/>
      <c r="AR1337" s="57" t="str">
        <f t="shared" si="656"/>
        <v/>
      </c>
      <c r="AS1337" s="56"/>
      <c r="AT1337" s="57" t="str">
        <f t="shared" si="657"/>
        <v/>
      </c>
      <c r="AU1337" s="58"/>
      <c r="AV1337" s="59"/>
      <c r="AW1337" s="59"/>
      <c r="AX1337" s="60"/>
      <c r="AY1337" s="61">
        <f t="shared" si="669"/>
        <v>0</v>
      </c>
      <c r="AZ1337" s="62" t="str">
        <f t="shared" si="667"/>
        <v/>
      </c>
      <c r="BA1337" s="61">
        <f t="shared" si="658"/>
        <v>0</v>
      </c>
      <c r="BB1337" s="62" t="str">
        <f t="shared" si="659"/>
        <v/>
      </c>
    </row>
    <row r="1338" spans="1:54" s="3" customFormat="1" hidden="1" x14ac:dyDescent="0.35">
      <c r="A1338" s="73">
        <f t="shared" si="643"/>
        <v>2019</v>
      </c>
      <c r="B1338" s="73" t="str">
        <f t="shared" si="644"/>
        <v>Nov</v>
      </c>
      <c r="C1338" s="74">
        <f t="shared" si="660"/>
        <v>17</v>
      </c>
      <c r="D1338" s="75">
        <f t="shared" si="645"/>
        <v>13</v>
      </c>
      <c r="E1338" s="76">
        <f t="shared" si="646"/>
        <v>13</v>
      </c>
      <c r="F1338" s="80"/>
      <c r="G1338" s="83"/>
      <c r="H1338" s="69" t="str">
        <f t="shared" si="661"/>
        <v>Senbur6_20191117_13_00</v>
      </c>
      <c r="I1338" s="70">
        <f t="shared" si="714"/>
        <v>1</v>
      </c>
      <c r="J1338" s="77" t="str">
        <f t="shared" si="714"/>
        <v>Senecio</v>
      </c>
      <c r="K1338" s="77" t="str">
        <f t="shared" si="714"/>
        <v>burtoni</v>
      </c>
      <c r="L1338" s="78">
        <f t="shared" si="714"/>
        <v>6</v>
      </c>
      <c r="M1338" s="78">
        <f t="shared" si="714"/>
        <v>12</v>
      </c>
      <c r="N1338" s="72">
        <f t="shared" si="714"/>
        <v>0</v>
      </c>
      <c r="O1338" s="45"/>
      <c r="P1338" s="46" t="str">
        <f t="shared" si="647"/>
        <v/>
      </c>
      <c r="Q1338" s="47" t="str">
        <f t="shared" si="648"/>
        <v/>
      </c>
      <c r="R1338" s="48" t="e">
        <f t="shared" si="649"/>
        <v>#VALUE!</v>
      </c>
      <c r="S1338" s="49" t="e">
        <f t="shared" si="642"/>
        <v>#VALUE!</v>
      </c>
      <c r="T1338" s="48" t="str">
        <f t="shared" si="650"/>
        <v/>
      </c>
      <c r="U1338" s="50"/>
      <c r="V1338" s="51"/>
      <c r="W1338" s="52" t="e">
        <f t="shared" si="651"/>
        <v>#VALUE!</v>
      </c>
      <c r="X1338" s="53"/>
      <c r="Y1338" s="53"/>
      <c r="Z1338" s="53"/>
      <c r="AA1338" s="48" t="e">
        <f>INDEX([1]!VISITORS[INSECT ORDER], MATCH(X1338,[1]!VISITORS[NAME USED],0))</f>
        <v>#REF!</v>
      </c>
      <c r="AB1338" s="48" t="e">
        <f t="shared" si="652"/>
        <v>#REF!</v>
      </c>
      <c r="AC1338" s="54" t="e">
        <f t="shared" si="653"/>
        <v>#VALUE!</v>
      </c>
      <c r="AD1338" s="55" t="str">
        <f t="shared" si="663"/>
        <v/>
      </c>
      <c r="AE1338" s="55"/>
      <c r="AF1338" s="55"/>
      <c r="AG1338" s="56" t="str">
        <f t="shared" si="668"/>
        <v/>
      </c>
      <c r="AH1338" s="57" t="str">
        <f t="shared" si="664"/>
        <v/>
      </c>
      <c r="AI1338" s="56"/>
      <c r="AJ1338" s="57" t="str">
        <f t="shared" si="665"/>
        <v/>
      </c>
      <c r="AK1338" s="56"/>
      <c r="AL1338" s="57" t="str">
        <f t="shared" si="666"/>
        <v/>
      </c>
      <c r="AM1338" s="56"/>
      <c r="AN1338" s="57" t="str">
        <f t="shared" si="654"/>
        <v/>
      </c>
      <c r="AO1338" s="56"/>
      <c r="AP1338" s="57" t="str">
        <f t="shared" si="655"/>
        <v/>
      </c>
      <c r="AQ1338" s="56"/>
      <c r="AR1338" s="57" t="str">
        <f t="shared" si="656"/>
        <v/>
      </c>
      <c r="AS1338" s="56"/>
      <c r="AT1338" s="57" t="str">
        <f t="shared" si="657"/>
        <v/>
      </c>
      <c r="AU1338" s="58"/>
      <c r="AV1338" s="59"/>
      <c r="AW1338" s="59"/>
      <c r="AX1338" s="60"/>
      <c r="AY1338" s="61" t="str">
        <f t="shared" si="669"/>
        <v/>
      </c>
      <c r="AZ1338" s="62" t="str">
        <f t="shared" si="667"/>
        <v/>
      </c>
      <c r="BA1338" s="61" t="str">
        <f t="shared" si="658"/>
        <v/>
      </c>
      <c r="BB1338" s="62" t="str">
        <f t="shared" si="659"/>
        <v/>
      </c>
    </row>
    <row r="1339" spans="1:54" s="3" customFormat="1" hidden="1" x14ac:dyDescent="0.35">
      <c r="A1339" s="73">
        <f t="shared" si="643"/>
        <v>2019</v>
      </c>
      <c r="B1339" s="73" t="str">
        <f t="shared" si="644"/>
        <v>Nov</v>
      </c>
      <c r="C1339" s="74">
        <f t="shared" si="660"/>
        <v>17</v>
      </c>
      <c r="D1339" s="75">
        <f t="shared" si="645"/>
        <v>13</v>
      </c>
      <c r="E1339" s="76">
        <f t="shared" si="646"/>
        <v>14</v>
      </c>
      <c r="F1339" s="80"/>
      <c r="G1339" s="83"/>
      <c r="H1339" s="69" t="str">
        <f t="shared" si="661"/>
        <v>Senbur6_20191117_13_00</v>
      </c>
      <c r="I1339" s="70">
        <f t="shared" si="714"/>
        <v>1</v>
      </c>
      <c r="J1339" s="77" t="str">
        <f t="shared" si="714"/>
        <v>Senecio</v>
      </c>
      <c r="K1339" s="77" t="str">
        <f t="shared" si="714"/>
        <v>burtoni</v>
      </c>
      <c r="L1339" s="78">
        <f t="shared" si="714"/>
        <v>6</v>
      </c>
      <c r="M1339" s="78">
        <f t="shared" si="714"/>
        <v>12</v>
      </c>
      <c r="N1339" s="72">
        <f t="shared" si="714"/>
        <v>0</v>
      </c>
      <c r="O1339" s="45"/>
      <c r="P1339" s="46" t="str">
        <f t="shared" si="647"/>
        <v/>
      </c>
      <c r="Q1339" s="47" t="str">
        <f t="shared" si="648"/>
        <v/>
      </c>
      <c r="R1339" s="48" t="e">
        <f t="shared" si="649"/>
        <v>#VALUE!</v>
      </c>
      <c r="S1339" s="49" t="e">
        <f t="shared" si="642"/>
        <v>#VALUE!</v>
      </c>
      <c r="T1339" s="48" t="str">
        <f t="shared" si="650"/>
        <v/>
      </c>
      <c r="U1339" s="50"/>
      <c r="V1339" s="51"/>
      <c r="W1339" s="52" t="e">
        <f t="shared" si="651"/>
        <v>#VALUE!</v>
      </c>
      <c r="X1339" s="53"/>
      <c r="Y1339" s="53"/>
      <c r="Z1339" s="53"/>
      <c r="AA1339" s="48" t="e">
        <f>INDEX([1]!VISITORS[INSECT ORDER], MATCH(X1339,[1]!VISITORS[NAME USED],0))</f>
        <v>#REF!</v>
      </c>
      <c r="AB1339" s="48" t="e">
        <f t="shared" si="652"/>
        <v>#REF!</v>
      </c>
      <c r="AC1339" s="54" t="e">
        <f t="shared" si="653"/>
        <v>#VALUE!</v>
      </c>
      <c r="AD1339" s="55" t="str">
        <f t="shared" si="663"/>
        <v/>
      </c>
      <c r="AE1339" s="55"/>
      <c r="AF1339" s="55"/>
      <c r="AG1339" s="56" t="str">
        <f t="shared" si="668"/>
        <v/>
      </c>
      <c r="AH1339" s="57" t="str">
        <f t="shared" si="664"/>
        <v/>
      </c>
      <c r="AI1339" s="56"/>
      <c r="AJ1339" s="57" t="str">
        <f t="shared" si="665"/>
        <v/>
      </c>
      <c r="AK1339" s="56"/>
      <c r="AL1339" s="57" t="str">
        <f t="shared" si="666"/>
        <v/>
      </c>
      <c r="AM1339" s="56"/>
      <c r="AN1339" s="57" t="str">
        <f t="shared" si="654"/>
        <v/>
      </c>
      <c r="AO1339" s="56"/>
      <c r="AP1339" s="57" t="str">
        <f t="shared" si="655"/>
        <v/>
      </c>
      <c r="AQ1339" s="56"/>
      <c r="AR1339" s="57" t="str">
        <f t="shared" si="656"/>
        <v/>
      </c>
      <c r="AS1339" s="56"/>
      <c r="AT1339" s="57" t="str">
        <f t="shared" si="657"/>
        <v/>
      </c>
      <c r="AU1339" s="58"/>
      <c r="AV1339" s="59"/>
      <c r="AW1339" s="59"/>
      <c r="AX1339" s="60"/>
      <c r="AY1339" s="61" t="str">
        <f t="shared" si="669"/>
        <v/>
      </c>
      <c r="AZ1339" s="62" t="str">
        <f t="shared" si="667"/>
        <v/>
      </c>
      <c r="BA1339" s="61" t="str">
        <f t="shared" si="658"/>
        <v/>
      </c>
      <c r="BB1339" s="62" t="str">
        <f t="shared" si="659"/>
        <v/>
      </c>
    </row>
    <row r="1340" spans="1:54" s="3" customFormat="1" hidden="1" x14ac:dyDescent="0.35">
      <c r="A1340" s="73">
        <f t="shared" si="643"/>
        <v>2019</v>
      </c>
      <c r="B1340" s="73" t="str">
        <f t="shared" si="644"/>
        <v>Nov</v>
      </c>
      <c r="C1340" s="74">
        <f t="shared" si="660"/>
        <v>17</v>
      </c>
      <c r="D1340" s="75">
        <f t="shared" si="645"/>
        <v>13</v>
      </c>
      <c r="E1340" s="76">
        <f t="shared" si="646"/>
        <v>15</v>
      </c>
      <c r="F1340" s="80"/>
      <c r="G1340" s="83"/>
      <c r="H1340" s="69" t="str">
        <f t="shared" si="661"/>
        <v>Senbur6_20191117_13_00</v>
      </c>
      <c r="I1340" s="70">
        <f t="shared" si="714"/>
        <v>1</v>
      </c>
      <c r="J1340" s="77" t="str">
        <f t="shared" si="714"/>
        <v>Senecio</v>
      </c>
      <c r="K1340" s="77" t="str">
        <f t="shared" si="714"/>
        <v>burtoni</v>
      </c>
      <c r="L1340" s="78">
        <f t="shared" si="714"/>
        <v>6</v>
      </c>
      <c r="M1340" s="78">
        <f t="shared" si="714"/>
        <v>12</v>
      </c>
      <c r="N1340" s="72">
        <f t="shared" si="714"/>
        <v>0</v>
      </c>
      <c r="O1340" s="45"/>
      <c r="P1340" s="46" t="str">
        <f t="shared" si="647"/>
        <v/>
      </c>
      <c r="Q1340" s="47" t="str">
        <f t="shared" si="648"/>
        <v/>
      </c>
      <c r="R1340" s="48" t="e">
        <f t="shared" si="649"/>
        <v>#VALUE!</v>
      </c>
      <c r="S1340" s="49" t="e">
        <f t="shared" si="642"/>
        <v>#VALUE!</v>
      </c>
      <c r="T1340" s="48" t="str">
        <f t="shared" si="650"/>
        <v/>
      </c>
      <c r="U1340" s="50"/>
      <c r="V1340" s="51"/>
      <c r="W1340" s="52" t="e">
        <f t="shared" si="651"/>
        <v>#VALUE!</v>
      </c>
      <c r="X1340" s="53"/>
      <c r="Y1340" s="53"/>
      <c r="Z1340" s="53"/>
      <c r="AA1340" s="48" t="e">
        <f>INDEX([1]!VISITORS[INSECT ORDER], MATCH(X1340,[1]!VISITORS[NAME USED],0))</f>
        <v>#REF!</v>
      </c>
      <c r="AB1340" s="48" t="e">
        <f t="shared" si="652"/>
        <v>#REF!</v>
      </c>
      <c r="AC1340" s="54" t="e">
        <f t="shared" si="653"/>
        <v>#VALUE!</v>
      </c>
      <c r="AD1340" s="55" t="str">
        <f t="shared" si="663"/>
        <v/>
      </c>
      <c r="AE1340" s="55"/>
      <c r="AF1340" s="55"/>
      <c r="AG1340" s="56" t="str">
        <f t="shared" si="668"/>
        <v/>
      </c>
      <c r="AH1340" s="57" t="str">
        <f t="shared" si="664"/>
        <v/>
      </c>
      <c r="AI1340" s="56"/>
      <c r="AJ1340" s="57" t="str">
        <f t="shared" si="665"/>
        <v/>
      </c>
      <c r="AK1340" s="56"/>
      <c r="AL1340" s="57" t="str">
        <f t="shared" si="666"/>
        <v/>
      </c>
      <c r="AM1340" s="56"/>
      <c r="AN1340" s="57" t="str">
        <f t="shared" si="654"/>
        <v/>
      </c>
      <c r="AO1340" s="56"/>
      <c r="AP1340" s="57" t="str">
        <f t="shared" si="655"/>
        <v/>
      </c>
      <c r="AQ1340" s="56"/>
      <c r="AR1340" s="57" t="str">
        <f t="shared" si="656"/>
        <v/>
      </c>
      <c r="AS1340" s="56"/>
      <c r="AT1340" s="57" t="str">
        <f t="shared" si="657"/>
        <v/>
      </c>
      <c r="AU1340" s="58"/>
      <c r="AV1340" s="59"/>
      <c r="AW1340" s="59"/>
      <c r="AX1340" s="60"/>
      <c r="AY1340" s="61" t="str">
        <f t="shared" si="669"/>
        <v/>
      </c>
      <c r="AZ1340" s="62" t="str">
        <f t="shared" si="667"/>
        <v/>
      </c>
      <c r="BA1340" s="61" t="str">
        <f t="shared" si="658"/>
        <v/>
      </c>
      <c r="BB1340" s="62" t="str">
        <f t="shared" si="659"/>
        <v/>
      </c>
    </row>
    <row r="1341" spans="1:54" s="3" customFormat="1" hidden="1" x14ac:dyDescent="0.35">
      <c r="A1341" s="73">
        <f t="shared" si="643"/>
        <v>2019</v>
      </c>
      <c r="B1341" s="73" t="str">
        <f t="shared" si="644"/>
        <v>Nov</v>
      </c>
      <c r="C1341" s="74">
        <f t="shared" si="660"/>
        <v>17</v>
      </c>
      <c r="D1341" s="75">
        <f t="shared" si="645"/>
        <v>13</v>
      </c>
      <c r="E1341" s="76">
        <f t="shared" si="646"/>
        <v>16</v>
      </c>
      <c r="F1341" s="80"/>
      <c r="G1341" s="83"/>
      <c r="H1341" s="69" t="str">
        <f t="shared" si="661"/>
        <v>Senbur6_20191117_13_00</v>
      </c>
      <c r="I1341" s="70">
        <f t="shared" si="714"/>
        <v>1</v>
      </c>
      <c r="J1341" s="77" t="str">
        <f t="shared" si="714"/>
        <v>Senecio</v>
      </c>
      <c r="K1341" s="77" t="str">
        <f t="shared" si="714"/>
        <v>burtoni</v>
      </c>
      <c r="L1341" s="78">
        <f t="shared" si="714"/>
        <v>6</v>
      </c>
      <c r="M1341" s="78">
        <f t="shared" si="714"/>
        <v>12</v>
      </c>
      <c r="N1341" s="72">
        <f t="shared" si="714"/>
        <v>0</v>
      </c>
      <c r="O1341" s="45"/>
      <c r="P1341" s="46" t="str">
        <f t="shared" si="647"/>
        <v/>
      </c>
      <c r="Q1341" s="47" t="str">
        <f t="shared" si="648"/>
        <v/>
      </c>
      <c r="R1341" s="48" t="e">
        <f t="shared" si="649"/>
        <v>#VALUE!</v>
      </c>
      <c r="S1341" s="49" t="e">
        <f t="shared" si="642"/>
        <v>#VALUE!</v>
      </c>
      <c r="T1341" s="48" t="str">
        <f t="shared" si="650"/>
        <v/>
      </c>
      <c r="U1341" s="50"/>
      <c r="V1341" s="51"/>
      <c r="W1341" s="52" t="e">
        <f t="shared" si="651"/>
        <v>#VALUE!</v>
      </c>
      <c r="X1341" s="53"/>
      <c r="Y1341" s="53"/>
      <c r="Z1341" s="53"/>
      <c r="AA1341" s="48" t="e">
        <f>INDEX([1]!VISITORS[INSECT ORDER], MATCH(X1341,[1]!VISITORS[NAME USED],0))</f>
        <v>#REF!</v>
      </c>
      <c r="AB1341" s="48" t="e">
        <f t="shared" si="652"/>
        <v>#REF!</v>
      </c>
      <c r="AC1341" s="54" t="e">
        <f t="shared" si="653"/>
        <v>#VALUE!</v>
      </c>
      <c r="AD1341" s="55" t="str">
        <f t="shared" si="663"/>
        <v/>
      </c>
      <c r="AE1341" s="55"/>
      <c r="AF1341" s="55"/>
      <c r="AG1341" s="56" t="str">
        <f t="shared" si="668"/>
        <v/>
      </c>
      <c r="AH1341" s="57" t="str">
        <f t="shared" si="664"/>
        <v/>
      </c>
      <c r="AI1341" s="56"/>
      <c r="AJ1341" s="57" t="str">
        <f t="shared" si="665"/>
        <v/>
      </c>
      <c r="AK1341" s="56"/>
      <c r="AL1341" s="57" t="str">
        <f t="shared" si="666"/>
        <v/>
      </c>
      <c r="AM1341" s="56"/>
      <c r="AN1341" s="57" t="str">
        <f t="shared" si="654"/>
        <v/>
      </c>
      <c r="AO1341" s="56"/>
      <c r="AP1341" s="57" t="str">
        <f t="shared" si="655"/>
        <v/>
      </c>
      <c r="AQ1341" s="56"/>
      <c r="AR1341" s="57" t="str">
        <f t="shared" si="656"/>
        <v/>
      </c>
      <c r="AS1341" s="56"/>
      <c r="AT1341" s="57" t="str">
        <f t="shared" si="657"/>
        <v/>
      </c>
      <c r="AU1341" s="58"/>
      <c r="AV1341" s="59"/>
      <c r="AW1341" s="59"/>
      <c r="AX1341" s="60"/>
      <c r="AY1341" s="61" t="str">
        <f t="shared" si="669"/>
        <v/>
      </c>
      <c r="AZ1341" s="62" t="str">
        <f t="shared" si="667"/>
        <v/>
      </c>
      <c r="BA1341" s="61" t="str">
        <f t="shared" si="658"/>
        <v/>
      </c>
      <c r="BB1341" s="62" t="str">
        <f t="shared" si="659"/>
        <v/>
      </c>
    </row>
    <row r="1342" spans="1:54" s="3" customFormat="1" hidden="1" x14ac:dyDescent="0.35">
      <c r="A1342" s="73">
        <f t="shared" si="643"/>
        <v>2019</v>
      </c>
      <c r="B1342" s="73" t="str">
        <f t="shared" si="644"/>
        <v>Nov</v>
      </c>
      <c r="C1342" s="74">
        <f t="shared" si="660"/>
        <v>17</v>
      </c>
      <c r="D1342" s="75">
        <f t="shared" si="645"/>
        <v>13</v>
      </c>
      <c r="E1342" s="76">
        <f t="shared" si="646"/>
        <v>17</v>
      </c>
      <c r="F1342" s="80"/>
      <c r="G1342" s="83"/>
      <c r="H1342" s="69" t="str">
        <f t="shared" si="661"/>
        <v>Senbur6_20191117_13_00</v>
      </c>
      <c r="I1342" s="70">
        <f t="shared" si="714"/>
        <v>1</v>
      </c>
      <c r="J1342" s="77" t="str">
        <f t="shared" si="714"/>
        <v>Senecio</v>
      </c>
      <c r="K1342" s="77" t="str">
        <f t="shared" si="714"/>
        <v>burtoni</v>
      </c>
      <c r="L1342" s="78">
        <f t="shared" si="714"/>
        <v>6</v>
      </c>
      <c r="M1342" s="78">
        <f t="shared" si="714"/>
        <v>12</v>
      </c>
      <c r="N1342" s="72">
        <f t="shared" si="714"/>
        <v>0</v>
      </c>
      <c r="O1342" s="45"/>
      <c r="P1342" s="46" t="str">
        <f t="shared" si="647"/>
        <v/>
      </c>
      <c r="Q1342" s="47" t="str">
        <f t="shared" si="648"/>
        <v/>
      </c>
      <c r="R1342" s="48" t="e">
        <f t="shared" si="649"/>
        <v>#VALUE!</v>
      </c>
      <c r="S1342" s="49" t="e">
        <f t="shared" si="642"/>
        <v>#VALUE!</v>
      </c>
      <c r="T1342" s="48" t="str">
        <f t="shared" si="650"/>
        <v/>
      </c>
      <c r="U1342" s="50"/>
      <c r="V1342" s="51"/>
      <c r="W1342" s="52" t="e">
        <f t="shared" si="651"/>
        <v>#VALUE!</v>
      </c>
      <c r="X1342" s="53"/>
      <c r="Y1342" s="53"/>
      <c r="Z1342" s="53"/>
      <c r="AA1342" s="48" t="e">
        <f>INDEX([1]!VISITORS[INSECT ORDER], MATCH(X1342,[1]!VISITORS[NAME USED],0))</f>
        <v>#REF!</v>
      </c>
      <c r="AB1342" s="48" t="e">
        <f t="shared" si="652"/>
        <v>#REF!</v>
      </c>
      <c r="AC1342" s="54" t="e">
        <f t="shared" si="653"/>
        <v>#VALUE!</v>
      </c>
      <c r="AD1342" s="55" t="str">
        <f t="shared" si="663"/>
        <v/>
      </c>
      <c r="AE1342" s="55"/>
      <c r="AF1342" s="55"/>
      <c r="AG1342" s="56" t="str">
        <f t="shared" si="668"/>
        <v/>
      </c>
      <c r="AH1342" s="57" t="str">
        <f t="shared" si="664"/>
        <v/>
      </c>
      <c r="AI1342" s="56"/>
      <c r="AJ1342" s="57" t="str">
        <f t="shared" si="665"/>
        <v/>
      </c>
      <c r="AK1342" s="56"/>
      <c r="AL1342" s="57" t="str">
        <f t="shared" si="666"/>
        <v/>
      </c>
      <c r="AM1342" s="56"/>
      <c r="AN1342" s="57" t="str">
        <f t="shared" si="654"/>
        <v/>
      </c>
      <c r="AO1342" s="56"/>
      <c r="AP1342" s="57" t="str">
        <f t="shared" si="655"/>
        <v/>
      </c>
      <c r="AQ1342" s="56"/>
      <c r="AR1342" s="57" t="str">
        <f t="shared" si="656"/>
        <v/>
      </c>
      <c r="AS1342" s="56"/>
      <c r="AT1342" s="57" t="str">
        <f t="shared" si="657"/>
        <v/>
      </c>
      <c r="AU1342" s="58"/>
      <c r="AV1342" s="59"/>
      <c r="AW1342" s="59"/>
      <c r="AX1342" s="60"/>
      <c r="AY1342" s="61" t="str">
        <f t="shared" si="669"/>
        <v/>
      </c>
      <c r="AZ1342" s="62" t="str">
        <f t="shared" si="667"/>
        <v/>
      </c>
      <c r="BA1342" s="61" t="str">
        <f t="shared" si="658"/>
        <v/>
      </c>
      <c r="BB1342" s="62" t="str">
        <f t="shared" si="659"/>
        <v/>
      </c>
    </row>
    <row r="1343" spans="1:54" s="3" customFormat="1" hidden="1" x14ac:dyDescent="0.35">
      <c r="A1343" s="73">
        <f t="shared" si="643"/>
        <v>2019</v>
      </c>
      <c r="B1343" s="73" t="str">
        <f t="shared" si="644"/>
        <v>Nov</v>
      </c>
      <c r="C1343" s="74">
        <f t="shared" si="660"/>
        <v>17</v>
      </c>
      <c r="D1343" s="75">
        <f t="shared" si="645"/>
        <v>13</v>
      </c>
      <c r="E1343" s="76">
        <f t="shared" si="646"/>
        <v>18</v>
      </c>
      <c r="F1343" s="80">
        <v>10</v>
      </c>
      <c r="G1343" s="83"/>
      <c r="H1343" s="69" t="str">
        <f t="shared" si="661"/>
        <v>Senbur6_20191117_13_00</v>
      </c>
      <c r="I1343" s="70">
        <f t="shared" si="714"/>
        <v>1</v>
      </c>
      <c r="J1343" s="77" t="str">
        <f t="shared" si="714"/>
        <v>Senecio</v>
      </c>
      <c r="K1343" s="77" t="str">
        <f t="shared" si="714"/>
        <v>burtoni</v>
      </c>
      <c r="L1343" s="78">
        <f t="shared" si="714"/>
        <v>6</v>
      </c>
      <c r="M1343" s="78">
        <f t="shared" si="714"/>
        <v>12</v>
      </c>
      <c r="N1343" s="72">
        <f t="shared" si="714"/>
        <v>0</v>
      </c>
      <c r="O1343" s="45"/>
      <c r="P1343" s="46">
        <f t="shared" si="647"/>
        <v>1</v>
      </c>
      <c r="Q1343" s="47" t="str">
        <f t="shared" si="648"/>
        <v>13:18:10</v>
      </c>
      <c r="R1343" s="48" t="str">
        <f t="shared" si="649"/>
        <v>18:10</v>
      </c>
      <c r="S1343" s="49">
        <f t="shared" si="642"/>
        <v>14</v>
      </c>
      <c r="T1343" s="48" t="str">
        <f t="shared" si="650"/>
        <v>13</v>
      </c>
      <c r="U1343" s="50">
        <v>18</v>
      </c>
      <c r="V1343" s="51">
        <v>24</v>
      </c>
      <c r="W1343" s="52" t="str">
        <f t="shared" si="651"/>
        <v>18:24</v>
      </c>
      <c r="X1343" s="53" t="s">
        <v>59</v>
      </c>
      <c r="Y1343" s="97" t="s">
        <v>84</v>
      </c>
      <c r="Z1343" s="97" t="s">
        <v>80</v>
      </c>
      <c r="AA1343" s="48" t="s">
        <v>60</v>
      </c>
      <c r="AB1343" s="48" t="str">
        <f t="shared" si="652"/>
        <v>NA</v>
      </c>
      <c r="AC1343" s="54">
        <f t="shared" si="653"/>
        <v>0</v>
      </c>
      <c r="AD1343" s="55">
        <f t="shared" si="663"/>
        <v>1</v>
      </c>
      <c r="AE1343" s="55"/>
      <c r="AF1343" s="55"/>
      <c r="AG1343" s="56" t="str">
        <f t="shared" si="668"/>
        <v/>
      </c>
      <c r="AH1343" s="57" t="str">
        <f t="shared" si="664"/>
        <v/>
      </c>
      <c r="AI1343" s="56"/>
      <c r="AJ1343" s="57" t="str">
        <f t="shared" si="665"/>
        <v/>
      </c>
      <c r="AK1343" s="56">
        <v>1</v>
      </c>
      <c r="AL1343" s="57">
        <f t="shared" si="666"/>
        <v>14</v>
      </c>
      <c r="AM1343" s="56"/>
      <c r="AN1343" s="57" t="str">
        <f t="shared" si="654"/>
        <v/>
      </c>
      <c r="AO1343" s="56"/>
      <c r="AP1343" s="57" t="str">
        <f t="shared" si="655"/>
        <v/>
      </c>
      <c r="AQ1343" s="56"/>
      <c r="AR1343" s="57" t="str">
        <f t="shared" si="656"/>
        <v/>
      </c>
      <c r="AS1343" s="56"/>
      <c r="AT1343" s="57" t="str">
        <f t="shared" si="657"/>
        <v/>
      </c>
      <c r="AU1343" s="58"/>
      <c r="AV1343" s="59"/>
      <c r="AW1343" s="59"/>
      <c r="AX1343" s="60"/>
      <c r="AY1343" s="61">
        <v>1</v>
      </c>
      <c r="AZ1343" s="62">
        <f t="shared" si="667"/>
        <v>1</v>
      </c>
      <c r="BA1343" s="61">
        <f t="shared" si="658"/>
        <v>0</v>
      </c>
      <c r="BB1343" s="62" t="str">
        <f t="shared" si="659"/>
        <v/>
      </c>
    </row>
    <row r="1344" spans="1:54" s="3" customFormat="1" hidden="1" x14ac:dyDescent="0.35">
      <c r="A1344" s="73">
        <f t="shared" si="643"/>
        <v>2019</v>
      </c>
      <c r="B1344" s="73" t="str">
        <f t="shared" si="644"/>
        <v>Nov</v>
      </c>
      <c r="C1344" s="74">
        <f t="shared" si="660"/>
        <v>17</v>
      </c>
      <c r="D1344" s="75">
        <f t="shared" si="645"/>
        <v>13</v>
      </c>
      <c r="E1344" s="76">
        <v>18</v>
      </c>
      <c r="F1344" s="80">
        <v>12</v>
      </c>
      <c r="G1344" s="83"/>
      <c r="H1344" s="69" t="str">
        <f t="shared" si="661"/>
        <v>Senbur6_20191117_13_00</v>
      </c>
      <c r="I1344" s="70">
        <f t="shared" si="714"/>
        <v>1</v>
      </c>
      <c r="J1344" s="77" t="str">
        <f t="shared" si="714"/>
        <v>Senecio</v>
      </c>
      <c r="K1344" s="77" t="str">
        <f t="shared" si="714"/>
        <v>burtoni</v>
      </c>
      <c r="L1344" s="78">
        <f t="shared" si="714"/>
        <v>6</v>
      </c>
      <c r="M1344" s="78">
        <f t="shared" si="714"/>
        <v>12</v>
      </c>
      <c r="N1344" s="72">
        <f t="shared" si="714"/>
        <v>0</v>
      </c>
      <c r="O1344" s="45"/>
      <c r="P1344" s="46">
        <f t="shared" si="647"/>
        <v>1</v>
      </c>
      <c r="Q1344" s="47" t="str">
        <f t="shared" si="648"/>
        <v>13:18:12</v>
      </c>
      <c r="R1344" s="48" t="str">
        <f t="shared" si="649"/>
        <v>18:12</v>
      </c>
      <c r="S1344" s="49">
        <f t="shared" si="642"/>
        <v>8</v>
      </c>
      <c r="T1344" s="48" t="str">
        <f t="shared" si="650"/>
        <v>13</v>
      </c>
      <c r="U1344" s="50">
        <v>18</v>
      </c>
      <c r="V1344" s="51">
        <v>20</v>
      </c>
      <c r="W1344" s="52" t="str">
        <f t="shared" si="651"/>
        <v>18:20</v>
      </c>
      <c r="X1344" s="53" t="s">
        <v>61</v>
      </c>
      <c r="Y1344" s="97" t="s">
        <v>78</v>
      </c>
      <c r="Z1344" s="97"/>
      <c r="AA1344" s="48" t="s">
        <v>60</v>
      </c>
      <c r="AB1344" s="48" t="str">
        <f t="shared" si="652"/>
        <v>NA</v>
      </c>
      <c r="AC1344" s="54">
        <f t="shared" si="653"/>
        <v>0</v>
      </c>
      <c r="AD1344" s="55">
        <v>2</v>
      </c>
      <c r="AE1344" s="55"/>
      <c r="AF1344" s="55"/>
      <c r="AG1344" s="56">
        <v>1</v>
      </c>
      <c r="AH1344" s="57">
        <v>4</v>
      </c>
      <c r="AI1344" s="56">
        <v>1</v>
      </c>
      <c r="AJ1344" s="57">
        <v>1</v>
      </c>
      <c r="AK1344" s="56">
        <v>1</v>
      </c>
      <c r="AL1344" s="57">
        <v>3</v>
      </c>
      <c r="AM1344" s="56"/>
      <c r="AN1344" s="57" t="str">
        <f t="shared" si="654"/>
        <v/>
      </c>
      <c r="AO1344" s="56"/>
      <c r="AP1344" s="57" t="str">
        <f t="shared" si="655"/>
        <v/>
      </c>
      <c r="AQ1344" s="56"/>
      <c r="AR1344" s="57" t="str">
        <f t="shared" si="656"/>
        <v/>
      </c>
      <c r="AS1344" s="56"/>
      <c r="AT1344" s="57" t="str">
        <f t="shared" si="657"/>
        <v/>
      </c>
      <c r="AU1344" s="58"/>
      <c r="AV1344" s="59"/>
      <c r="AW1344" s="59"/>
      <c r="AX1344" s="60"/>
      <c r="AY1344" s="61">
        <v>1</v>
      </c>
      <c r="AZ1344" s="62">
        <f t="shared" si="667"/>
        <v>2</v>
      </c>
      <c r="BA1344" s="61">
        <f t="shared" si="658"/>
        <v>0</v>
      </c>
      <c r="BB1344" s="62" t="str">
        <f t="shared" si="659"/>
        <v/>
      </c>
    </row>
    <row r="1345" spans="1:54" s="3" customFormat="1" hidden="1" x14ac:dyDescent="0.35">
      <c r="A1345" s="73">
        <f t="shared" si="643"/>
        <v>2019</v>
      </c>
      <c r="B1345" s="73" t="str">
        <f t="shared" si="644"/>
        <v>Nov</v>
      </c>
      <c r="C1345" s="74">
        <f t="shared" si="660"/>
        <v>17</v>
      </c>
      <c r="D1345" s="75">
        <f t="shared" si="645"/>
        <v>13</v>
      </c>
      <c r="E1345" s="76">
        <v>18</v>
      </c>
      <c r="F1345" s="80">
        <v>21</v>
      </c>
      <c r="G1345" s="83"/>
      <c r="H1345" s="69" t="str">
        <f t="shared" si="661"/>
        <v>Senbur6_20191117_13_00</v>
      </c>
      <c r="I1345" s="70">
        <f t="shared" si="714"/>
        <v>1</v>
      </c>
      <c r="J1345" s="77" t="str">
        <f t="shared" si="714"/>
        <v>Senecio</v>
      </c>
      <c r="K1345" s="77" t="str">
        <f t="shared" si="714"/>
        <v>burtoni</v>
      </c>
      <c r="L1345" s="78">
        <f t="shared" si="714"/>
        <v>6</v>
      </c>
      <c r="M1345" s="78">
        <f t="shared" si="714"/>
        <v>12</v>
      </c>
      <c r="N1345" s="72">
        <f t="shared" si="714"/>
        <v>0</v>
      </c>
      <c r="O1345" s="45"/>
      <c r="P1345" s="46">
        <f t="shared" si="647"/>
        <v>1</v>
      </c>
      <c r="Q1345" s="47" t="str">
        <f t="shared" si="648"/>
        <v>13:18:21</v>
      </c>
      <c r="R1345" s="48" t="str">
        <f t="shared" si="649"/>
        <v>18:21</v>
      </c>
      <c r="S1345" s="49">
        <f t="shared" si="642"/>
        <v>251</v>
      </c>
      <c r="T1345" s="48" t="str">
        <f t="shared" si="650"/>
        <v>13</v>
      </c>
      <c r="U1345" s="50">
        <v>22</v>
      </c>
      <c r="V1345" s="51">
        <v>32</v>
      </c>
      <c r="W1345" s="52" t="str">
        <f t="shared" si="651"/>
        <v>22:32</v>
      </c>
      <c r="X1345" s="53" t="s">
        <v>59</v>
      </c>
      <c r="Y1345" s="97" t="s">
        <v>84</v>
      </c>
      <c r="Z1345" s="97" t="s">
        <v>80</v>
      </c>
      <c r="AA1345" s="48" t="s">
        <v>60</v>
      </c>
      <c r="AB1345" s="48" t="str">
        <f t="shared" si="652"/>
        <v>NA</v>
      </c>
      <c r="AC1345" s="54">
        <f t="shared" si="653"/>
        <v>0</v>
      </c>
      <c r="AD1345" s="55">
        <v>4</v>
      </c>
      <c r="AE1345" s="55"/>
      <c r="AF1345" s="55"/>
      <c r="AG1345" s="56" t="str">
        <f t="shared" si="668"/>
        <v/>
      </c>
      <c r="AH1345" s="57" t="str">
        <f t="shared" si="664"/>
        <v/>
      </c>
      <c r="AI1345" s="56">
        <v>1</v>
      </c>
      <c r="AJ1345" s="57">
        <v>6</v>
      </c>
      <c r="AK1345" s="56">
        <v>1</v>
      </c>
      <c r="AL1345" s="57">
        <v>245</v>
      </c>
      <c r="AM1345" s="56"/>
      <c r="AN1345" s="57" t="str">
        <f t="shared" si="654"/>
        <v/>
      </c>
      <c r="AO1345" s="56"/>
      <c r="AP1345" s="57" t="str">
        <f t="shared" si="655"/>
        <v/>
      </c>
      <c r="AQ1345" s="56"/>
      <c r="AR1345" s="57" t="str">
        <f t="shared" si="656"/>
        <v/>
      </c>
      <c r="AS1345" s="56"/>
      <c r="AT1345" s="57" t="str">
        <f t="shared" si="657"/>
        <v/>
      </c>
      <c r="AU1345" s="58"/>
      <c r="AV1345" s="59"/>
      <c r="AW1345" s="59"/>
      <c r="AX1345" s="60"/>
      <c r="AY1345" s="61">
        <v>1</v>
      </c>
      <c r="AZ1345" s="62">
        <f t="shared" si="667"/>
        <v>4</v>
      </c>
      <c r="BA1345" s="61">
        <f t="shared" si="658"/>
        <v>0</v>
      </c>
      <c r="BB1345" s="62" t="str">
        <f t="shared" si="659"/>
        <v/>
      </c>
    </row>
    <row r="1346" spans="1:54" s="3" customFormat="1" hidden="1" x14ac:dyDescent="0.35">
      <c r="A1346" s="73">
        <f t="shared" si="643"/>
        <v>2019</v>
      </c>
      <c r="B1346" s="73" t="str">
        <f t="shared" si="644"/>
        <v>Nov</v>
      </c>
      <c r="C1346" s="74">
        <f t="shared" si="660"/>
        <v>17</v>
      </c>
      <c r="D1346" s="75">
        <f t="shared" si="645"/>
        <v>13</v>
      </c>
      <c r="E1346" s="76">
        <v>18</v>
      </c>
      <c r="F1346" s="80">
        <v>25</v>
      </c>
      <c r="G1346" s="83"/>
      <c r="H1346" s="69" t="str">
        <f t="shared" si="661"/>
        <v>Senbur6_20191117_13_00</v>
      </c>
      <c r="I1346" s="70">
        <f t="shared" si="714"/>
        <v>1</v>
      </c>
      <c r="J1346" s="77" t="str">
        <f t="shared" si="714"/>
        <v>Senecio</v>
      </c>
      <c r="K1346" s="77" t="str">
        <f t="shared" si="714"/>
        <v>burtoni</v>
      </c>
      <c r="L1346" s="78">
        <f t="shared" si="714"/>
        <v>6</v>
      </c>
      <c r="M1346" s="78">
        <f t="shared" si="714"/>
        <v>12</v>
      </c>
      <c r="N1346" s="72">
        <f t="shared" si="714"/>
        <v>0</v>
      </c>
      <c r="O1346" s="45"/>
      <c r="P1346" s="46">
        <f t="shared" si="647"/>
        <v>1</v>
      </c>
      <c r="Q1346" s="47" t="str">
        <f t="shared" si="648"/>
        <v>13:18:25</v>
      </c>
      <c r="R1346" s="48" t="str">
        <f t="shared" si="649"/>
        <v>18:25</v>
      </c>
      <c r="S1346" s="49">
        <f t="shared" si="642"/>
        <v>71</v>
      </c>
      <c r="T1346" s="48" t="str">
        <f t="shared" si="650"/>
        <v>13</v>
      </c>
      <c r="U1346" s="50">
        <v>19</v>
      </c>
      <c r="V1346" s="51">
        <v>36</v>
      </c>
      <c r="W1346" s="52" t="str">
        <f t="shared" si="651"/>
        <v>19:36</v>
      </c>
      <c r="X1346" s="53" t="s">
        <v>61</v>
      </c>
      <c r="Y1346" s="97" t="s">
        <v>84</v>
      </c>
      <c r="Z1346" s="97" t="s">
        <v>80</v>
      </c>
      <c r="AA1346" s="48" t="s">
        <v>60</v>
      </c>
      <c r="AB1346" s="48" t="str">
        <f t="shared" si="652"/>
        <v>NA</v>
      </c>
      <c r="AC1346" s="54">
        <f t="shared" si="653"/>
        <v>0</v>
      </c>
      <c r="AD1346" s="55">
        <v>2</v>
      </c>
      <c r="AE1346" s="55"/>
      <c r="AF1346" s="55"/>
      <c r="AG1346" s="56" t="str">
        <f t="shared" si="668"/>
        <v/>
      </c>
      <c r="AH1346" s="57" t="str">
        <f t="shared" si="664"/>
        <v/>
      </c>
      <c r="AI1346" s="56">
        <v>1</v>
      </c>
      <c r="AJ1346" s="57">
        <v>2</v>
      </c>
      <c r="AK1346" s="56">
        <v>1</v>
      </c>
      <c r="AL1346" s="57">
        <v>69</v>
      </c>
      <c r="AM1346" s="56"/>
      <c r="AN1346" s="57" t="str">
        <f t="shared" si="654"/>
        <v/>
      </c>
      <c r="AO1346" s="56"/>
      <c r="AP1346" s="57" t="str">
        <f t="shared" si="655"/>
        <v/>
      </c>
      <c r="AQ1346" s="56"/>
      <c r="AR1346" s="57" t="str">
        <f t="shared" si="656"/>
        <v/>
      </c>
      <c r="AS1346" s="56"/>
      <c r="AT1346" s="57" t="str">
        <f t="shared" si="657"/>
        <v/>
      </c>
      <c r="AU1346" s="58"/>
      <c r="AV1346" s="59"/>
      <c r="AW1346" s="59"/>
      <c r="AX1346" s="60"/>
      <c r="AY1346" s="61">
        <v>1</v>
      </c>
      <c r="AZ1346" s="62">
        <f t="shared" si="667"/>
        <v>2</v>
      </c>
      <c r="BA1346" s="61">
        <f t="shared" si="658"/>
        <v>0</v>
      </c>
      <c r="BB1346" s="62" t="str">
        <f t="shared" si="659"/>
        <v/>
      </c>
    </row>
    <row r="1347" spans="1:54" s="3" customFormat="1" hidden="1" x14ac:dyDescent="0.35">
      <c r="A1347" s="73">
        <f t="shared" si="643"/>
        <v>2019</v>
      </c>
      <c r="B1347" s="73" t="str">
        <f t="shared" si="644"/>
        <v>Nov</v>
      </c>
      <c r="C1347" s="74">
        <f t="shared" si="660"/>
        <v>17</v>
      </c>
      <c r="D1347" s="75">
        <f t="shared" si="645"/>
        <v>13</v>
      </c>
      <c r="E1347" s="76">
        <v>18</v>
      </c>
      <c r="F1347" s="80">
        <v>58</v>
      </c>
      <c r="G1347" s="83"/>
      <c r="H1347" s="69" t="str">
        <f t="shared" si="661"/>
        <v>Senbur6_20191117_13_00</v>
      </c>
      <c r="I1347" s="70">
        <f t="shared" si="714"/>
        <v>1</v>
      </c>
      <c r="J1347" s="77" t="str">
        <f t="shared" si="714"/>
        <v>Senecio</v>
      </c>
      <c r="K1347" s="77" t="str">
        <f t="shared" si="714"/>
        <v>burtoni</v>
      </c>
      <c r="L1347" s="78">
        <f t="shared" si="714"/>
        <v>6</v>
      </c>
      <c r="M1347" s="78">
        <f t="shared" si="714"/>
        <v>12</v>
      </c>
      <c r="N1347" s="72">
        <f t="shared" si="714"/>
        <v>0</v>
      </c>
      <c r="O1347" s="45"/>
      <c r="P1347" s="46">
        <f t="shared" si="647"/>
        <v>1</v>
      </c>
      <c r="Q1347" s="47" t="str">
        <f t="shared" si="648"/>
        <v>13:18:58</v>
      </c>
      <c r="R1347" s="48" t="str">
        <f t="shared" si="649"/>
        <v>18:58</v>
      </c>
      <c r="S1347" s="49">
        <f t="shared" si="642"/>
        <v>22</v>
      </c>
      <c r="T1347" s="48" t="str">
        <f t="shared" si="650"/>
        <v>13</v>
      </c>
      <c r="U1347" s="50">
        <v>19</v>
      </c>
      <c r="V1347" s="51">
        <v>20</v>
      </c>
      <c r="W1347" s="52" t="str">
        <f t="shared" si="651"/>
        <v>19:20</v>
      </c>
      <c r="X1347" s="53" t="s">
        <v>70</v>
      </c>
      <c r="Y1347" s="97" t="s">
        <v>87</v>
      </c>
      <c r="Z1347" s="97"/>
      <c r="AA1347" s="48" t="s">
        <v>63</v>
      </c>
      <c r="AB1347" s="48" t="str">
        <f t="shared" si="652"/>
        <v>NA</v>
      </c>
      <c r="AC1347" s="54">
        <f t="shared" si="653"/>
        <v>0</v>
      </c>
      <c r="AD1347" s="55">
        <f t="shared" si="663"/>
        <v>1</v>
      </c>
      <c r="AE1347" s="55"/>
      <c r="AF1347" s="55"/>
      <c r="AG1347" s="56">
        <v>1</v>
      </c>
      <c r="AH1347" s="57">
        <v>2</v>
      </c>
      <c r="AI1347" s="56"/>
      <c r="AJ1347" s="57" t="str">
        <f t="shared" si="665"/>
        <v/>
      </c>
      <c r="AK1347" s="56">
        <v>1</v>
      </c>
      <c r="AL1347" s="57">
        <v>20</v>
      </c>
      <c r="AM1347" s="56"/>
      <c r="AN1347" s="57" t="str">
        <f t="shared" si="654"/>
        <v/>
      </c>
      <c r="AO1347" s="56"/>
      <c r="AP1347" s="57" t="str">
        <f t="shared" si="655"/>
        <v/>
      </c>
      <c r="AQ1347" s="56"/>
      <c r="AR1347" s="57" t="str">
        <f t="shared" si="656"/>
        <v/>
      </c>
      <c r="AS1347" s="56"/>
      <c r="AT1347" s="57" t="str">
        <f t="shared" si="657"/>
        <v/>
      </c>
      <c r="AU1347" s="58"/>
      <c r="AV1347" s="59"/>
      <c r="AW1347" s="59"/>
      <c r="AX1347" s="60"/>
      <c r="AY1347" s="61">
        <v>1</v>
      </c>
      <c r="AZ1347" s="62">
        <f t="shared" si="667"/>
        <v>1</v>
      </c>
      <c r="BA1347" s="61">
        <f t="shared" si="658"/>
        <v>0</v>
      </c>
      <c r="BB1347" s="62" t="str">
        <f t="shared" si="659"/>
        <v/>
      </c>
    </row>
    <row r="1348" spans="1:54" s="3" customFormat="1" hidden="1" x14ac:dyDescent="0.35">
      <c r="A1348" s="73">
        <f t="shared" si="643"/>
        <v>2019</v>
      </c>
      <c r="B1348" s="73" t="str">
        <f t="shared" si="644"/>
        <v>Nov</v>
      </c>
      <c r="C1348" s="74">
        <f t="shared" si="660"/>
        <v>17</v>
      </c>
      <c r="D1348" s="75">
        <f t="shared" si="645"/>
        <v>13</v>
      </c>
      <c r="E1348" s="76">
        <f t="shared" si="646"/>
        <v>19</v>
      </c>
      <c r="F1348" s="80">
        <v>38</v>
      </c>
      <c r="G1348" s="83"/>
      <c r="H1348" s="69" t="str">
        <f t="shared" si="661"/>
        <v>Senbur6_20191117_13_00</v>
      </c>
      <c r="I1348" s="70">
        <f t="shared" si="714"/>
        <v>1</v>
      </c>
      <c r="J1348" s="77" t="str">
        <f t="shared" si="714"/>
        <v>Senecio</v>
      </c>
      <c r="K1348" s="77" t="str">
        <f t="shared" si="714"/>
        <v>burtoni</v>
      </c>
      <c r="L1348" s="78">
        <f t="shared" si="714"/>
        <v>6</v>
      </c>
      <c r="M1348" s="78">
        <f t="shared" si="714"/>
        <v>12</v>
      </c>
      <c r="N1348" s="72">
        <f t="shared" si="714"/>
        <v>0</v>
      </c>
      <c r="O1348" s="45"/>
      <c r="P1348" s="46">
        <f t="shared" si="647"/>
        <v>1</v>
      </c>
      <c r="Q1348" s="47" t="str">
        <f t="shared" si="648"/>
        <v>13:19:38</v>
      </c>
      <c r="R1348" s="48" t="str">
        <f t="shared" si="649"/>
        <v>19:38</v>
      </c>
      <c r="S1348" s="49">
        <f t="shared" si="642"/>
        <v>35</v>
      </c>
      <c r="T1348" s="48" t="str">
        <f t="shared" si="650"/>
        <v>13</v>
      </c>
      <c r="U1348" s="50">
        <v>20</v>
      </c>
      <c r="V1348" s="51">
        <v>13</v>
      </c>
      <c r="W1348" s="52" t="str">
        <f t="shared" si="651"/>
        <v>20:13</v>
      </c>
      <c r="X1348" s="53" t="s">
        <v>61</v>
      </c>
      <c r="Y1348" s="97" t="s">
        <v>78</v>
      </c>
      <c r="Z1348" s="97"/>
      <c r="AA1348" s="48" t="s">
        <v>60</v>
      </c>
      <c r="AB1348" s="48" t="str">
        <f t="shared" si="652"/>
        <v>NA</v>
      </c>
      <c r="AC1348" s="54">
        <f t="shared" si="653"/>
        <v>0</v>
      </c>
      <c r="AD1348" s="55">
        <f t="shared" si="663"/>
        <v>1</v>
      </c>
      <c r="AE1348" s="55"/>
      <c r="AF1348" s="55"/>
      <c r="AG1348" s="56" t="str">
        <f t="shared" si="668"/>
        <v/>
      </c>
      <c r="AH1348" s="57" t="str">
        <f t="shared" si="664"/>
        <v/>
      </c>
      <c r="AI1348" s="56"/>
      <c r="AJ1348" s="57" t="str">
        <f t="shared" si="665"/>
        <v/>
      </c>
      <c r="AK1348" s="56">
        <v>1</v>
      </c>
      <c r="AL1348" s="57">
        <f t="shared" si="666"/>
        <v>35</v>
      </c>
      <c r="AM1348" s="56"/>
      <c r="AN1348" s="57" t="str">
        <f t="shared" si="654"/>
        <v/>
      </c>
      <c r="AO1348" s="56"/>
      <c r="AP1348" s="57" t="str">
        <f t="shared" si="655"/>
        <v/>
      </c>
      <c r="AQ1348" s="56"/>
      <c r="AR1348" s="57" t="str">
        <f t="shared" si="656"/>
        <v/>
      </c>
      <c r="AS1348" s="56"/>
      <c r="AT1348" s="57" t="str">
        <f t="shared" si="657"/>
        <v/>
      </c>
      <c r="AU1348" s="58"/>
      <c r="AV1348" s="59"/>
      <c r="AW1348" s="59"/>
      <c r="AX1348" s="60"/>
      <c r="AY1348" s="61">
        <v>1</v>
      </c>
      <c r="AZ1348" s="62">
        <f t="shared" si="667"/>
        <v>1</v>
      </c>
      <c r="BA1348" s="61">
        <f t="shared" si="658"/>
        <v>0</v>
      </c>
      <c r="BB1348" s="62" t="str">
        <f t="shared" si="659"/>
        <v/>
      </c>
    </row>
    <row r="1349" spans="1:54" s="3" customFormat="1" hidden="1" x14ac:dyDescent="0.35">
      <c r="A1349" s="73">
        <f t="shared" si="643"/>
        <v>2019</v>
      </c>
      <c r="B1349" s="73" t="str">
        <f t="shared" si="644"/>
        <v>Nov</v>
      </c>
      <c r="C1349" s="74">
        <f t="shared" si="660"/>
        <v>17</v>
      </c>
      <c r="D1349" s="75">
        <f t="shared" si="645"/>
        <v>13</v>
      </c>
      <c r="E1349" s="76">
        <v>19</v>
      </c>
      <c r="F1349" s="80">
        <v>42</v>
      </c>
      <c r="G1349" s="83"/>
      <c r="H1349" s="69" t="str">
        <f t="shared" si="661"/>
        <v>Senbur6_20191117_13_00</v>
      </c>
      <c r="I1349" s="70">
        <f t="shared" si="714"/>
        <v>1</v>
      </c>
      <c r="J1349" s="77" t="str">
        <f t="shared" si="714"/>
        <v>Senecio</v>
      </c>
      <c r="K1349" s="77" t="str">
        <f t="shared" si="714"/>
        <v>burtoni</v>
      </c>
      <c r="L1349" s="78">
        <f t="shared" si="714"/>
        <v>6</v>
      </c>
      <c r="M1349" s="78">
        <f t="shared" si="714"/>
        <v>12</v>
      </c>
      <c r="N1349" s="72">
        <f t="shared" si="714"/>
        <v>0</v>
      </c>
      <c r="O1349" s="45"/>
      <c r="P1349" s="46">
        <f t="shared" si="647"/>
        <v>1</v>
      </c>
      <c r="Q1349" s="47" t="str">
        <f t="shared" si="648"/>
        <v>13:19:42</v>
      </c>
      <c r="R1349" s="48" t="str">
        <f t="shared" si="649"/>
        <v>19:42</v>
      </c>
      <c r="S1349" s="49">
        <f t="shared" si="642"/>
        <v>1</v>
      </c>
      <c r="T1349" s="48" t="str">
        <f t="shared" si="650"/>
        <v>13</v>
      </c>
      <c r="U1349" s="50">
        <v>19</v>
      </c>
      <c r="V1349" s="51">
        <v>43</v>
      </c>
      <c r="W1349" s="52" t="str">
        <f t="shared" si="651"/>
        <v>19:43</v>
      </c>
      <c r="X1349" s="53" t="s">
        <v>61</v>
      </c>
      <c r="Y1349" s="97" t="s">
        <v>78</v>
      </c>
      <c r="Z1349" s="97"/>
      <c r="AA1349" s="48" t="s">
        <v>60</v>
      </c>
      <c r="AB1349" s="48" t="str">
        <f t="shared" si="652"/>
        <v>NA</v>
      </c>
      <c r="AC1349" s="54">
        <f t="shared" si="653"/>
        <v>0</v>
      </c>
      <c r="AD1349" s="55">
        <f t="shared" si="663"/>
        <v>1</v>
      </c>
      <c r="AE1349" s="55"/>
      <c r="AF1349" s="55"/>
      <c r="AG1349" s="56">
        <v>1</v>
      </c>
      <c r="AH1349" s="57">
        <f t="shared" si="664"/>
        <v>1</v>
      </c>
      <c r="AI1349" s="56"/>
      <c r="AJ1349" s="57" t="str">
        <f t="shared" si="665"/>
        <v/>
      </c>
      <c r="AK1349" s="56"/>
      <c r="AL1349" s="57" t="str">
        <f t="shared" si="666"/>
        <v/>
      </c>
      <c r="AM1349" s="56"/>
      <c r="AN1349" s="57" t="str">
        <f t="shared" si="654"/>
        <v/>
      </c>
      <c r="AO1349" s="56"/>
      <c r="AP1349" s="57" t="str">
        <f t="shared" si="655"/>
        <v/>
      </c>
      <c r="AQ1349" s="56"/>
      <c r="AR1349" s="57" t="str">
        <f t="shared" si="656"/>
        <v/>
      </c>
      <c r="AS1349" s="56"/>
      <c r="AT1349" s="57" t="str">
        <f t="shared" si="657"/>
        <v/>
      </c>
      <c r="AU1349" s="58"/>
      <c r="AV1349" s="59"/>
      <c r="AW1349" s="59"/>
      <c r="AX1349" s="60"/>
      <c r="AY1349" s="61">
        <f t="shared" si="669"/>
        <v>0</v>
      </c>
      <c r="AZ1349" s="62" t="str">
        <f t="shared" si="667"/>
        <v/>
      </c>
      <c r="BA1349" s="61">
        <f t="shared" si="658"/>
        <v>0</v>
      </c>
      <c r="BB1349" s="62" t="str">
        <f t="shared" si="659"/>
        <v/>
      </c>
    </row>
    <row r="1350" spans="1:54" s="3" customFormat="1" hidden="1" x14ac:dyDescent="0.35">
      <c r="A1350" s="73">
        <f t="shared" si="643"/>
        <v>2019</v>
      </c>
      <c r="B1350" s="73" t="str">
        <f t="shared" si="644"/>
        <v>Nov</v>
      </c>
      <c r="C1350" s="74">
        <f t="shared" si="660"/>
        <v>17</v>
      </c>
      <c r="D1350" s="75">
        <f t="shared" si="645"/>
        <v>13</v>
      </c>
      <c r="E1350" s="76">
        <f t="shared" si="646"/>
        <v>20</v>
      </c>
      <c r="F1350" s="80">
        <v>6</v>
      </c>
      <c r="G1350" s="83"/>
      <c r="H1350" s="69" t="str">
        <f t="shared" si="661"/>
        <v>Senbur6_20191117_13_00</v>
      </c>
      <c r="I1350" s="70">
        <f t="shared" si="714"/>
        <v>1</v>
      </c>
      <c r="J1350" s="77" t="str">
        <f t="shared" si="714"/>
        <v>Senecio</v>
      </c>
      <c r="K1350" s="77" t="str">
        <f t="shared" si="714"/>
        <v>burtoni</v>
      </c>
      <c r="L1350" s="78">
        <f t="shared" si="714"/>
        <v>6</v>
      </c>
      <c r="M1350" s="78">
        <f t="shared" si="714"/>
        <v>12</v>
      </c>
      <c r="N1350" s="72">
        <f t="shared" si="714"/>
        <v>0</v>
      </c>
      <c r="O1350" s="45"/>
      <c r="P1350" s="46">
        <f t="shared" si="647"/>
        <v>1</v>
      </c>
      <c r="Q1350" s="47" t="str">
        <f t="shared" si="648"/>
        <v>13:20:06</v>
      </c>
      <c r="R1350" s="48" t="str">
        <f t="shared" si="649"/>
        <v>20:06</v>
      </c>
      <c r="S1350" s="49">
        <f t="shared" ref="S1350:S1414" si="715">IF(T1350&lt;D1350, (T1350*3600+U1350*60+V1350)+((23*3600+59*60+60)-(D1350*3600+E1350*60+LEFT(F1350,2))), (T1350*3600+U1350*60+V1350)-(D1350*3600+E1350*60+LEFT(F1350,2)))</f>
        <v>7</v>
      </c>
      <c r="T1350" s="48" t="str">
        <f t="shared" si="650"/>
        <v>13</v>
      </c>
      <c r="U1350" s="50">
        <v>20</v>
      </c>
      <c r="V1350" s="51">
        <v>13</v>
      </c>
      <c r="W1350" s="52" t="str">
        <f t="shared" si="651"/>
        <v>20:13</v>
      </c>
      <c r="X1350" s="53" t="s">
        <v>61</v>
      </c>
      <c r="Y1350" s="97" t="s">
        <v>78</v>
      </c>
      <c r="Z1350" s="97"/>
      <c r="AA1350" s="48" t="s">
        <v>60</v>
      </c>
      <c r="AB1350" s="48" t="str">
        <f t="shared" si="652"/>
        <v>NA</v>
      </c>
      <c r="AC1350" s="54">
        <f t="shared" si="653"/>
        <v>0</v>
      </c>
      <c r="AD1350" s="55">
        <f t="shared" si="663"/>
        <v>1</v>
      </c>
      <c r="AE1350" s="55"/>
      <c r="AF1350" s="55"/>
      <c r="AG1350" s="56">
        <v>1</v>
      </c>
      <c r="AH1350" s="57">
        <v>4</v>
      </c>
      <c r="AI1350" s="56"/>
      <c r="AJ1350" s="57" t="str">
        <f t="shared" si="665"/>
        <v/>
      </c>
      <c r="AK1350" s="56">
        <v>1</v>
      </c>
      <c r="AL1350" s="57">
        <v>3</v>
      </c>
      <c r="AM1350" s="56"/>
      <c r="AN1350" s="57" t="str">
        <f t="shared" si="654"/>
        <v/>
      </c>
      <c r="AO1350" s="56"/>
      <c r="AP1350" s="57" t="str">
        <f t="shared" si="655"/>
        <v/>
      </c>
      <c r="AQ1350" s="56"/>
      <c r="AR1350" s="57" t="str">
        <f t="shared" si="656"/>
        <v/>
      </c>
      <c r="AS1350" s="56"/>
      <c r="AT1350" s="57" t="str">
        <f t="shared" si="657"/>
        <v/>
      </c>
      <c r="AU1350" s="58"/>
      <c r="AV1350" s="59"/>
      <c r="AW1350" s="59"/>
      <c r="AX1350" s="60"/>
      <c r="AY1350" s="61">
        <v>1</v>
      </c>
      <c r="AZ1350" s="62">
        <f t="shared" si="667"/>
        <v>1</v>
      </c>
      <c r="BA1350" s="61">
        <f t="shared" si="658"/>
        <v>0</v>
      </c>
      <c r="BB1350" s="62" t="str">
        <f t="shared" si="659"/>
        <v/>
      </c>
    </row>
    <row r="1351" spans="1:54" s="3" customFormat="1" hidden="1" x14ac:dyDescent="0.35">
      <c r="A1351" s="73">
        <f t="shared" ref="A1351:A1415" si="716">A1350</f>
        <v>2019</v>
      </c>
      <c r="B1351" s="73" t="str">
        <f t="shared" ref="B1351:B1415" si="717">IF(C1350-C1351&gt;0, TEXT(DATE(2016,(MONTH(DATEVALUE(B1350&amp;"1"))+1),1),"mmm"), B1350)</f>
        <v>Nov</v>
      </c>
      <c r="C1351" s="74">
        <f t="shared" si="660"/>
        <v>17</v>
      </c>
      <c r="D1351" s="75">
        <f t="shared" ref="D1351:D1415" si="718">IF(IF(E1350=59,D1350+1,D1350)=24,0,IF(E1350=59,D1350+1,D1350))</f>
        <v>13</v>
      </c>
      <c r="E1351" s="76">
        <v>20</v>
      </c>
      <c r="F1351" s="80">
        <v>13</v>
      </c>
      <c r="G1351" s="83"/>
      <c r="H1351" s="69" t="str">
        <f t="shared" si="661"/>
        <v>Senbur6_20191117_13_00</v>
      </c>
      <c r="I1351" s="70">
        <f t="shared" si="714"/>
        <v>1</v>
      </c>
      <c r="J1351" s="77" t="str">
        <f t="shared" si="714"/>
        <v>Senecio</v>
      </c>
      <c r="K1351" s="77" t="str">
        <f t="shared" si="714"/>
        <v>burtoni</v>
      </c>
      <c r="L1351" s="78">
        <f t="shared" si="714"/>
        <v>6</v>
      </c>
      <c r="M1351" s="78">
        <f t="shared" si="714"/>
        <v>12</v>
      </c>
      <c r="N1351" s="72">
        <f t="shared" si="714"/>
        <v>0</v>
      </c>
      <c r="O1351" s="45"/>
      <c r="P1351" s="46">
        <f t="shared" ref="P1351:P1415" si="719">IF(F1351="","",1)</f>
        <v>1</v>
      </c>
      <c r="Q1351" s="47" t="str">
        <f t="shared" ref="Q1351:Q1415" si="720">TEXT(IF(P1351=1,CONCATENATE($D1351,":",$E1351,":",(LEFT($F1351,2))),""),"hh:mm:ss")</f>
        <v>13:20:13</v>
      </c>
      <c r="R1351" s="48" t="str">
        <f t="shared" ref="R1351:R1415" si="721">TEXT(Q1351-TIME(0,RIGHT($H1351,2),$G$9)+(Q1351&gt;TIME(0,RIGHT($H1351,2),$G$9)),"mm:ss")</f>
        <v>20:13</v>
      </c>
      <c r="S1351" s="49">
        <f t="shared" si="715"/>
        <v>28</v>
      </c>
      <c r="T1351" s="48" t="str">
        <f t="shared" ref="T1351:T1415" si="722">TEXT(IF(P1351=1,D1351,""),"00")</f>
        <v>13</v>
      </c>
      <c r="U1351" s="50">
        <v>20</v>
      </c>
      <c r="V1351" s="51">
        <v>41</v>
      </c>
      <c r="W1351" s="52" t="str">
        <f t="shared" ref="W1351:W1415" si="723">IF(O1351=0,TEXT(TIME(T1351,U1351,V1351)-TIME(D1351,E1351,RIGHT(F1351,2))+TIME(0,LEFT(R1351,2),RIGHT(R1351,2)),"mm:ss"),TEXT(TIME(T1351,U1351,V1351)-TIME(D1351,E1351,RIGHT(F1351,2))+TIME(0,LEFT(R1351,2),RIGHT(R1351,2))-TIME(0,($G$10*O1351),0),"mm:ss"))</f>
        <v>20:41</v>
      </c>
      <c r="X1351" s="53" t="s">
        <v>61</v>
      </c>
      <c r="Y1351" s="97" t="s">
        <v>84</v>
      </c>
      <c r="Z1351" s="97" t="s">
        <v>80</v>
      </c>
      <c r="AA1351" s="48" t="s">
        <v>60</v>
      </c>
      <c r="AB1351" s="48" t="str">
        <f t="shared" ref="AB1351:AB1415" si="724">IF(AA1351&lt;&gt;0,"NA","")</f>
        <v>NA</v>
      </c>
      <c r="AC1351" s="54">
        <f t="shared" ref="AC1351:AC1415" si="725">IF(SUM(AH1351,AJ1351,AL1351,AN1351,AP1351,AR1351,AT1351)=S1351,,"")</f>
        <v>0</v>
      </c>
      <c r="AD1351" s="55">
        <f t="shared" ref="AD1351:AD1415" si="726">IF(P1351=1,1,"")</f>
        <v>1</v>
      </c>
      <c r="AE1351" s="55"/>
      <c r="AF1351" s="55"/>
      <c r="AG1351" s="56" t="str">
        <f t="shared" ref="AG1351:AG1415" si="727">IF(OR(X1351="Something small"),1,"")</f>
        <v/>
      </c>
      <c r="AH1351" s="57" t="str">
        <f t="shared" ref="AH1351:AH1415" si="728">IF(AG1351=1,$S1351,"")</f>
        <v/>
      </c>
      <c r="AI1351" s="56"/>
      <c r="AJ1351" s="57" t="str">
        <f t="shared" ref="AJ1351:AJ1415" si="729">IF(AI1351=1,$S1351,"")</f>
        <v/>
      </c>
      <c r="AK1351" s="56">
        <v>1</v>
      </c>
      <c r="AL1351" s="57">
        <f t="shared" ref="AL1351:AL1415" si="730">IF(AK1351=1,$S1351,"")</f>
        <v>28</v>
      </c>
      <c r="AM1351" s="56"/>
      <c r="AN1351" s="57" t="str">
        <f t="shared" ref="AN1351:AN1415" si="731">IF(AM1351=1,$S1351,"")</f>
        <v/>
      </c>
      <c r="AO1351" s="56"/>
      <c r="AP1351" s="57" t="str">
        <f t="shared" ref="AP1351:AP1415" si="732">IF(AO1351=1,$S1351,"")</f>
        <v/>
      </c>
      <c r="AQ1351" s="56"/>
      <c r="AR1351" s="57" t="str">
        <f t="shared" ref="AR1351:AR1415" si="733">IF(AQ1351=1,$S1351,"")</f>
        <v/>
      </c>
      <c r="AS1351" s="56"/>
      <c r="AT1351" s="57" t="str">
        <f t="shared" ref="AT1351:AT1415" si="734">IF(AS1351=1,$S1351,"")</f>
        <v/>
      </c>
      <c r="AU1351" s="58"/>
      <c r="AV1351" s="59"/>
      <c r="AW1351" s="59"/>
      <c r="AX1351" s="60"/>
      <c r="AY1351" s="61">
        <v>1</v>
      </c>
      <c r="AZ1351" s="62">
        <f t="shared" ref="AZ1351:AZ1415" si="735">IF(AY1351=1,AD1351,"")</f>
        <v>1</v>
      </c>
      <c r="BA1351" s="61">
        <f t="shared" ref="BA1351:BA1415" si="736">IF(P1351=1,0,"")</f>
        <v>0</v>
      </c>
      <c r="BB1351" s="62" t="str">
        <f t="shared" ref="BB1351:BB1415" si="737">IF(BA1351=1,AD1351,"")</f>
        <v/>
      </c>
    </row>
    <row r="1352" spans="1:54" s="3" customFormat="1" hidden="1" x14ac:dyDescent="0.35">
      <c r="A1352" s="73">
        <f t="shared" si="716"/>
        <v>2019</v>
      </c>
      <c r="B1352" s="73" t="str">
        <f t="shared" si="717"/>
        <v>Nov</v>
      </c>
      <c r="C1352" s="74">
        <f t="shared" ref="C1352:C1416" si="738">IF(AND(D1352=0, E1352=0), IF(TEXT(C1351,"dd")=TEXT(EOMONTH(DATE(A1351,MONTH(DATEVALUE(B1351&amp;"1")),C1351),0), "dd"), 1, C1351+1), C1351)</f>
        <v>17</v>
      </c>
      <c r="D1352" s="75">
        <f t="shared" si="718"/>
        <v>13</v>
      </c>
      <c r="E1352" s="76">
        <f t="shared" ref="E1352:E1415" si="739">IF(E1351&lt;59,E1351+1,0)</f>
        <v>21</v>
      </c>
      <c r="F1352" s="80"/>
      <c r="G1352" s="83"/>
      <c r="H1352" s="69" t="str">
        <f t="shared" ref="H1352:H1416" si="740">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Senbur6_20191117_13_00</v>
      </c>
      <c r="I1352" s="70">
        <f t="shared" ref="I1352:N1367" si="741">I1351</f>
        <v>1</v>
      </c>
      <c r="J1352" s="77" t="str">
        <f t="shared" si="741"/>
        <v>Senecio</v>
      </c>
      <c r="K1352" s="77" t="str">
        <f t="shared" si="741"/>
        <v>burtoni</v>
      </c>
      <c r="L1352" s="78">
        <f t="shared" si="741"/>
        <v>6</v>
      </c>
      <c r="M1352" s="78">
        <f t="shared" si="741"/>
        <v>12</v>
      </c>
      <c r="N1352" s="72">
        <f t="shared" si="741"/>
        <v>0</v>
      </c>
      <c r="O1352" s="45"/>
      <c r="P1352" s="46" t="str">
        <f t="shared" si="719"/>
        <v/>
      </c>
      <c r="Q1352" s="47" t="str">
        <f t="shared" si="720"/>
        <v/>
      </c>
      <c r="R1352" s="48" t="e">
        <f t="shared" si="721"/>
        <v>#VALUE!</v>
      </c>
      <c r="S1352" s="49" t="e">
        <f t="shared" si="715"/>
        <v>#VALUE!</v>
      </c>
      <c r="T1352" s="48" t="str">
        <f t="shared" si="722"/>
        <v/>
      </c>
      <c r="U1352" s="50"/>
      <c r="V1352" s="51"/>
      <c r="W1352" s="52" t="e">
        <f t="shared" si="723"/>
        <v>#VALUE!</v>
      </c>
      <c r="X1352" s="53"/>
      <c r="Y1352" s="53"/>
      <c r="Z1352" s="53"/>
      <c r="AA1352" s="48" t="e">
        <f>INDEX([1]!VISITORS[INSECT ORDER], MATCH(X1352,[1]!VISITORS[NAME USED],0))</f>
        <v>#REF!</v>
      </c>
      <c r="AB1352" s="48" t="e">
        <f t="shared" si="724"/>
        <v>#REF!</v>
      </c>
      <c r="AC1352" s="54" t="e">
        <f t="shared" si="725"/>
        <v>#VALUE!</v>
      </c>
      <c r="AD1352" s="55" t="str">
        <f t="shared" si="726"/>
        <v/>
      </c>
      <c r="AE1352" s="55"/>
      <c r="AF1352" s="55"/>
      <c r="AG1352" s="56" t="str">
        <f t="shared" si="727"/>
        <v/>
      </c>
      <c r="AH1352" s="57" t="str">
        <f t="shared" si="728"/>
        <v/>
      </c>
      <c r="AI1352" s="56"/>
      <c r="AJ1352" s="57" t="str">
        <f t="shared" si="729"/>
        <v/>
      </c>
      <c r="AK1352" s="56"/>
      <c r="AL1352" s="57" t="str">
        <f t="shared" si="730"/>
        <v/>
      </c>
      <c r="AM1352" s="56"/>
      <c r="AN1352" s="57" t="str">
        <f t="shared" si="731"/>
        <v/>
      </c>
      <c r="AO1352" s="56"/>
      <c r="AP1352" s="57" t="str">
        <f t="shared" si="732"/>
        <v/>
      </c>
      <c r="AQ1352" s="56"/>
      <c r="AR1352" s="57" t="str">
        <f t="shared" si="733"/>
        <v/>
      </c>
      <c r="AS1352" s="56"/>
      <c r="AT1352" s="57" t="str">
        <f t="shared" si="734"/>
        <v/>
      </c>
      <c r="AU1352" s="58"/>
      <c r="AV1352" s="59"/>
      <c r="AW1352" s="59"/>
      <c r="AX1352" s="60"/>
      <c r="AY1352" s="61" t="str">
        <f t="shared" ref="AY1352:AY1415" si="742">IF(P1352=1,0,"")</f>
        <v/>
      </c>
      <c r="AZ1352" s="62" t="str">
        <f t="shared" si="735"/>
        <v/>
      </c>
      <c r="BA1352" s="61" t="str">
        <f t="shared" si="736"/>
        <v/>
      </c>
      <c r="BB1352" s="62" t="str">
        <f t="shared" si="737"/>
        <v/>
      </c>
    </row>
    <row r="1353" spans="1:54" s="3" customFormat="1" hidden="1" x14ac:dyDescent="0.35">
      <c r="A1353" s="73">
        <f t="shared" si="716"/>
        <v>2019</v>
      </c>
      <c r="B1353" s="73" t="str">
        <f t="shared" si="717"/>
        <v>Nov</v>
      </c>
      <c r="C1353" s="74">
        <f t="shared" si="738"/>
        <v>17</v>
      </c>
      <c r="D1353" s="75">
        <f t="shared" si="718"/>
        <v>13</v>
      </c>
      <c r="E1353" s="76">
        <f t="shared" si="739"/>
        <v>22</v>
      </c>
      <c r="F1353" s="80">
        <v>24</v>
      </c>
      <c r="G1353" s="83"/>
      <c r="H1353" s="69" t="str">
        <f t="shared" si="740"/>
        <v>Senbur6_20191117_13_00</v>
      </c>
      <c r="I1353" s="70">
        <f t="shared" si="741"/>
        <v>1</v>
      </c>
      <c r="J1353" s="77" t="str">
        <f t="shared" si="741"/>
        <v>Senecio</v>
      </c>
      <c r="K1353" s="77" t="str">
        <f t="shared" si="741"/>
        <v>burtoni</v>
      </c>
      <c r="L1353" s="78">
        <f t="shared" si="741"/>
        <v>6</v>
      </c>
      <c r="M1353" s="78">
        <f t="shared" si="741"/>
        <v>12</v>
      </c>
      <c r="N1353" s="72">
        <f t="shared" si="741"/>
        <v>0</v>
      </c>
      <c r="O1353" s="45"/>
      <c r="P1353" s="46">
        <f t="shared" si="719"/>
        <v>1</v>
      </c>
      <c r="Q1353" s="47" t="str">
        <f t="shared" si="720"/>
        <v>13:22:24</v>
      </c>
      <c r="R1353" s="48" t="str">
        <f t="shared" si="721"/>
        <v>22:24</v>
      </c>
      <c r="S1353" s="49">
        <f t="shared" si="715"/>
        <v>36</v>
      </c>
      <c r="T1353" s="48" t="str">
        <f t="shared" si="722"/>
        <v>13</v>
      </c>
      <c r="U1353" s="50">
        <v>23</v>
      </c>
      <c r="V1353" s="51">
        <v>0</v>
      </c>
      <c r="W1353" s="52" t="str">
        <f t="shared" si="723"/>
        <v>23:00</v>
      </c>
      <c r="X1353" s="53" t="s">
        <v>73</v>
      </c>
      <c r="Y1353" s="97" t="s">
        <v>89</v>
      </c>
      <c r="Z1353" s="97" t="s">
        <v>80</v>
      </c>
      <c r="AA1353" s="48" t="s">
        <v>63</v>
      </c>
      <c r="AB1353" s="48" t="str">
        <f t="shared" si="724"/>
        <v>NA</v>
      </c>
      <c r="AC1353" s="54">
        <f t="shared" si="725"/>
        <v>0</v>
      </c>
      <c r="AD1353" s="55">
        <v>2</v>
      </c>
      <c r="AE1353" s="55"/>
      <c r="AF1353" s="55"/>
      <c r="AG1353" s="56" t="str">
        <f t="shared" si="727"/>
        <v/>
      </c>
      <c r="AH1353" s="57" t="str">
        <f t="shared" si="728"/>
        <v/>
      </c>
      <c r="AI1353" s="56">
        <v>1</v>
      </c>
      <c r="AJ1353" s="57">
        <v>1</v>
      </c>
      <c r="AK1353" s="56">
        <v>1</v>
      </c>
      <c r="AL1353" s="57">
        <v>35</v>
      </c>
      <c r="AM1353" s="56"/>
      <c r="AN1353" s="57" t="str">
        <f t="shared" si="731"/>
        <v/>
      </c>
      <c r="AO1353" s="56"/>
      <c r="AP1353" s="57" t="str">
        <f t="shared" si="732"/>
        <v/>
      </c>
      <c r="AQ1353" s="56"/>
      <c r="AR1353" s="57" t="str">
        <f t="shared" si="733"/>
        <v/>
      </c>
      <c r="AS1353" s="56"/>
      <c r="AT1353" s="57" t="str">
        <f t="shared" si="734"/>
        <v/>
      </c>
      <c r="AU1353" s="58"/>
      <c r="AV1353" s="59"/>
      <c r="AW1353" s="59"/>
      <c r="AX1353" s="60"/>
      <c r="AY1353" s="61">
        <v>1</v>
      </c>
      <c r="AZ1353" s="62">
        <f t="shared" si="735"/>
        <v>2</v>
      </c>
      <c r="BA1353" s="61">
        <f t="shared" si="736"/>
        <v>0</v>
      </c>
      <c r="BB1353" s="62" t="str">
        <f t="shared" si="737"/>
        <v/>
      </c>
    </row>
    <row r="1354" spans="1:54" s="3" customFormat="1" hidden="1" x14ac:dyDescent="0.35">
      <c r="A1354" s="73">
        <f t="shared" si="716"/>
        <v>2019</v>
      </c>
      <c r="B1354" s="73" t="str">
        <f t="shared" si="717"/>
        <v>Nov</v>
      </c>
      <c r="C1354" s="74">
        <f t="shared" si="738"/>
        <v>17</v>
      </c>
      <c r="D1354" s="75">
        <f t="shared" si="718"/>
        <v>13</v>
      </c>
      <c r="E1354" s="76">
        <v>22</v>
      </c>
      <c r="F1354" s="80">
        <v>32</v>
      </c>
      <c r="G1354" s="83"/>
      <c r="H1354" s="69" t="str">
        <f t="shared" si="740"/>
        <v>Senbur6_20191117_13_00</v>
      </c>
      <c r="I1354" s="70">
        <f t="shared" si="741"/>
        <v>1</v>
      </c>
      <c r="J1354" s="77" t="str">
        <f t="shared" si="741"/>
        <v>Senecio</v>
      </c>
      <c r="K1354" s="77" t="str">
        <f t="shared" si="741"/>
        <v>burtoni</v>
      </c>
      <c r="L1354" s="78">
        <f t="shared" si="741"/>
        <v>6</v>
      </c>
      <c r="M1354" s="78">
        <f t="shared" si="741"/>
        <v>12</v>
      </c>
      <c r="N1354" s="72">
        <f t="shared" si="741"/>
        <v>0</v>
      </c>
      <c r="O1354" s="45"/>
      <c r="P1354" s="46">
        <f t="shared" si="719"/>
        <v>1</v>
      </c>
      <c r="Q1354" s="47" t="str">
        <f t="shared" si="720"/>
        <v>13:22:32</v>
      </c>
      <c r="R1354" s="48" t="str">
        <f t="shared" si="721"/>
        <v>22:32</v>
      </c>
      <c r="S1354" s="49">
        <f t="shared" si="715"/>
        <v>10</v>
      </c>
      <c r="T1354" s="48" t="str">
        <f t="shared" si="722"/>
        <v>13</v>
      </c>
      <c r="U1354" s="50">
        <v>22</v>
      </c>
      <c r="V1354" s="51">
        <v>42</v>
      </c>
      <c r="W1354" s="52" t="str">
        <f t="shared" si="723"/>
        <v>22:42</v>
      </c>
      <c r="X1354" s="53" t="s">
        <v>73</v>
      </c>
      <c r="Y1354" s="97" t="s">
        <v>89</v>
      </c>
      <c r="Z1354" s="97" t="s">
        <v>80</v>
      </c>
      <c r="AA1354" s="48" t="s">
        <v>63</v>
      </c>
      <c r="AB1354" s="48" t="str">
        <f t="shared" si="724"/>
        <v>NA</v>
      </c>
      <c r="AC1354" s="54">
        <f t="shared" si="725"/>
        <v>0</v>
      </c>
      <c r="AD1354" s="55">
        <f t="shared" si="726"/>
        <v>1</v>
      </c>
      <c r="AE1354" s="55"/>
      <c r="AF1354" s="55"/>
      <c r="AG1354" s="56">
        <v>1</v>
      </c>
      <c r="AH1354" s="57">
        <f t="shared" si="728"/>
        <v>10</v>
      </c>
      <c r="AI1354" s="56"/>
      <c r="AJ1354" s="57" t="str">
        <f t="shared" si="729"/>
        <v/>
      </c>
      <c r="AK1354" s="56"/>
      <c r="AL1354" s="57" t="str">
        <f t="shared" si="730"/>
        <v/>
      </c>
      <c r="AM1354" s="56"/>
      <c r="AN1354" s="57" t="str">
        <f t="shared" si="731"/>
        <v/>
      </c>
      <c r="AO1354" s="56"/>
      <c r="AP1354" s="57" t="str">
        <f t="shared" si="732"/>
        <v/>
      </c>
      <c r="AQ1354" s="56"/>
      <c r="AR1354" s="57" t="str">
        <f t="shared" si="733"/>
        <v/>
      </c>
      <c r="AS1354" s="56"/>
      <c r="AT1354" s="57" t="str">
        <f t="shared" si="734"/>
        <v/>
      </c>
      <c r="AU1354" s="58"/>
      <c r="AV1354" s="59"/>
      <c r="AW1354" s="59"/>
      <c r="AX1354" s="60"/>
      <c r="AY1354" s="61">
        <f t="shared" si="742"/>
        <v>0</v>
      </c>
      <c r="AZ1354" s="62" t="str">
        <f t="shared" si="735"/>
        <v/>
      </c>
      <c r="BA1354" s="61">
        <f t="shared" si="736"/>
        <v>0</v>
      </c>
      <c r="BB1354" s="62" t="str">
        <f t="shared" si="737"/>
        <v/>
      </c>
    </row>
    <row r="1355" spans="1:54" s="3" customFormat="1" hidden="1" x14ac:dyDescent="0.35">
      <c r="A1355" s="73">
        <f t="shared" si="716"/>
        <v>2019</v>
      </c>
      <c r="B1355" s="73" t="str">
        <f t="shared" si="717"/>
        <v>Nov</v>
      </c>
      <c r="C1355" s="74">
        <f t="shared" si="738"/>
        <v>17</v>
      </c>
      <c r="D1355" s="75">
        <f t="shared" si="718"/>
        <v>13</v>
      </c>
      <c r="E1355" s="76">
        <v>22</v>
      </c>
      <c r="F1355" s="80">
        <v>32</v>
      </c>
      <c r="G1355" s="83"/>
      <c r="H1355" s="69" t="str">
        <f t="shared" si="740"/>
        <v>Senbur6_20191117_13_00</v>
      </c>
      <c r="I1355" s="70">
        <f t="shared" si="741"/>
        <v>1</v>
      </c>
      <c r="J1355" s="77" t="str">
        <f t="shared" si="741"/>
        <v>Senecio</v>
      </c>
      <c r="K1355" s="77" t="str">
        <f t="shared" si="741"/>
        <v>burtoni</v>
      </c>
      <c r="L1355" s="78">
        <f t="shared" si="741"/>
        <v>6</v>
      </c>
      <c r="M1355" s="78">
        <f t="shared" si="741"/>
        <v>12</v>
      </c>
      <c r="N1355" s="72">
        <f t="shared" si="741"/>
        <v>0</v>
      </c>
      <c r="O1355" s="45"/>
      <c r="P1355" s="46">
        <f t="shared" si="719"/>
        <v>1</v>
      </c>
      <c r="Q1355" s="47" t="str">
        <f t="shared" si="720"/>
        <v>13:22:32</v>
      </c>
      <c r="R1355" s="48" t="str">
        <f t="shared" si="721"/>
        <v>22:32</v>
      </c>
      <c r="S1355" s="49">
        <f t="shared" si="715"/>
        <v>20</v>
      </c>
      <c r="T1355" s="48" t="str">
        <f t="shared" si="722"/>
        <v>13</v>
      </c>
      <c r="U1355" s="50">
        <v>22</v>
      </c>
      <c r="V1355" s="51">
        <v>52</v>
      </c>
      <c r="W1355" s="52" t="str">
        <f t="shared" si="723"/>
        <v>22:52</v>
      </c>
      <c r="X1355" s="53" t="s">
        <v>61</v>
      </c>
      <c r="Y1355" s="97" t="s">
        <v>78</v>
      </c>
      <c r="Z1355" s="97"/>
      <c r="AA1355" s="48" t="s">
        <v>60</v>
      </c>
      <c r="AB1355" s="48" t="str">
        <f t="shared" si="724"/>
        <v>NA</v>
      </c>
      <c r="AC1355" s="54">
        <f t="shared" si="725"/>
        <v>0</v>
      </c>
      <c r="AD1355" s="55">
        <f t="shared" si="726"/>
        <v>1</v>
      </c>
      <c r="AE1355" s="55"/>
      <c r="AF1355" s="55"/>
      <c r="AG1355" s="56" t="str">
        <f t="shared" si="727"/>
        <v/>
      </c>
      <c r="AH1355" s="57" t="str">
        <f t="shared" si="728"/>
        <v/>
      </c>
      <c r="AI1355" s="56"/>
      <c r="AJ1355" s="57" t="str">
        <f t="shared" si="729"/>
        <v/>
      </c>
      <c r="AK1355" s="56">
        <v>1</v>
      </c>
      <c r="AL1355" s="57">
        <f t="shared" si="730"/>
        <v>20</v>
      </c>
      <c r="AM1355" s="56"/>
      <c r="AN1355" s="57" t="str">
        <f t="shared" si="731"/>
        <v/>
      </c>
      <c r="AO1355" s="56"/>
      <c r="AP1355" s="57" t="str">
        <f t="shared" si="732"/>
        <v/>
      </c>
      <c r="AQ1355" s="56"/>
      <c r="AR1355" s="57" t="str">
        <f t="shared" si="733"/>
        <v/>
      </c>
      <c r="AS1355" s="56"/>
      <c r="AT1355" s="57" t="str">
        <f t="shared" si="734"/>
        <v/>
      </c>
      <c r="AU1355" s="58"/>
      <c r="AV1355" s="59"/>
      <c r="AW1355" s="59"/>
      <c r="AX1355" s="60"/>
      <c r="AY1355" s="61">
        <v>1</v>
      </c>
      <c r="AZ1355" s="62">
        <f t="shared" si="735"/>
        <v>1</v>
      </c>
      <c r="BA1355" s="61">
        <f t="shared" si="736"/>
        <v>0</v>
      </c>
      <c r="BB1355" s="62" t="str">
        <f t="shared" si="737"/>
        <v/>
      </c>
    </row>
    <row r="1356" spans="1:54" s="3" customFormat="1" hidden="1" x14ac:dyDescent="0.35">
      <c r="A1356" s="73">
        <f t="shared" si="716"/>
        <v>2019</v>
      </c>
      <c r="B1356" s="73" t="str">
        <f t="shared" si="717"/>
        <v>Nov</v>
      </c>
      <c r="C1356" s="74">
        <f t="shared" si="738"/>
        <v>17</v>
      </c>
      <c r="D1356" s="75">
        <f t="shared" si="718"/>
        <v>13</v>
      </c>
      <c r="E1356" s="76">
        <v>22</v>
      </c>
      <c r="F1356" s="80">
        <v>33</v>
      </c>
      <c r="G1356" s="83"/>
      <c r="H1356" s="69" t="str">
        <f t="shared" si="740"/>
        <v>Senbur6_20191117_13_00</v>
      </c>
      <c r="I1356" s="70">
        <f t="shared" si="741"/>
        <v>1</v>
      </c>
      <c r="J1356" s="77" t="str">
        <f t="shared" si="741"/>
        <v>Senecio</v>
      </c>
      <c r="K1356" s="77" t="str">
        <f t="shared" si="741"/>
        <v>burtoni</v>
      </c>
      <c r="L1356" s="78">
        <f t="shared" si="741"/>
        <v>6</v>
      </c>
      <c r="M1356" s="78">
        <f t="shared" si="741"/>
        <v>12</v>
      </c>
      <c r="N1356" s="72">
        <f t="shared" si="741"/>
        <v>0</v>
      </c>
      <c r="O1356" s="45"/>
      <c r="P1356" s="46">
        <f t="shared" si="719"/>
        <v>1</v>
      </c>
      <c r="Q1356" s="47" t="str">
        <f t="shared" si="720"/>
        <v>13:22:33</v>
      </c>
      <c r="R1356" s="48" t="str">
        <f t="shared" si="721"/>
        <v>22:33</v>
      </c>
      <c r="S1356" s="49">
        <f t="shared" si="715"/>
        <v>166</v>
      </c>
      <c r="T1356" s="48" t="str">
        <f t="shared" si="722"/>
        <v>13</v>
      </c>
      <c r="U1356" s="50">
        <v>25</v>
      </c>
      <c r="V1356" s="51">
        <v>19</v>
      </c>
      <c r="W1356" s="52" t="str">
        <f t="shared" si="723"/>
        <v>25:19</v>
      </c>
      <c r="X1356" s="53" t="s">
        <v>61</v>
      </c>
      <c r="Y1356" s="97" t="s">
        <v>84</v>
      </c>
      <c r="Z1356" s="97" t="s">
        <v>80</v>
      </c>
      <c r="AA1356" s="48" t="s">
        <v>60</v>
      </c>
      <c r="AB1356" s="48" t="str">
        <f t="shared" si="724"/>
        <v>NA</v>
      </c>
      <c r="AC1356" s="54">
        <f t="shared" si="725"/>
        <v>0</v>
      </c>
      <c r="AD1356" s="55">
        <v>3</v>
      </c>
      <c r="AE1356" s="55"/>
      <c r="AF1356" s="55"/>
      <c r="AG1356" s="56" t="str">
        <f t="shared" si="727"/>
        <v/>
      </c>
      <c r="AH1356" s="57" t="str">
        <f t="shared" si="728"/>
        <v/>
      </c>
      <c r="AI1356" s="56">
        <v>1</v>
      </c>
      <c r="AJ1356" s="57">
        <v>2</v>
      </c>
      <c r="AK1356" s="56">
        <v>1</v>
      </c>
      <c r="AL1356" s="57">
        <v>164</v>
      </c>
      <c r="AM1356" s="56"/>
      <c r="AN1356" s="57" t="str">
        <f t="shared" si="731"/>
        <v/>
      </c>
      <c r="AO1356" s="56"/>
      <c r="AP1356" s="57" t="str">
        <f t="shared" si="732"/>
        <v/>
      </c>
      <c r="AQ1356" s="56"/>
      <c r="AR1356" s="57" t="str">
        <f t="shared" si="733"/>
        <v/>
      </c>
      <c r="AS1356" s="56"/>
      <c r="AT1356" s="57" t="str">
        <f t="shared" si="734"/>
        <v/>
      </c>
      <c r="AU1356" s="58"/>
      <c r="AV1356" s="59"/>
      <c r="AW1356" s="59"/>
      <c r="AX1356" s="60"/>
      <c r="AY1356" s="61">
        <v>1</v>
      </c>
      <c r="AZ1356" s="62">
        <f t="shared" si="735"/>
        <v>3</v>
      </c>
      <c r="BA1356" s="61">
        <f t="shared" si="736"/>
        <v>0</v>
      </c>
      <c r="BB1356" s="62" t="str">
        <f t="shared" si="737"/>
        <v/>
      </c>
    </row>
    <row r="1357" spans="1:54" s="3" customFormat="1" hidden="1" x14ac:dyDescent="0.35">
      <c r="A1357" s="73">
        <f t="shared" si="716"/>
        <v>2019</v>
      </c>
      <c r="B1357" s="73" t="str">
        <f t="shared" si="717"/>
        <v>Nov</v>
      </c>
      <c r="C1357" s="74">
        <f t="shared" si="738"/>
        <v>17</v>
      </c>
      <c r="D1357" s="75">
        <f t="shared" si="718"/>
        <v>13</v>
      </c>
      <c r="E1357" s="76">
        <v>22</v>
      </c>
      <c r="F1357" s="80">
        <v>34</v>
      </c>
      <c r="G1357" s="83"/>
      <c r="H1357" s="69" t="str">
        <f t="shared" si="740"/>
        <v>Senbur6_20191117_13_00</v>
      </c>
      <c r="I1357" s="70">
        <f t="shared" si="741"/>
        <v>1</v>
      </c>
      <c r="J1357" s="77" t="str">
        <f t="shared" si="741"/>
        <v>Senecio</v>
      </c>
      <c r="K1357" s="77" t="str">
        <f t="shared" si="741"/>
        <v>burtoni</v>
      </c>
      <c r="L1357" s="78">
        <f t="shared" si="741"/>
        <v>6</v>
      </c>
      <c r="M1357" s="78">
        <f t="shared" si="741"/>
        <v>12</v>
      </c>
      <c r="N1357" s="72">
        <f t="shared" si="741"/>
        <v>0</v>
      </c>
      <c r="O1357" s="45"/>
      <c r="P1357" s="46">
        <f t="shared" si="719"/>
        <v>1</v>
      </c>
      <c r="Q1357" s="47" t="str">
        <f t="shared" si="720"/>
        <v>13:22:34</v>
      </c>
      <c r="R1357" s="48" t="str">
        <f t="shared" si="721"/>
        <v>22:34</v>
      </c>
      <c r="S1357" s="49">
        <f t="shared" si="715"/>
        <v>1</v>
      </c>
      <c r="T1357" s="48" t="str">
        <f t="shared" si="722"/>
        <v>13</v>
      </c>
      <c r="U1357" s="50">
        <v>22</v>
      </c>
      <c r="V1357" s="51">
        <v>35</v>
      </c>
      <c r="W1357" s="52" t="str">
        <f t="shared" si="723"/>
        <v>22:35</v>
      </c>
      <c r="X1357" s="53" t="s">
        <v>70</v>
      </c>
      <c r="Y1357" s="97" t="s">
        <v>90</v>
      </c>
      <c r="Z1357" s="97"/>
      <c r="AA1357" s="48" t="s">
        <v>63</v>
      </c>
      <c r="AB1357" s="48" t="str">
        <f t="shared" si="724"/>
        <v>NA</v>
      </c>
      <c r="AC1357" s="54">
        <f t="shared" si="725"/>
        <v>0</v>
      </c>
      <c r="AD1357" s="55">
        <f t="shared" si="726"/>
        <v>1</v>
      </c>
      <c r="AE1357" s="55"/>
      <c r="AF1357" s="55"/>
      <c r="AG1357" s="56">
        <v>1</v>
      </c>
      <c r="AH1357" s="57">
        <f t="shared" si="728"/>
        <v>1</v>
      </c>
      <c r="AI1357" s="56"/>
      <c r="AJ1357" s="57" t="str">
        <f t="shared" si="729"/>
        <v/>
      </c>
      <c r="AK1357" s="56"/>
      <c r="AL1357" s="57" t="str">
        <f t="shared" si="730"/>
        <v/>
      </c>
      <c r="AM1357" s="56"/>
      <c r="AN1357" s="57" t="str">
        <f t="shared" si="731"/>
        <v/>
      </c>
      <c r="AO1357" s="56"/>
      <c r="AP1357" s="57" t="str">
        <f t="shared" si="732"/>
        <v/>
      </c>
      <c r="AQ1357" s="56"/>
      <c r="AR1357" s="57" t="str">
        <f t="shared" si="733"/>
        <v/>
      </c>
      <c r="AS1357" s="56"/>
      <c r="AT1357" s="57" t="str">
        <f t="shared" si="734"/>
        <v/>
      </c>
      <c r="AU1357" s="58"/>
      <c r="AV1357" s="59"/>
      <c r="AW1357" s="59"/>
      <c r="AX1357" s="60"/>
      <c r="AY1357" s="61">
        <v>1</v>
      </c>
      <c r="AZ1357" s="62">
        <f t="shared" si="735"/>
        <v>1</v>
      </c>
      <c r="BA1357" s="61">
        <f t="shared" si="736"/>
        <v>0</v>
      </c>
      <c r="BB1357" s="62" t="str">
        <f t="shared" si="737"/>
        <v/>
      </c>
    </row>
    <row r="1358" spans="1:54" s="3" customFormat="1" hidden="1" x14ac:dyDescent="0.35">
      <c r="A1358" s="73">
        <f t="shared" si="716"/>
        <v>2019</v>
      </c>
      <c r="B1358" s="73" t="str">
        <f t="shared" si="717"/>
        <v>Nov</v>
      </c>
      <c r="C1358" s="74">
        <f t="shared" si="738"/>
        <v>17</v>
      </c>
      <c r="D1358" s="75">
        <f t="shared" si="718"/>
        <v>13</v>
      </c>
      <c r="E1358" s="76">
        <f t="shared" si="739"/>
        <v>23</v>
      </c>
      <c r="F1358" s="80">
        <v>21</v>
      </c>
      <c r="G1358" s="83"/>
      <c r="H1358" s="69" t="str">
        <f t="shared" si="740"/>
        <v>Senbur6_20191117_13_00</v>
      </c>
      <c r="I1358" s="70">
        <f t="shared" si="741"/>
        <v>1</v>
      </c>
      <c r="J1358" s="77" t="str">
        <f t="shared" si="741"/>
        <v>Senecio</v>
      </c>
      <c r="K1358" s="77" t="str">
        <f t="shared" si="741"/>
        <v>burtoni</v>
      </c>
      <c r="L1358" s="78">
        <f t="shared" si="741"/>
        <v>6</v>
      </c>
      <c r="M1358" s="78">
        <f t="shared" si="741"/>
        <v>12</v>
      </c>
      <c r="N1358" s="72">
        <f t="shared" si="741"/>
        <v>0</v>
      </c>
      <c r="O1358" s="45"/>
      <c r="P1358" s="46">
        <f t="shared" si="719"/>
        <v>1</v>
      </c>
      <c r="Q1358" s="47" t="str">
        <f t="shared" si="720"/>
        <v>13:23:21</v>
      </c>
      <c r="R1358" s="48" t="str">
        <f t="shared" si="721"/>
        <v>23:21</v>
      </c>
      <c r="S1358" s="49">
        <f t="shared" si="715"/>
        <v>85</v>
      </c>
      <c r="T1358" s="48" t="str">
        <f t="shared" si="722"/>
        <v>13</v>
      </c>
      <c r="U1358" s="50">
        <v>24</v>
      </c>
      <c r="V1358" s="51">
        <v>46</v>
      </c>
      <c r="W1358" s="52" t="str">
        <f t="shared" si="723"/>
        <v>24:46</v>
      </c>
      <c r="X1358" s="53" t="s">
        <v>59</v>
      </c>
      <c r="Y1358" s="97" t="s">
        <v>84</v>
      </c>
      <c r="Z1358" s="97" t="s">
        <v>80</v>
      </c>
      <c r="AA1358" s="48" t="s">
        <v>60</v>
      </c>
      <c r="AB1358" s="48" t="str">
        <f t="shared" si="724"/>
        <v>NA</v>
      </c>
      <c r="AC1358" s="54">
        <f t="shared" si="725"/>
        <v>0</v>
      </c>
      <c r="AD1358" s="55">
        <v>3</v>
      </c>
      <c r="AE1358" s="55"/>
      <c r="AF1358" s="55"/>
      <c r="AG1358" s="56">
        <v>1</v>
      </c>
      <c r="AH1358" s="57">
        <v>5</v>
      </c>
      <c r="AI1358" s="56">
        <v>1</v>
      </c>
      <c r="AJ1358" s="57">
        <v>2</v>
      </c>
      <c r="AK1358" s="56">
        <v>1</v>
      </c>
      <c r="AL1358" s="57">
        <v>78</v>
      </c>
      <c r="AM1358" s="56"/>
      <c r="AN1358" s="57" t="str">
        <f t="shared" si="731"/>
        <v/>
      </c>
      <c r="AO1358" s="56"/>
      <c r="AP1358" s="57" t="str">
        <f t="shared" si="732"/>
        <v/>
      </c>
      <c r="AQ1358" s="56"/>
      <c r="AR1358" s="57" t="str">
        <f t="shared" si="733"/>
        <v/>
      </c>
      <c r="AS1358" s="56"/>
      <c r="AT1358" s="57" t="str">
        <f t="shared" si="734"/>
        <v/>
      </c>
      <c r="AU1358" s="58"/>
      <c r="AV1358" s="59"/>
      <c r="AW1358" s="59"/>
      <c r="AX1358" s="60"/>
      <c r="AY1358" s="61">
        <v>1</v>
      </c>
      <c r="AZ1358" s="62">
        <f t="shared" si="735"/>
        <v>3</v>
      </c>
      <c r="BA1358" s="61">
        <f t="shared" si="736"/>
        <v>0</v>
      </c>
      <c r="BB1358" s="62" t="str">
        <f t="shared" si="737"/>
        <v/>
      </c>
    </row>
    <row r="1359" spans="1:54" s="3" customFormat="1" hidden="1" x14ac:dyDescent="0.35">
      <c r="A1359" s="73">
        <f t="shared" si="716"/>
        <v>2019</v>
      </c>
      <c r="B1359" s="73" t="str">
        <f t="shared" si="717"/>
        <v>Nov</v>
      </c>
      <c r="C1359" s="74">
        <f t="shared" si="738"/>
        <v>17</v>
      </c>
      <c r="D1359" s="75">
        <f t="shared" si="718"/>
        <v>13</v>
      </c>
      <c r="E1359" s="76">
        <f t="shared" si="739"/>
        <v>24</v>
      </c>
      <c r="F1359" s="80">
        <v>54</v>
      </c>
      <c r="G1359" s="83"/>
      <c r="H1359" s="69" t="str">
        <f t="shared" si="740"/>
        <v>Senbur6_20191117_13_00</v>
      </c>
      <c r="I1359" s="70">
        <f t="shared" si="741"/>
        <v>1</v>
      </c>
      <c r="J1359" s="77" t="str">
        <f t="shared" si="741"/>
        <v>Senecio</v>
      </c>
      <c r="K1359" s="77" t="str">
        <f t="shared" si="741"/>
        <v>burtoni</v>
      </c>
      <c r="L1359" s="78">
        <f t="shared" si="741"/>
        <v>6</v>
      </c>
      <c r="M1359" s="78">
        <f t="shared" si="741"/>
        <v>12</v>
      </c>
      <c r="N1359" s="72">
        <f t="shared" si="741"/>
        <v>0</v>
      </c>
      <c r="O1359" s="45"/>
      <c r="P1359" s="46">
        <f t="shared" si="719"/>
        <v>1</v>
      </c>
      <c r="Q1359" s="47" t="str">
        <f t="shared" si="720"/>
        <v>13:24:54</v>
      </c>
      <c r="R1359" s="48" t="str">
        <f t="shared" si="721"/>
        <v>24:54</v>
      </c>
      <c r="S1359" s="49">
        <f t="shared" si="715"/>
        <v>181</v>
      </c>
      <c r="T1359" s="48" t="str">
        <f t="shared" si="722"/>
        <v>13</v>
      </c>
      <c r="U1359" s="50">
        <v>27</v>
      </c>
      <c r="V1359" s="51">
        <v>55</v>
      </c>
      <c r="W1359" s="52" t="str">
        <f t="shared" si="723"/>
        <v>27:55</v>
      </c>
      <c r="X1359" s="53" t="s">
        <v>61</v>
      </c>
      <c r="Y1359" s="97" t="s">
        <v>78</v>
      </c>
      <c r="Z1359" s="97"/>
      <c r="AA1359" s="48" t="s">
        <v>60</v>
      </c>
      <c r="AB1359" s="48" t="str">
        <f t="shared" si="724"/>
        <v>NA</v>
      </c>
      <c r="AC1359" s="54">
        <f t="shared" si="725"/>
        <v>0</v>
      </c>
      <c r="AD1359" s="55">
        <v>3</v>
      </c>
      <c r="AE1359" s="55"/>
      <c r="AF1359" s="55"/>
      <c r="AG1359" s="56" t="str">
        <f t="shared" si="727"/>
        <v/>
      </c>
      <c r="AH1359" s="57" t="str">
        <f t="shared" si="728"/>
        <v/>
      </c>
      <c r="AI1359" s="56">
        <v>1</v>
      </c>
      <c r="AJ1359" s="57">
        <v>3</v>
      </c>
      <c r="AK1359" s="56">
        <v>1</v>
      </c>
      <c r="AL1359" s="57">
        <v>178</v>
      </c>
      <c r="AM1359" s="56"/>
      <c r="AN1359" s="57" t="str">
        <f t="shared" si="731"/>
        <v/>
      </c>
      <c r="AO1359" s="56"/>
      <c r="AP1359" s="57" t="str">
        <f t="shared" si="732"/>
        <v/>
      </c>
      <c r="AQ1359" s="56"/>
      <c r="AR1359" s="57" t="str">
        <f t="shared" si="733"/>
        <v/>
      </c>
      <c r="AS1359" s="56"/>
      <c r="AT1359" s="57" t="str">
        <f t="shared" si="734"/>
        <v/>
      </c>
      <c r="AU1359" s="58"/>
      <c r="AV1359" s="59"/>
      <c r="AW1359" s="59"/>
      <c r="AX1359" s="60"/>
      <c r="AY1359" s="61">
        <v>1</v>
      </c>
      <c r="AZ1359" s="62">
        <f t="shared" si="735"/>
        <v>3</v>
      </c>
      <c r="BA1359" s="61">
        <f t="shared" si="736"/>
        <v>0</v>
      </c>
      <c r="BB1359" s="62" t="str">
        <f t="shared" si="737"/>
        <v/>
      </c>
    </row>
    <row r="1360" spans="1:54" s="3" customFormat="1" hidden="1" x14ac:dyDescent="0.35">
      <c r="A1360" s="73">
        <f t="shared" si="716"/>
        <v>2019</v>
      </c>
      <c r="B1360" s="73" t="str">
        <f t="shared" si="717"/>
        <v>Nov</v>
      </c>
      <c r="C1360" s="74">
        <f t="shared" si="738"/>
        <v>17</v>
      </c>
      <c r="D1360" s="75">
        <f t="shared" si="718"/>
        <v>13</v>
      </c>
      <c r="E1360" s="76">
        <f t="shared" si="739"/>
        <v>25</v>
      </c>
      <c r="F1360" s="80">
        <v>21</v>
      </c>
      <c r="G1360" s="83"/>
      <c r="H1360" s="69" t="str">
        <f t="shared" si="740"/>
        <v>Senbur6_20191117_13_00</v>
      </c>
      <c r="I1360" s="70">
        <f t="shared" si="741"/>
        <v>1</v>
      </c>
      <c r="J1360" s="77" t="str">
        <f t="shared" si="741"/>
        <v>Senecio</v>
      </c>
      <c r="K1360" s="77" t="str">
        <f t="shared" si="741"/>
        <v>burtoni</v>
      </c>
      <c r="L1360" s="78">
        <f t="shared" si="741"/>
        <v>6</v>
      </c>
      <c r="M1360" s="78">
        <f t="shared" si="741"/>
        <v>12</v>
      </c>
      <c r="N1360" s="72">
        <f t="shared" si="741"/>
        <v>0</v>
      </c>
      <c r="O1360" s="45"/>
      <c r="P1360" s="46">
        <f t="shared" si="719"/>
        <v>1</v>
      </c>
      <c r="Q1360" s="47" t="str">
        <f t="shared" si="720"/>
        <v>13:25:21</v>
      </c>
      <c r="R1360" s="48" t="str">
        <f t="shared" si="721"/>
        <v>25:21</v>
      </c>
      <c r="S1360" s="49">
        <f t="shared" si="715"/>
        <v>16</v>
      </c>
      <c r="T1360" s="48" t="str">
        <f t="shared" si="722"/>
        <v>13</v>
      </c>
      <c r="U1360" s="50">
        <v>25</v>
      </c>
      <c r="V1360" s="51">
        <v>37</v>
      </c>
      <c r="W1360" s="52" t="str">
        <f t="shared" si="723"/>
        <v>25:37</v>
      </c>
      <c r="X1360" s="53" t="s">
        <v>61</v>
      </c>
      <c r="Y1360" s="97" t="s">
        <v>78</v>
      </c>
      <c r="Z1360" s="97"/>
      <c r="AA1360" s="48" t="s">
        <v>60</v>
      </c>
      <c r="AB1360" s="48" t="str">
        <f t="shared" si="724"/>
        <v>NA</v>
      </c>
      <c r="AC1360" s="54">
        <f t="shared" si="725"/>
        <v>0</v>
      </c>
      <c r="AD1360" s="55">
        <f t="shared" si="726"/>
        <v>1</v>
      </c>
      <c r="AE1360" s="55"/>
      <c r="AF1360" s="55"/>
      <c r="AG1360" s="56" t="str">
        <f t="shared" si="727"/>
        <v/>
      </c>
      <c r="AH1360" s="57" t="str">
        <f t="shared" si="728"/>
        <v/>
      </c>
      <c r="AI1360" s="56"/>
      <c r="AJ1360" s="57" t="str">
        <f t="shared" si="729"/>
        <v/>
      </c>
      <c r="AK1360" s="56">
        <v>1</v>
      </c>
      <c r="AL1360" s="57">
        <f t="shared" si="730"/>
        <v>16</v>
      </c>
      <c r="AM1360" s="56"/>
      <c r="AN1360" s="57" t="str">
        <f t="shared" si="731"/>
        <v/>
      </c>
      <c r="AO1360" s="56"/>
      <c r="AP1360" s="57" t="str">
        <f t="shared" si="732"/>
        <v/>
      </c>
      <c r="AQ1360" s="56"/>
      <c r="AR1360" s="57" t="str">
        <f t="shared" si="733"/>
        <v/>
      </c>
      <c r="AS1360" s="56"/>
      <c r="AT1360" s="57" t="str">
        <f t="shared" si="734"/>
        <v/>
      </c>
      <c r="AU1360" s="58"/>
      <c r="AV1360" s="59"/>
      <c r="AW1360" s="59"/>
      <c r="AX1360" s="60"/>
      <c r="AY1360" s="61">
        <v>1</v>
      </c>
      <c r="AZ1360" s="62">
        <f t="shared" si="735"/>
        <v>1</v>
      </c>
      <c r="BA1360" s="61">
        <f t="shared" si="736"/>
        <v>0</v>
      </c>
      <c r="BB1360" s="62" t="str">
        <f t="shared" si="737"/>
        <v/>
      </c>
    </row>
    <row r="1361" spans="1:54" s="3" customFormat="1" hidden="1" x14ac:dyDescent="0.35">
      <c r="A1361" s="73">
        <f t="shared" si="716"/>
        <v>2019</v>
      </c>
      <c r="B1361" s="73" t="str">
        <f t="shared" si="717"/>
        <v>Nov</v>
      </c>
      <c r="C1361" s="74">
        <f t="shared" si="738"/>
        <v>17</v>
      </c>
      <c r="D1361" s="75">
        <f t="shared" si="718"/>
        <v>13</v>
      </c>
      <c r="E1361" s="76">
        <v>25</v>
      </c>
      <c r="F1361" s="80">
        <v>30</v>
      </c>
      <c r="G1361" s="83"/>
      <c r="H1361" s="69" t="str">
        <f t="shared" si="740"/>
        <v>Senbur6_20191117_13_00</v>
      </c>
      <c r="I1361" s="70">
        <f t="shared" si="741"/>
        <v>1</v>
      </c>
      <c r="J1361" s="77" t="str">
        <f t="shared" si="741"/>
        <v>Senecio</v>
      </c>
      <c r="K1361" s="77" t="str">
        <f t="shared" si="741"/>
        <v>burtoni</v>
      </c>
      <c r="L1361" s="78">
        <f t="shared" si="741"/>
        <v>6</v>
      </c>
      <c r="M1361" s="78">
        <f t="shared" si="741"/>
        <v>12</v>
      </c>
      <c r="N1361" s="72">
        <f t="shared" si="741"/>
        <v>0</v>
      </c>
      <c r="O1361" s="45"/>
      <c r="P1361" s="46">
        <f t="shared" si="719"/>
        <v>1</v>
      </c>
      <c r="Q1361" s="47" t="str">
        <f t="shared" si="720"/>
        <v>13:25:30</v>
      </c>
      <c r="R1361" s="48" t="str">
        <f t="shared" si="721"/>
        <v>25:30</v>
      </c>
      <c r="S1361" s="49">
        <f t="shared" si="715"/>
        <v>11</v>
      </c>
      <c r="T1361" s="48" t="str">
        <f t="shared" si="722"/>
        <v>13</v>
      </c>
      <c r="U1361" s="50">
        <v>25</v>
      </c>
      <c r="V1361" s="51">
        <v>41</v>
      </c>
      <c r="W1361" s="52" t="str">
        <f t="shared" si="723"/>
        <v>25:41</v>
      </c>
      <c r="X1361" s="53" t="s">
        <v>61</v>
      </c>
      <c r="Y1361" s="97" t="s">
        <v>84</v>
      </c>
      <c r="Z1361" s="97" t="s">
        <v>80</v>
      </c>
      <c r="AA1361" s="48" t="s">
        <v>60</v>
      </c>
      <c r="AB1361" s="48" t="str">
        <f t="shared" si="724"/>
        <v>NA</v>
      </c>
      <c r="AC1361" s="54">
        <f t="shared" si="725"/>
        <v>0</v>
      </c>
      <c r="AD1361" s="55">
        <f t="shared" si="726"/>
        <v>1</v>
      </c>
      <c r="AE1361" s="55"/>
      <c r="AF1361" s="55"/>
      <c r="AG1361" s="56" t="str">
        <f t="shared" si="727"/>
        <v/>
      </c>
      <c r="AH1361" s="57" t="str">
        <f t="shared" si="728"/>
        <v/>
      </c>
      <c r="AI1361" s="56"/>
      <c r="AJ1361" s="57" t="str">
        <f t="shared" si="729"/>
        <v/>
      </c>
      <c r="AK1361" s="56">
        <v>1</v>
      </c>
      <c r="AL1361" s="57">
        <f t="shared" si="730"/>
        <v>11</v>
      </c>
      <c r="AM1361" s="56"/>
      <c r="AN1361" s="57" t="str">
        <f t="shared" si="731"/>
        <v/>
      </c>
      <c r="AO1361" s="56"/>
      <c r="AP1361" s="57" t="str">
        <f t="shared" si="732"/>
        <v/>
      </c>
      <c r="AQ1361" s="56"/>
      <c r="AR1361" s="57" t="str">
        <f t="shared" si="733"/>
        <v/>
      </c>
      <c r="AS1361" s="56"/>
      <c r="AT1361" s="57" t="str">
        <f t="shared" si="734"/>
        <v/>
      </c>
      <c r="AU1361" s="58"/>
      <c r="AV1361" s="59"/>
      <c r="AW1361" s="59"/>
      <c r="AX1361" s="60"/>
      <c r="AY1361" s="61">
        <v>1</v>
      </c>
      <c r="AZ1361" s="62">
        <f t="shared" si="735"/>
        <v>1</v>
      </c>
      <c r="BA1361" s="61">
        <f t="shared" si="736"/>
        <v>0</v>
      </c>
      <c r="BB1361" s="62" t="str">
        <f t="shared" si="737"/>
        <v/>
      </c>
    </row>
    <row r="1362" spans="1:54" s="3" customFormat="1" hidden="1" x14ac:dyDescent="0.35">
      <c r="A1362" s="73">
        <f t="shared" si="716"/>
        <v>2019</v>
      </c>
      <c r="B1362" s="73" t="str">
        <f t="shared" si="717"/>
        <v>Nov</v>
      </c>
      <c r="C1362" s="74">
        <f t="shared" si="738"/>
        <v>17</v>
      </c>
      <c r="D1362" s="75">
        <f t="shared" si="718"/>
        <v>13</v>
      </c>
      <c r="E1362" s="76">
        <v>25</v>
      </c>
      <c r="F1362" s="80">
        <v>39</v>
      </c>
      <c r="G1362" s="83"/>
      <c r="H1362" s="69" t="str">
        <f t="shared" si="740"/>
        <v>Senbur6_20191117_13_00</v>
      </c>
      <c r="I1362" s="70">
        <f t="shared" si="741"/>
        <v>1</v>
      </c>
      <c r="J1362" s="77" t="str">
        <f t="shared" si="741"/>
        <v>Senecio</v>
      </c>
      <c r="K1362" s="77" t="str">
        <f t="shared" si="741"/>
        <v>burtoni</v>
      </c>
      <c r="L1362" s="78">
        <f t="shared" si="741"/>
        <v>6</v>
      </c>
      <c r="M1362" s="78">
        <f t="shared" si="741"/>
        <v>12</v>
      </c>
      <c r="N1362" s="72">
        <f t="shared" si="741"/>
        <v>0</v>
      </c>
      <c r="O1362" s="45"/>
      <c r="P1362" s="46">
        <f t="shared" si="719"/>
        <v>1</v>
      </c>
      <c r="Q1362" s="47" t="str">
        <f t="shared" si="720"/>
        <v>13:25:39</v>
      </c>
      <c r="R1362" s="48" t="str">
        <f t="shared" si="721"/>
        <v>25:39</v>
      </c>
      <c r="S1362" s="49">
        <f t="shared" si="715"/>
        <v>202</v>
      </c>
      <c r="T1362" s="48" t="str">
        <f t="shared" si="722"/>
        <v>13</v>
      </c>
      <c r="U1362" s="50">
        <v>29</v>
      </c>
      <c r="V1362" s="51">
        <v>1</v>
      </c>
      <c r="W1362" s="52" t="str">
        <f t="shared" si="723"/>
        <v>29:01</v>
      </c>
      <c r="X1362" s="53" t="s">
        <v>61</v>
      </c>
      <c r="Y1362" s="97" t="s">
        <v>84</v>
      </c>
      <c r="Z1362" s="97" t="s">
        <v>80</v>
      </c>
      <c r="AA1362" s="48" t="s">
        <v>60</v>
      </c>
      <c r="AB1362" s="48" t="str">
        <f t="shared" si="724"/>
        <v>NA</v>
      </c>
      <c r="AC1362" s="54">
        <f t="shared" si="725"/>
        <v>0</v>
      </c>
      <c r="AD1362" s="55">
        <v>9</v>
      </c>
      <c r="AE1362" s="55"/>
      <c r="AF1362" s="55"/>
      <c r="AG1362" s="56" t="str">
        <f t="shared" si="727"/>
        <v/>
      </c>
      <c r="AH1362" s="57" t="str">
        <f t="shared" si="728"/>
        <v/>
      </c>
      <c r="AI1362" s="56">
        <v>1</v>
      </c>
      <c r="AJ1362" s="57">
        <v>9</v>
      </c>
      <c r="AK1362" s="56">
        <v>1</v>
      </c>
      <c r="AL1362" s="57">
        <v>193</v>
      </c>
      <c r="AM1362" s="56"/>
      <c r="AN1362" s="57" t="str">
        <f t="shared" si="731"/>
        <v/>
      </c>
      <c r="AO1362" s="56"/>
      <c r="AP1362" s="57" t="str">
        <f t="shared" si="732"/>
        <v/>
      </c>
      <c r="AQ1362" s="56"/>
      <c r="AR1362" s="57" t="str">
        <f t="shared" si="733"/>
        <v/>
      </c>
      <c r="AS1362" s="56"/>
      <c r="AT1362" s="57" t="str">
        <f t="shared" si="734"/>
        <v/>
      </c>
      <c r="AU1362" s="58"/>
      <c r="AV1362" s="59"/>
      <c r="AW1362" s="59"/>
      <c r="AX1362" s="60"/>
      <c r="AY1362" s="61">
        <v>1</v>
      </c>
      <c r="AZ1362" s="62">
        <f t="shared" si="735"/>
        <v>9</v>
      </c>
      <c r="BA1362" s="61">
        <f t="shared" si="736"/>
        <v>0</v>
      </c>
      <c r="BB1362" s="62" t="str">
        <f t="shared" si="737"/>
        <v/>
      </c>
    </row>
    <row r="1363" spans="1:54" s="3" customFormat="1" hidden="1" x14ac:dyDescent="0.35">
      <c r="A1363" s="73">
        <f t="shared" si="716"/>
        <v>2019</v>
      </c>
      <c r="B1363" s="73" t="str">
        <f t="shared" si="717"/>
        <v>Nov</v>
      </c>
      <c r="C1363" s="74">
        <f t="shared" si="738"/>
        <v>17</v>
      </c>
      <c r="D1363" s="75">
        <f t="shared" si="718"/>
        <v>13</v>
      </c>
      <c r="E1363" s="76">
        <f t="shared" si="739"/>
        <v>26</v>
      </c>
      <c r="F1363" s="80">
        <v>55</v>
      </c>
      <c r="G1363" s="83"/>
      <c r="H1363" s="69" t="str">
        <f t="shared" si="740"/>
        <v>Senbur6_20191117_13_00</v>
      </c>
      <c r="I1363" s="70">
        <f t="shared" si="741"/>
        <v>1</v>
      </c>
      <c r="J1363" s="77" t="str">
        <f t="shared" si="741"/>
        <v>Senecio</v>
      </c>
      <c r="K1363" s="77" t="str">
        <f t="shared" si="741"/>
        <v>burtoni</v>
      </c>
      <c r="L1363" s="78">
        <f t="shared" si="741"/>
        <v>6</v>
      </c>
      <c r="M1363" s="78">
        <f t="shared" si="741"/>
        <v>12</v>
      </c>
      <c r="N1363" s="72">
        <f t="shared" si="741"/>
        <v>0</v>
      </c>
      <c r="O1363" s="45"/>
      <c r="P1363" s="46">
        <f t="shared" si="719"/>
        <v>1</v>
      </c>
      <c r="Q1363" s="47" t="str">
        <f t="shared" si="720"/>
        <v>13:26:55</v>
      </c>
      <c r="R1363" s="48" t="str">
        <f t="shared" si="721"/>
        <v>26:55</v>
      </c>
      <c r="S1363" s="49">
        <f t="shared" si="715"/>
        <v>8</v>
      </c>
      <c r="T1363" s="48" t="str">
        <f t="shared" si="722"/>
        <v>13</v>
      </c>
      <c r="U1363" s="50">
        <v>27</v>
      </c>
      <c r="V1363" s="51">
        <v>3</v>
      </c>
      <c r="W1363" s="52" t="str">
        <f t="shared" si="723"/>
        <v>27:03</v>
      </c>
      <c r="X1363" s="53" t="s">
        <v>73</v>
      </c>
      <c r="Y1363" s="97" t="s">
        <v>89</v>
      </c>
      <c r="Z1363" s="97" t="s">
        <v>80</v>
      </c>
      <c r="AA1363" s="48" t="s">
        <v>63</v>
      </c>
      <c r="AB1363" s="48" t="str">
        <f t="shared" si="724"/>
        <v>NA</v>
      </c>
      <c r="AC1363" s="54">
        <f t="shared" si="725"/>
        <v>0</v>
      </c>
      <c r="AD1363" s="55">
        <f t="shared" si="726"/>
        <v>1</v>
      </c>
      <c r="AE1363" s="55"/>
      <c r="AF1363" s="55"/>
      <c r="AG1363" s="56" t="str">
        <f t="shared" si="727"/>
        <v/>
      </c>
      <c r="AH1363" s="57" t="str">
        <f t="shared" si="728"/>
        <v/>
      </c>
      <c r="AI1363" s="56"/>
      <c r="AJ1363" s="57" t="str">
        <f t="shared" si="729"/>
        <v/>
      </c>
      <c r="AK1363" s="56">
        <v>1</v>
      </c>
      <c r="AL1363" s="57">
        <f t="shared" si="730"/>
        <v>8</v>
      </c>
      <c r="AM1363" s="56"/>
      <c r="AN1363" s="57" t="str">
        <f t="shared" si="731"/>
        <v/>
      </c>
      <c r="AO1363" s="56"/>
      <c r="AP1363" s="57" t="str">
        <f t="shared" si="732"/>
        <v/>
      </c>
      <c r="AQ1363" s="56"/>
      <c r="AR1363" s="57" t="str">
        <f t="shared" si="733"/>
        <v/>
      </c>
      <c r="AS1363" s="56"/>
      <c r="AT1363" s="57" t="str">
        <f t="shared" si="734"/>
        <v/>
      </c>
      <c r="AU1363" s="58"/>
      <c r="AV1363" s="59"/>
      <c r="AW1363" s="59"/>
      <c r="AX1363" s="60"/>
      <c r="AY1363" s="61">
        <v>1</v>
      </c>
      <c r="AZ1363" s="62">
        <f t="shared" si="735"/>
        <v>1</v>
      </c>
      <c r="BA1363" s="61">
        <f t="shared" si="736"/>
        <v>0</v>
      </c>
      <c r="BB1363" s="62" t="str">
        <f t="shared" si="737"/>
        <v/>
      </c>
    </row>
    <row r="1364" spans="1:54" s="3" customFormat="1" hidden="1" x14ac:dyDescent="0.35">
      <c r="A1364" s="73">
        <f t="shared" si="716"/>
        <v>2019</v>
      </c>
      <c r="B1364" s="73" t="str">
        <f t="shared" si="717"/>
        <v>Nov</v>
      </c>
      <c r="C1364" s="74">
        <f t="shared" si="738"/>
        <v>17</v>
      </c>
      <c r="D1364" s="75">
        <f t="shared" si="718"/>
        <v>13</v>
      </c>
      <c r="E1364" s="76">
        <v>26</v>
      </c>
      <c r="F1364" s="80">
        <v>57</v>
      </c>
      <c r="G1364" s="83"/>
      <c r="H1364" s="69" t="str">
        <f t="shared" si="740"/>
        <v>Senbur6_20191117_13_00</v>
      </c>
      <c r="I1364" s="70">
        <f t="shared" si="741"/>
        <v>1</v>
      </c>
      <c r="J1364" s="77" t="str">
        <f t="shared" si="741"/>
        <v>Senecio</v>
      </c>
      <c r="K1364" s="77" t="str">
        <f t="shared" si="741"/>
        <v>burtoni</v>
      </c>
      <c r="L1364" s="78">
        <f t="shared" si="741"/>
        <v>6</v>
      </c>
      <c r="M1364" s="78">
        <f t="shared" si="741"/>
        <v>12</v>
      </c>
      <c r="N1364" s="72">
        <f t="shared" si="741"/>
        <v>0</v>
      </c>
      <c r="O1364" s="45"/>
      <c r="P1364" s="46">
        <f t="shared" si="719"/>
        <v>1</v>
      </c>
      <c r="Q1364" s="47" t="str">
        <f t="shared" si="720"/>
        <v>13:26:57</v>
      </c>
      <c r="R1364" s="48" t="str">
        <f t="shared" si="721"/>
        <v>26:57</v>
      </c>
      <c r="S1364" s="49">
        <f t="shared" si="715"/>
        <v>15</v>
      </c>
      <c r="T1364" s="48" t="str">
        <f t="shared" si="722"/>
        <v>13</v>
      </c>
      <c r="U1364" s="50">
        <v>27</v>
      </c>
      <c r="V1364" s="51">
        <v>12</v>
      </c>
      <c r="W1364" s="52" t="str">
        <f t="shared" si="723"/>
        <v>27:12</v>
      </c>
      <c r="X1364" s="53" t="s">
        <v>59</v>
      </c>
      <c r="Y1364" s="97" t="s">
        <v>84</v>
      </c>
      <c r="Z1364" s="97" t="s">
        <v>80</v>
      </c>
      <c r="AA1364" s="48" t="s">
        <v>60</v>
      </c>
      <c r="AB1364" s="48" t="str">
        <f t="shared" si="724"/>
        <v>NA</v>
      </c>
      <c r="AC1364" s="54">
        <f t="shared" si="725"/>
        <v>0</v>
      </c>
      <c r="AD1364" s="55">
        <f t="shared" si="726"/>
        <v>1</v>
      </c>
      <c r="AE1364" s="55"/>
      <c r="AF1364" s="55"/>
      <c r="AG1364" s="56">
        <v>1</v>
      </c>
      <c r="AH1364" s="57">
        <f t="shared" si="728"/>
        <v>15</v>
      </c>
      <c r="AI1364" s="56"/>
      <c r="AJ1364" s="57" t="str">
        <f t="shared" si="729"/>
        <v/>
      </c>
      <c r="AK1364" s="56"/>
      <c r="AL1364" s="57" t="str">
        <f t="shared" si="730"/>
        <v/>
      </c>
      <c r="AM1364" s="56"/>
      <c r="AN1364" s="57" t="str">
        <f t="shared" si="731"/>
        <v/>
      </c>
      <c r="AO1364" s="56"/>
      <c r="AP1364" s="57" t="str">
        <f t="shared" si="732"/>
        <v/>
      </c>
      <c r="AQ1364" s="56"/>
      <c r="AR1364" s="57" t="str">
        <f t="shared" si="733"/>
        <v/>
      </c>
      <c r="AS1364" s="56"/>
      <c r="AT1364" s="57" t="str">
        <f t="shared" si="734"/>
        <v/>
      </c>
      <c r="AU1364" s="58"/>
      <c r="AV1364" s="59"/>
      <c r="AW1364" s="59"/>
      <c r="AX1364" s="60"/>
      <c r="AY1364" s="61">
        <f t="shared" si="742"/>
        <v>0</v>
      </c>
      <c r="AZ1364" s="62" t="str">
        <f t="shared" si="735"/>
        <v/>
      </c>
      <c r="BA1364" s="61">
        <f t="shared" si="736"/>
        <v>0</v>
      </c>
      <c r="BB1364" s="62" t="str">
        <f t="shared" si="737"/>
        <v/>
      </c>
    </row>
    <row r="1365" spans="1:54" s="3" customFormat="1" hidden="1" x14ac:dyDescent="0.35">
      <c r="A1365" s="73">
        <f t="shared" si="716"/>
        <v>2019</v>
      </c>
      <c r="B1365" s="73" t="str">
        <f t="shared" si="717"/>
        <v>Nov</v>
      </c>
      <c r="C1365" s="74">
        <f t="shared" si="738"/>
        <v>17</v>
      </c>
      <c r="D1365" s="75">
        <f t="shared" si="718"/>
        <v>13</v>
      </c>
      <c r="E1365" s="76">
        <f t="shared" si="739"/>
        <v>27</v>
      </c>
      <c r="F1365" s="80"/>
      <c r="G1365" s="83"/>
      <c r="H1365" s="69" t="str">
        <f t="shared" si="740"/>
        <v>Senbur6_20191117_13_00</v>
      </c>
      <c r="I1365" s="70">
        <f t="shared" si="741"/>
        <v>1</v>
      </c>
      <c r="J1365" s="77" t="str">
        <f t="shared" si="741"/>
        <v>Senecio</v>
      </c>
      <c r="K1365" s="77" t="str">
        <f t="shared" si="741"/>
        <v>burtoni</v>
      </c>
      <c r="L1365" s="78">
        <f t="shared" si="741"/>
        <v>6</v>
      </c>
      <c r="M1365" s="78">
        <f t="shared" si="741"/>
        <v>12</v>
      </c>
      <c r="N1365" s="72">
        <f t="shared" si="741"/>
        <v>0</v>
      </c>
      <c r="O1365" s="45"/>
      <c r="P1365" s="46" t="str">
        <f t="shared" si="719"/>
        <v/>
      </c>
      <c r="Q1365" s="47" t="str">
        <f t="shared" si="720"/>
        <v/>
      </c>
      <c r="R1365" s="48" t="e">
        <f t="shared" si="721"/>
        <v>#VALUE!</v>
      </c>
      <c r="S1365" s="49" t="e">
        <f t="shared" si="715"/>
        <v>#VALUE!</v>
      </c>
      <c r="T1365" s="48" t="str">
        <f t="shared" si="722"/>
        <v/>
      </c>
      <c r="U1365" s="50"/>
      <c r="V1365" s="51"/>
      <c r="W1365" s="52" t="e">
        <f t="shared" si="723"/>
        <v>#VALUE!</v>
      </c>
      <c r="X1365" s="53"/>
      <c r="Y1365" s="53"/>
      <c r="Z1365" s="53"/>
      <c r="AA1365" s="48"/>
      <c r="AB1365" s="48" t="str">
        <f t="shared" si="724"/>
        <v/>
      </c>
      <c r="AC1365" s="54" t="e">
        <f t="shared" si="725"/>
        <v>#VALUE!</v>
      </c>
      <c r="AD1365" s="55" t="str">
        <f t="shared" si="726"/>
        <v/>
      </c>
      <c r="AE1365" s="55"/>
      <c r="AF1365" s="55"/>
      <c r="AG1365" s="56" t="str">
        <f t="shared" si="727"/>
        <v/>
      </c>
      <c r="AH1365" s="57" t="str">
        <f t="shared" si="728"/>
        <v/>
      </c>
      <c r="AI1365" s="56"/>
      <c r="AJ1365" s="57" t="str">
        <f t="shared" si="729"/>
        <v/>
      </c>
      <c r="AK1365" s="56"/>
      <c r="AL1365" s="57" t="str">
        <f t="shared" si="730"/>
        <v/>
      </c>
      <c r="AM1365" s="56"/>
      <c r="AN1365" s="57" t="str">
        <f t="shared" si="731"/>
        <v/>
      </c>
      <c r="AO1365" s="56"/>
      <c r="AP1365" s="57" t="str">
        <f t="shared" si="732"/>
        <v/>
      </c>
      <c r="AQ1365" s="56"/>
      <c r="AR1365" s="57" t="str">
        <f t="shared" si="733"/>
        <v/>
      </c>
      <c r="AS1365" s="56"/>
      <c r="AT1365" s="57" t="str">
        <f t="shared" si="734"/>
        <v/>
      </c>
      <c r="AU1365" s="58"/>
      <c r="AV1365" s="59"/>
      <c r="AW1365" s="59"/>
      <c r="AX1365" s="60"/>
      <c r="AY1365" s="61" t="str">
        <f t="shared" si="742"/>
        <v/>
      </c>
      <c r="AZ1365" s="62" t="str">
        <f t="shared" si="735"/>
        <v/>
      </c>
      <c r="BA1365" s="61" t="str">
        <f t="shared" si="736"/>
        <v/>
      </c>
      <c r="BB1365" s="62" t="str">
        <f t="shared" si="737"/>
        <v/>
      </c>
    </row>
    <row r="1366" spans="1:54" s="3" customFormat="1" hidden="1" x14ac:dyDescent="0.35">
      <c r="A1366" s="73">
        <f t="shared" si="716"/>
        <v>2019</v>
      </c>
      <c r="B1366" s="73" t="str">
        <f t="shared" si="717"/>
        <v>Nov</v>
      </c>
      <c r="C1366" s="74">
        <f t="shared" si="738"/>
        <v>17</v>
      </c>
      <c r="D1366" s="75">
        <f t="shared" si="718"/>
        <v>13</v>
      </c>
      <c r="E1366" s="76">
        <f t="shared" si="739"/>
        <v>28</v>
      </c>
      <c r="F1366" s="80">
        <v>47</v>
      </c>
      <c r="G1366" s="83"/>
      <c r="H1366" s="69" t="str">
        <f t="shared" si="740"/>
        <v>Senbur6_20191117_13_00</v>
      </c>
      <c r="I1366" s="70">
        <f t="shared" si="741"/>
        <v>1</v>
      </c>
      <c r="J1366" s="77" t="str">
        <f t="shared" si="741"/>
        <v>Senecio</v>
      </c>
      <c r="K1366" s="77" t="str">
        <f t="shared" si="741"/>
        <v>burtoni</v>
      </c>
      <c r="L1366" s="78">
        <f t="shared" si="741"/>
        <v>6</v>
      </c>
      <c r="M1366" s="78">
        <f t="shared" si="741"/>
        <v>12</v>
      </c>
      <c r="N1366" s="72">
        <f t="shared" si="741"/>
        <v>0</v>
      </c>
      <c r="O1366" s="45"/>
      <c r="P1366" s="46">
        <f t="shared" si="719"/>
        <v>1</v>
      </c>
      <c r="Q1366" s="47" t="str">
        <f t="shared" si="720"/>
        <v>13:28:47</v>
      </c>
      <c r="R1366" s="48" t="str">
        <f t="shared" si="721"/>
        <v>28:47</v>
      </c>
      <c r="S1366" s="49">
        <f t="shared" si="715"/>
        <v>25</v>
      </c>
      <c r="T1366" s="48" t="str">
        <f t="shared" si="722"/>
        <v>13</v>
      </c>
      <c r="U1366" s="50">
        <v>29</v>
      </c>
      <c r="V1366" s="51">
        <v>12</v>
      </c>
      <c r="W1366" s="52" t="str">
        <f t="shared" si="723"/>
        <v>29:12</v>
      </c>
      <c r="X1366" s="53" t="s">
        <v>61</v>
      </c>
      <c r="Y1366" s="97" t="s">
        <v>84</v>
      </c>
      <c r="Z1366" s="97" t="s">
        <v>80</v>
      </c>
      <c r="AA1366" s="48" t="s">
        <v>60</v>
      </c>
      <c r="AB1366" s="48" t="str">
        <f t="shared" si="724"/>
        <v>NA</v>
      </c>
      <c r="AC1366" s="54">
        <f t="shared" si="725"/>
        <v>0</v>
      </c>
      <c r="AD1366" s="55">
        <f t="shared" si="726"/>
        <v>1</v>
      </c>
      <c r="AE1366" s="55"/>
      <c r="AF1366" s="55"/>
      <c r="AG1366" s="56" t="str">
        <f t="shared" si="727"/>
        <v/>
      </c>
      <c r="AH1366" s="57" t="str">
        <f t="shared" si="728"/>
        <v/>
      </c>
      <c r="AI1366" s="56"/>
      <c r="AJ1366" s="57" t="str">
        <f t="shared" si="729"/>
        <v/>
      </c>
      <c r="AK1366" s="56">
        <v>1</v>
      </c>
      <c r="AL1366" s="57">
        <f t="shared" si="730"/>
        <v>25</v>
      </c>
      <c r="AM1366" s="56"/>
      <c r="AN1366" s="57" t="str">
        <f t="shared" si="731"/>
        <v/>
      </c>
      <c r="AO1366" s="56"/>
      <c r="AP1366" s="57" t="str">
        <f t="shared" si="732"/>
        <v/>
      </c>
      <c r="AQ1366" s="56"/>
      <c r="AR1366" s="57" t="str">
        <f t="shared" si="733"/>
        <v/>
      </c>
      <c r="AS1366" s="56"/>
      <c r="AT1366" s="57" t="str">
        <f t="shared" si="734"/>
        <v/>
      </c>
      <c r="AU1366" s="58"/>
      <c r="AV1366" s="59"/>
      <c r="AW1366" s="59"/>
      <c r="AX1366" s="60"/>
      <c r="AY1366" s="61">
        <v>1</v>
      </c>
      <c r="AZ1366" s="62">
        <f t="shared" si="735"/>
        <v>1</v>
      </c>
      <c r="BA1366" s="61">
        <f t="shared" si="736"/>
        <v>0</v>
      </c>
      <c r="BB1366" s="62" t="str">
        <f t="shared" si="737"/>
        <v/>
      </c>
    </row>
    <row r="1367" spans="1:54" s="3" customFormat="1" hidden="1" x14ac:dyDescent="0.35">
      <c r="A1367" s="73">
        <f t="shared" si="716"/>
        <v>2019</v>
      </c>
      <c r="B1367" s="73" t="str">
        <f t="shared" si="717"/>
        <v>Nov</v>
      </c>
      <c r="C1367" s="74">
        <f t="shared" si="738"/>
        <v>17</v>
      </c>
      <c r="D1367" s="75">
        <f t="shared" si="718"/>
        <v>13</v>
      </c>
      <c r="E1367" s="76">
        <f t="shared" si="739"/>
        <v>29</v>
      </c>
      <c r="F1367" s="80">
        <v>5</v>
      </c>
      <c r="G1367" s="83"/>
      <c r="H1367" s="69" t="str">
        <f t="shared" si="740"/>
        <v>Senbur6_20191117_13_00</v>
      </c>
      <c r="I1367" s="70">
        <f t="shared" si="741"/>
        <v>1</v>
      </c>
      <c r="J1367" s="77" t="str">
        <f t="shared" si="741"/>
        <v>Senecio</v>
      </c>
      <c r="K1367" s="77" t="str">
        <f t="shared" si="741"/>
        <v>burtoni</v>
      </c>
      <c r="L1367" s="78">
        <f t="shared" si="741"/>
        <v>6</v>
      </c>
      <c r="M1367" s="78">
        <f t="shared" si="741"/>
        <v>12</v>
      </c>
      <c r="N1367" s="72">
        <f t="shared" si="741"/>
        <v>0</v>
      </c>
      <c r="O1367" s="45"/>
      <c r="P1367" s="46">
        <f t="shared" si="719"/>
        <v>1</v>
      </c>
      <c r="Q1367" s="47" t="str">
        <f t="shared" si="720"/>
        <v>13:29:05</v>
      </c>
      <c r="R1367" s="48" t="str">
        <f t="shared" si="721"/>
        <v>29:05</v>
      </c>
      <c r="S1367" s="49">
        <f t="shared" si="715"/>
        <v>29</v>
      </c>
      <c r="T1367" s="48" t="str">
        <f t="shared" si="722"/>
        <v>13</v>
      </c>
      <c r="U1367" s="50">
        <v>29</v>
      </c>
      <c r="V1367" s="51">
        <v>34</v>
      </c>
      <c r="W1367" s="52" t="str">
        <f t="shared" si="723"/>
        <v>29:34</v>
      </c>
      <c r="X1367" s="53" t="s">
        <v>61</v>
      </c>
      <c r="Y1367" s="97" t="s">
        <v>84</v>
      </c>
      <c r="Z1367" s="97" t="s">
        <v>80</v>
      </c>
      <c r="AA1367" s="48" t="s">
        <v>60</v>
      </c>
      <c r="AB1367" s="48" t="str">
        <f t="shared" si="724"/>
        <v>NA</v>
      </c>
      <c r="AC1367" s="54">
        <f t="shared" si="725"/>
        <v>0</v>
      </c>
      <c r="AD1367" s="55">
        <v>2</v>
      </c>
      <c r="AE1367" s="55"/>
      <c r="AF1367" s="55"/>
      <c r="AG1367" s="56">
        <v>1</v>
      </c>
      <c r="AH1367" s="57">
        <v>2</v>
      </c>
      <c r="AI1367" s="56">
        <v>1</v>
      </c>
      <c r="AJ1367" s="57">
        <v>2</v>
      </c>
      <c r="AK1367" s="56">
        <v>1</v>
      </c>
      <c r="AL1367" s="57">
        <v>25</v>
      </c>
      <c r="AM1367" s="56"/>
      <c r="AN1367" s="57" t="str">
        <f t="shared" si="731"/>
        <v/>
      </c>
      <c r="AO1367" s="56"/>
      <c r="AP1367" s="57" t="str">
        <f t="shared" si="732"/>
        <v/>
      </c>
      <c r="AQ1367" s="56"/>
      <c r="AR1367" s="57" t="str">
        <f t="shared" si="733"/>
        <v/>
      </c>
      <c r="AS1367" s="56"/>
      <c r="AT1367" s="57" t="str">
        <f t="shared" si="734"/>
        <v/>
      </c>
      <c r="AU1367" s="58"/>
      <c r="AV1367" s="59"/>
      <c r="AW1367" s="59"/>
      <c r="AX1367" s="60"/>
      <c r="AY1367" s="61">
        <v>1</v>
      </c>
      <c r="AZ1367" s="62">
        <f t="shared" si="735"/>
        <v>2</v>
      </c>
      <c r="BA1367" s="61">
        <f t="shared" si="736"/>
        <v>0</v>
      </c>
      <c r="BB1367" s="62" t="str">
        <f t="shared" si="737"/>
        <v/>
      </c>
    </row>
    <row r="1368" spans="1:54" s="3" customFormat="1" hidden="1" x14ac:dyDescent="0.35">
      <c r="A1368" s="73">
        <f t="shared" si="716"/>
        <v>2019</v>
      </c>
      <c r="B1368" s="73" t="str">
        <f t="shared" si="717"/>
        <v>Nov</v>
      </c>
      <c r="C1368" s="74">
        <f t="shared" si="738"/>
        <v>17</v>
      </c>
      <c r="D1368" s="75">
        <f t="shared" si="718"/>
        <v>13</v>
      </c>
      <c r="E1368" s="76">
        <v>29</v>
      </c>
      <c r="F1368" s="80">
        <v>10</v>
      </c>
      <c r="G1368" s="83"/>
      <c r="H1368" s="69" t="str">
        <f t="shared" si="740"/>
        <v>Senbur6_20191117_13_00</v>
      </c>
      <c r="I1368" s="70">
        <f t="shared" ref="I1368:N1384" si="743">I1367</f>
        <v>1</v>
      </c>
      <c r="J1368" s="77" t="str">
        <f t="shared" si="743"/>
        <v>Senecio</v>
      </c>
      <c r="K1368" s="77" t="str">
        <f t="shared" si="743"/>
        <v>burtoni</v>
      </c>
      <c r="L1368" s="78">
        <f t="shared" si="743"/>
        <v>6</v>
      </c>
      <c r="M1368" s="78">
        <f t="shared" si="743"/>
        <v>12</v>
      </c>
      <c r="N1368" s="72">
        <f t="shared" si="743"/>
        <v>0</v>
      </c>
      <c r="O1368" s="45"/>
      <c r="P1368" s="46">
        <f t="shared" si="719"/>
        <v>1</v>
      </c>
      <c r="Q1368" s="47" t="str">
        <f t="shared" si="720"/>
        <v>13:29:10</v>
      </c>
      <c r="R1368" s="48" t="str">
        <f t="shared" si="721"/>
        <v>29:10</v>
      </c>
      <c r="S1368" s="49">
        <f t="shared" si="715"/>
        <v>40</v>
      </c>
      <c r="T1368" s="48" t="str">
        <f t="shared" si="722"/>
        <v>13</v>
      </c>
      <c r="U1368" s="50">
        <v>29</v>
      </c>
      <c r="V1368" s="51">
        <v>50</v>
      </c>
      <c r="W1368" s="52" t="str">
        <f t="shared" si="723"/>
        <v>29:50</v>
      </c>
      <c r="X1368" s="53" t="s">
        <v>61</v>
      </c>
      <c r="Y1368" s="97" t="s">
        <v>78</v>
      </c>
      <c r="Z1368" s="97"/>
      <c r="AA1368" s="48" t="s">
        <v>60</v>
      </c>
      <c r="AB1368" s="48" t="str">
        <f t="shared" si="724"/>
        <v>NA</v>
      </c>
      <c r="AC1368" s="54">
        <f t="shared" si="725"/>
        <v>0</v>
      </c>
      <c r="AD1368" s="55">
        <f t="shared" si="726"/>
        <v>1</v>
      </c>
      <c r="AE1368" s="55"/>
      <c r="AF1368" s="55"/>
      <c r="AG1368" s="56">
        <v>1</v>
      </c>
      <c r="AH1368" s="57">
        <v>1</v>
      </c>
      <c r="AI1368" s="56"/>
      <c r="AJ1368" s="57" t="str">
        <f t="shared" si="729"/>
        <v/>
      </c>
      <c r="AK1368" s="56">
        <v>1</v>
      </c>
      <c r="AL1368" s="57">
        <v>39</v>
      </c>
      <c r="AM1368" s="56"/>
      <c r="AN1368" s="57" t="str">
        <f t="shared" si="731"/>
        <v/>
      </c>
      <c r="AO1368" s="56"/>
      <c r="AP1368" s="57" t="str">
        <f t="shared" si="732"/>
        <v/>
      </c>
      <c r="AQ1368" s="56"/>
      <c r="AR1368" s="57" t="str">
        <f t="shared" si="733"/>
        <v/>
      </c>
      <c r="AS1368" s="56"/>
      <c r="AT1368" s="57" t="str">
        <f t="shared" si="734"/>
        <v/>
      </c>
      <c r="AU1368" s="58"/>
      <c r="AV1368" s="59"/>
      <c r="AW1368" s="59"/>
      <c r="AX1368" s="60"/>
      <c r="AY1368" s="61">
        <v>1</v>
      </c>
      <c r="AZ1368" s="62">
        <f t="shared" si="735"/>
        <v>1</v>
      </c>
      <c r="BA1368" s="61">
        <f t="shared" si="736"/>
        <v>0</v>
      </c>
      <c r="BB1368" s="62" t="str">
        <f t="shared" si="737"/>
        <v/>
      </c>
    </row>
    <row r="1369" spans="1:54" s="3" customFormat="1" hidden="1" x14ac:dyDescent="0.35">
      <c r="A1369" s="73">
        <f t="shared" si="716"/>
        <v>2019</v>
      </c>
      <c r="B1369" s="73" t="str">
        <f t="shared" si="717"/>
        <v>Nov</v>
      </c>
      <c r="C1369" s="74">
        <f t="shared" si="738"/>
        <v>17</v>
      </c>
      <c r="D1369" s="75">
        <f t="shared" si="718"/>
        <v>13</v>
      </c>
      <c r="E1369" s="76">
        <v>29</v>
      </c>
      <c r="F1369" s="80">
        <v>21</v>
      </c>
      <c r="G1369" s="83"/>
      <c r="H1369" s="69" t="str">
        <f t="shared" si="740"/>
        <v>Senbur6_20191117_13_00</v>
      </c>
      <c r="I1369" s="70">
        <f t="shared" si="743"/>
        <v>1</v>
      </c>
      <c r="J1369" s="77" t="str">
        <f t="shared" si="743"/>
        <v>Senecio</v>
      </c>
      <c r="K1369" s="77" t="str">
        <f t="shared" si="743"/>
        <v>burtoni</v>
      </c>
      <c r="L1369" s="78">
        <f t="shared" si="743"/>
        <v>6</v>
      </c>
      <c r="M1369" s="78">
        <f t="shared" si="743"/>
        <v>12</v>
      </c>
      <c r="N1369" s="72">
        <f t="shared" si="743"/>
        <v>0</v>
      </c>
      <c r="O1369" s="45"/>
      <c r="P1369" s="46">
        <f t="shared" si="719"/>
        <v>1</v>
      </c>
      <c r="Q1369" s="47" t="str">
        <f t="shared" si="720"/>
        <v>13:29:21</v>
      </c>
      <c r="R1369" s="48" t="str">
        <f t="shared" si="721"/>
        <v>29:21</v>
      </c>
      <c r="S1369" s="49">
        <f t="shared" si="715"/>
        <v>9</v>
      </c>
      <c r="T1369" s="48" t="str">
        <f t="shared" si="722"/>
        <v>13</v>
      </c>
      <c r="U1369" s="50">
        <v>29</v>
      </c>
      <c r="V1369" s="51">
        <v>30</v>
      </c>
      <c r="W1369" s="52" t="str">
        <f t="shared" si="723"/>
        <v>29:30</v>
      </c>
      <c r="X1369" s="53" t="s">
        <v>61</v>
      </c>
      <c r="Y1369" s="97" t="s">
        <v>84</v>
      </c>
      <c r="Z1369" s="97" t="s">
        <v>80</v>
      </c>
      <c r="AA1369" s="48" t="s">
        <v>60</v>
      </c>
      <c r="AB1369" s="48" t="str">
        <f t="shared" si="724"/>
        <v>NA</v>
      </c>
      <c r="AC1369" s="54">
        <f t="shared" si="725"/>
        <v>0</v>
      </c>
      <c r="AD1369" s="55">
        <f t="shared" si="726"/>
        <v>1</v>
      </c>
      <c r="AE1369" s="55"/>
      <c r="AF1369" s="55"/>
      <c r="AG1369" s="56" t="str">
        <f t="shared" si="727"/>
        <v/>
      </c>
      <c r="AH1369" s="57" t="str">
        <f t="shared" si="728"/>
        <v/>
      </c>
      <c r="AI1369" s="56"/>
      <c r="AJ1369" s="57" t="str">
        <f t="shared" si="729"/>
        <v/>
      </c>
      <c r="AK1369" s="56">
        <v>1</v>
      </c>
      <c r="AL1369" s="57">
        <f t="shared" si="730"/>
        <v>9</v>
      </c>
      <c r="AM1369" s="56"/>
      <c r="AN1369" s="57" t="str">
        <f t="shared" si="731"/>
        <v/>
      </c>
      <c r="AO1369" s="56"/>
      <c r="AP1369" s="57" t="str">
        <f t="shared" si="732"/>
        <v/>
      </c>
      <c r="AQ1369" s="56"/>
      <c r="AR1369" s="57" t="str">
        <f t="shared" si="733"/>
        <v/>
      </c>
      <c r="AS1369" s="56"/>
      <c r="AT1369" s="57" t="str">
        <f t="shared" si="734"/>
        <v/>
      </c>
      <c r="AU1369" s="58"/>
      <c r="AV1369" s="59"/>
      <c r="AW1369" s="59"/>
      <c r="AX1369" s="60"/>
      <c r="AY1369" s="61">
        <v>1</v>
      </c>
      <c r="AZ1369" s="62">
        <f t="shared" si="735"/>
        <v>1</v>
      </c>
      <c r="BA1369" s="61">
        <f t="shared" si="736"/>
        <v>0</v>
      </c>
      <c r="BB1369" s="62" t="str">
        <f t="shared" si="737"/>
        <v/>
      </c>
    </row>
    <row r="1370" spans="1:54" s="3" customFormat="1" hidden="1" x14ac:dyDescent="0.35">
      <c r="A1370" s="73">
        <f t="shared" si="716"/>
        <v>2019</v>
      </c>
      <c r="B1370" s="73" t="str">
        <f t="shared" ref="B1370" si="744">IF(C1369-C1370&gt;0, TEXT(DATE(2016,(MONTH(DATEVALUE(B1369&amp;"1"))+1),1),"mmm"), B1369)</f>
        <v>Nov</v>
      </c>
      <c r="C1370" s="74">
        <f t="shared" ref="C1370" si="745">IF(AND(D1370=0, E1370=0), IF(TEXT(C1369,"dd")=TEXT(EOMONTH(DATE(A1369,MONTH(DATEVALUE(B1369&amp;"1")),C1369),0), "dd"), 1, C1369+1), C1369)</f>
        <v>17</v>
      </c>
      <c r="D1370" s="75">
        <f t="shared" ref="D1370" si="746">IF(IF(E1369=59,D1369+1,D1369)=24,0,IF(E1369=59,D1369+1,D1369))</f>
        <v>13</v>
      </c>
      <c r="E1370" s="76">
        <v>30</v>
      </c>
      <c r="F1370" s="80">
        <v>11</v>
      </c>
      <c r="G1370" s="83"/>
      <c r="H1370" s="69" t="str">
        <f t="shared" ref="H1370" si="747">IF(AND(OR(E1369=$G$3,E1369=$G$4,E1369=$G$5,E1369=$G$6,E1369=$G$7,E1369=$G$8),E1369&lt;&gt;RIGHT(H1369,2)),CONCATENATE(LEFT(J1370,3),LEFT(K1370,3),L1370,"_",A1370,TEXT(MONTH(DATEVALUE(B1370&amp;"1")),"00"),TEXT(C1370,"00"),"_",TEXT(D1370,"00"),"_",TEXT(E1369,"00")),IF(AND(OR(E1370=$G$3,E1370=$G$4,E1370=$G$5,E1370=$G$6,E1370=$G$7,E1370=$G$8),OR(F1370="",F1370&gt;$G$9-1)),CONCATENATE(LEFT(J1370,3),LEFT(K1370,3),L1370,"_",A1370,TEXT(MONTH(DATEVALUE(B1370&amp;"1")),"00"),TEXT(C1370,"00"),"_",TEXT(D1370,"00"),"_",TEXT(E1370,"00")),H1369))</f>
        <v>Senbur6_20191117_13_00</v>
      </c>
      <c r="I1370" s="70">
        <f t="shared" si="743"/>
        <v>1</v>
      </c>
      <c r="J1370" s="77" t="str">
        <f t="shared" si="743"/>
        <v>Senecio</v>
      </c>
      <c r="K1370" s="77" t="str">
        <f t="shared" si="743"/>
        <v>burtoni</v>
      </c>
      <c r="L1370" s="78">
        <f t="shared" si="743"/>
        <v>6</v>
      </c>
      <c r="M1370" s="78">
        <f t="shared" si="743"/>
        <v>12</v>
      </c>
      <c r="N1370" s="72">
        <f t="shared" si="743"/>
        <v>0</v>
      </c>
      <c r="O1370" s="45"/>
      <c r="P1370" s="46">
        <f t="shared" ref="P1370" si="748">IF(F1370="","",1)</f>
        <v>1</v>
      </c>
      <c r="Q1370" s="47" t="str">
        <f t="shared" ref="Q1370" si="749">TEXT(IF(P1370=1,CONCATENATE($D1370,":",$E1370,":",(LEFT($F1370,2))),""),"hh:mm:ss")</f>
        <v>13:30:11</v>
      </c>
      <c r="R1370" s="48" t="str">
        <f t="shared" ref="R1370" si="750">TEXT(Q1370-TIME(0,RIGHT($H1370,2),$G$9)+(Q1370&gt;TIME(0,RIGHT($H1370,2),$G$9)),"mm:ss")</f>
        <v>30:11</v>
      </c>
      <c r="S1370" s="49">
        <f t="shared" ref="S1370" si="751">IF(T1370&lt;D1370, (T1370*3600+U1370*60+V1370)+((23*3600+59*60+60)-(D1370*3600+E1370*60+LEFT(F1370,2))), (T1370*3600+U1370*60+V1370)-(D1370*3600+E1370*60+LEFT(F1370,2)))</f>
        <v>100</v>
      </c>
      <c r="T1370" s="48" t="str">
        <f t="shared" ref="T1370" si="752">TEXT(IF(P1370=1,D1370,""),"00")</f>
        <v>13</v>
      </c>
      <c r="U1370" s="50">
        <v>31</v>
      </c>
      <c r="V1370" s="51">
        <v>51</v>
      </c>
      <c r="W1370" s="52" t="str">
        <f t="shared" ref="W1370" si="753">IF(O1370=0,TEXT(TIME(T1370,U1370,V1370)-TIME(D1370,E1370,RIGHT(F1370,2))+TIME(0,LEFT(R1370,2),RIGHT(R1370,2)),"mm:ss"),TEXT(TIME(T1370,U1370,V1370)-TIME(D1370,E1370,RIGHT(F1370,2))+TIME(0,LEFT(R1370,2),RIGHT(R1370,2))-TIME(0,($G$10*O1370),0),"mm:ss"))</f>
        <v>31:51</v>
      </c>
      <c r="X1370" s="53" t="s">
        <v>70</v>
      </c>
      <c r="Y1370" s="97" t="s">
        <v>87</v>
      </c>
      <c r="Z1370" s="97"/>
      <c r="AA1370" s="48" t="s">
        <v>63</v>
      </c>
      <c r="AB1370" s="48" t="str">
        <f t="shared" ref="AB1370" si="754">IF(AA1370&lt;&gt;0,"NA","")</f>
        <v>NA</v>
      </c>
      <c r="AC1370" s="54">
        <f t="shared" ref="AC1370" si="755">IF(SUM(AH1370,AJ1370,AL1370,AN1370,AP1370,AR1370,AT1370)=S1370,,"")</f>
        <v>0</v>
      </c>
      <c r="AD1370" s="55">
        <v>2</v>
      </c>
      <c r="AE1370" s="55"/>
      <c r="AF1370" s="55"/>
      <c r="AG1370" s="56">
        <v>1</v>
      </c>
      <c r="AH1370" s="57">
        <v>3</v>
      </c>
      <c r="AI1370" s="56"/>
      <c r="AJ1370" s="57" t="str">
        <f t="shared" ref="AJ1370" si="756">IF(AI1370=1,$S1370,"")</f>
        <v/>
      </c>
      <c r="AK1370" s="56">
        <v>1</v>
      </c>
      <c r="AL1370" s="57">
        <v>97</v>
      </c>
      <c r="AM1370" s="56"/>
      <c r="AN1370" s="57" t="str">
        <f t="shared" ref="AN1370" si="757">IF(AM1370=1,$S1370,"")</f>
        <v/>
      </c>
      <c r="AO1370" s="56"/>
      <c r="AP1370" s="57" t="str">
        <f t="shared" ref="AP1370" si="758">IF(AO1370=1,$S1370,"")</f>
        <v/>
      </c>
      <c r="AQ1370" s="56"/>
      <c r="AR1370" s="57" t="str">
        <f t="shared" ref="AR1370" si="759">IF(AQ1370=1,$S1370,"")</f>
        <v/>
      </c>
      <c r="AS1370" s="56"/>
      <c r="AT1370" s="57" t="str">
        <f t="shared" ref="AT1370" si="760">IF(AS1370=1,$S1370,"")</f>
        <v/>
      </c>
      <c r="AU1370" s="58"/>
      <c r="AV1370" s="59"/>
      <c r="AW1370" s="59"/>
      <c r="AX1370" s="60"/>
      <c r="AY1370" s="61">
        <v>1</v>
      </c>
      <c r="AZ1370" s="62">
        <f t="shared" ref="AZ1370" si="761">IF(AY1370=1,AD1370,"")</f>
        <v>2</v>
      </c>
      <c r="BA1370" s="61">
        <f t="shared" ref="BA1370" si="762">IF(P1370=1,0,"")</f>
        <v>0</v>
      </c>
      <c r="BB1370" s="62" t="str">
        <f t="shared" ref="BB1370" si="763">IF(BA1370=1,AD1370,"")</f>
        <v/>
      </c>
    </row>
    <row r="1371" spans="1:54" s="3" customFormat="1" hidden="1" x14ac:dyDescent="0.35">
      <c r="A1371" s="73">
        <f>A1369</f>
        <v>2019</v>
      </c>
      <c r="B1371" s="73" t="str">
        <f>IF(C1369-C1371&gt;0, TEXT(DATE(2016,(MONTH(DATEVALUE(B1369&amp;"1"))+1),1),"mmm"), B1369)</f>
        <v>Nov</v>
      </c>
      <c r="C1371" s="74">
        <f>IF(AND(D1371=0, E1371=0), IF(TEXT(C1369,"dd")=TEXT(EOMONTH(DATE(A1369,MONTH(DATEVALUE(B1369&amp;"1")),C1369),0), "dd"), 1, C1369+1), C1369)</f>
        <v>17</v>
      </c>
      <c r="D1371" s="75">
        <f>IF(IF(E1369=59,D1369+1,D1369)=24,0,IF(E1369=59,D1369+1,D1369))</f>
        <v>13</v>
      </c>
      <c r="E1371" s="76">
        <f>IF(E1369&lt;59,E1369+1,0)</f>
        <v>30</v>
      </c>
      <c r="F1371" s="80">
        <v>18</v>
      </c>
      <c r="G1371" s="83"/>
      <c r="H1371" s="69" t="str">
        <f>IF(AND(OR(E1369=$G$3,E1369=$G$4,E1369=$G$5,E1369=$G$6,E1369=$G$7,E1369=$G$8),E1369&lt;&gt;RIGHT(H1369,2)),CONCATENATE(LEFT(J1371,3),LEFT(K1371,3),L1371,"_",A1371,TEXT(MONTH(DATEVALUE(B1371&amp;"1")),"00"),TEXT(C1371,"00"),"_",TEXT(D1371,"00"),"_",TEXT(E1369,"00")),IF(AND(OR(E1371=$G$3,E1371=$G$4,E1371=$G$5,E1371=$G$6,E1371=$G$7,E1371=$G$8),OR(F1371="",F1371&gt;$G$9-1)),CONCATENATE(LEFT(J1371,3),LEFT(K1371,3),L1371,"_",A1371,TEXT(MONTH(DATEVALUE(B1371&amp;"1")),"00"),TEXT(C1371,"00"),"_",TEXT(D1371,"00"),"_",TEXT(E1371,"00")),H1369))</f>
        <v>Senbur6_20191117_13_00</v>
      </c>
      <c r="I1371" s="70">
        <f t="shared" ref="I1371:N1371" si="764">I1369</f>
        <v>1</v>
      </c>
      <c r="J1371" s="77" t="str">
        <f t="shared" si="764"/>
        <v>Senecio</v>
      </c>
      <c r="K1371" s="77" t="str">
        <f t="shared" si="764"/>
        <v>burtoni</v>
      </c>
      <c r="L1371" s="78">
        <f t="shared" si="764"/>
        <v>6</v>
      </c>
      <c r="M1371" s="78">
        <f t="shared" si="764"/>
        <v>12</v>
      </c>
      <c r="N1371" s="72">
        <f t="shared" si="764"/>
        <v>0</v>
      </c>
      <c r="O1371" s="45"/>
      <c r="P1371" s="46">
        <f t="shared" si="719"/>
        <v>1</v>
      </c>
      <c r="Q1371" s="47" t="str">
        <f t="shared" si="720"/>
        <v>13:30:18</v>
      </c>
      <c r="R1371" s="48" t="str">
        <f t="shared" si="721"/>
        <v>30:18</v>
      </c>
      <c r="S1371" s="49">
        <f t="shared" si="715"/>
        <v>11</v>
      </c>
      <c r="T1371" s="48" t="str">
        <f t="shared" si="722"/>
        <v>13</v>
      </c>
      <c r="U1371" s="50">
        <v>30</v>
      </c>
      <c r="V1371" s="51">
        <v>29</v>
      </c>
      <c r="W1371" s="52" t="str">
        <f t="shared" si="723"/>
        <v>30:29</v>
      </c>
      <c r="X1371" s="53" t="s">
        <v>61</v>
      </c>
      <c r="Y1371" s="97" t="s">
        <v>84</v>
      </c>
      <c r="Z1371" s="97" t="s">
        <v>80</v>
      </c>
      <c r="AA1371" s="48" t="s">
        <v>60</v>
      </c>
      <c r="AB1371" s="48" t="str">
        <f t="shared" si="724"/>
        <v>NA</v>
      </c>
      <c r="AC1371" s="54">
        <f t="shared" si="725"/>
        <v>0</v>
      </c>
      <c r="AD1371" s="55">
        <f t="shared" si="726"/>
        <v>1</v>
      </c>
      <c r="AE1371" s="55"/>
      <c r="AF1371" s="55"/>
      <c r="AG1371" s="56">
        <v>1</v>
      </c>
      <c r="AH1371" s="57">
        <v>5</v>
      </c>
      <c r="AI1371" s="56"/>
      <c r="AJ1371" s="57" t="str">
        <f t="shared" si="729"/>
        <v/>
      </c>
      <c r="AK1371" s="56">
        <v>1</v>
      </c>
      <c r="AL1371" s="57">
        <v>6</v>
      </c>
      <c r="AM1371" s="56"/>
      <c r="AN1371" s="57" t="str">
        <f t="shared" si="731"/>
        <v/>
      </c>
      <c r="AO1371" s="56"/>
      <c r="AP1371" s="57" t="str">
        <f t="shared" si="732"/>
        <v/>
      </c>
      <c r="AQ1371" s="56"/>
      <c r="AR1371" s="57" t="str">
        <f t="shared" si="733"/>
        <v/>
      </c>
      <c r="AS1371" s="56"/>
      <c r="AT1371" s="57" t="str">
        <f t="shared" si="734"/>
        <v/>
      </c>
      <c r="AU1371" s="58"/>
      <c r="AV1371" s="59"/>
      <c r="AW1371" s="59"/>
      <c r="AX1371" s="60"/>
      <c r="AY1371" s="61">
        <v>1</v>
      </c>
      <c r="AZ1371" s="62">
        <f t="shared" si="735"/>
        <v>1</v>
      </c>
      <c r="BA1371" s="61">
        <f t="shared" si="736"/>
        <v>0</v>
      </c>
      <c r="BB1371" s="62" t="str">
        <f t="shared" si="737"/>
        <v/>
      </c>
    </row>
    <row r="1372" spans="1:54" s="3" customFormat="1" hidden="1" x14ac:dyDescent="0.35">
      <c r="A1372" s="73">
        <f t="shared" si="716"/>
        <v>2019</v>
      </c>
      <c r="B1372" s="73" t="str">
        <f t="shared" si="717"/>
        <v>Nov</v>
      </c>
      <c r="C1372" s="74">
        <f t="shared" si="738"/>
        <v>17</v>
      </c>
      <c r="D1372" s="75">
        <f t="shared" si="718"/>
        <v>13</v>
      </c>
      <c r="E1372" s="76">
        <v>30</v>
      </c>
      <c r="F1372" s="80">
        <v>28</v>
      </c>
      <c r="G1372" s="83"/>
      <c r="H1372" s="69" t="str">
        <f t="shared" si="740"/>
        <v>Senbur6_20191117_13_00</v>
      </c>
      <c r="I1372" s="70">
        <f t="shared" si="743"/>
        <v>1</v>
      </c>
      <c r="J1372" s="77" t="str">
        <f t="shared" si="743"/>
        <v>Senecio</v>
      </c>
      <c r="K1372" s="77" t="str">
        <f t="shared" si="743"/>
        <v>burtoni</v>
      </c>
      <c r="L1372" s="78">
        <f t="shared" si="743"/>
        <v>6</v>
      </c>
      <c r="M1372" s="78">
        <f t="shared" si="743"/>
        <v>12</v>
      </c>
      <c r="N1372" s="72">
        <f t="shared" si="743"/>
        <v>0</v>
      </c>
      <c r="O1372" s="45"/>
      <c r="P1372" s="46">
        <f t="shared" si="719"/>
        <v>1</v>
      </c>
      <c r="Q1372" s="47" t="str">
        <f t="shared" si="720"/>
        <v>13:30:28</v>
      </c>
      <c r="R1372" s="48" t="str">
        <f t="shared" si="721"/>
        <v>30:28</v>
      </c>
      <c r="S1372" s="49">
        <f t="shared" si="715"/>
        <v>2</v>
      </c>
      <c r="T1372" s="48" t="str">
        <f t="shared" si="722"/>
        <v>13</v>
      </c>
      <c r="U1372" s="50">
        <v>30</v>
      </c>
      <c r="V1372" s="51">
        <v>30</v>
      </c>
      <c r="W1372" s="52" t="str">
        <f t="shared" si="723"/>
        <v>30:30</v>
      </c>
      <c r="X1372" s="53" t="s">
        <v>61</v>
      </c>
      <c r="Y1372" s="97" t="s">
        <v>82</v>
      </c>
      <c r="Z1372" s="97"/>
      <c r="AA1372" s="48" t="s">
        <v>60</v>
      </c>
      <c r="AB1372" s="48" t="str">
        <f t="shared" si="724"/>
        <v>NA</v>
      </c>
      <c r="AC1372" s="54">
        <f t="shared" si="725"/>
        <v>0</v>
      </c>
      <c r="AD1372" s="55">
        <f t="shared" si="726"/>
        <v>1</v>
      </c>
      <c r="AE1372" s="55"/>
      <c r="AF1372" s="55"/>
      <c r="AG1372" s="56" t="str">
        <f t="shared" si="727"/>
        <v/>
      </c>
      <c r="AH1372" s="57" t="str">
        <f t="shared" si="728"/>
        <v/>
      </c>
      <c r="AI1372" s="56"/>
      <c r="AJ1372" s="57" t="str">
        <f t="shared" si="729"/>
        <v/>
      </c>
      <c r="AK1372" s="56">
        <v>1</v>
      </c>
      <c r="AL1372" s="57">
        <f t="shared" si="730"/>
        <v>2</v>
      </c>
      <c r="AM1372" s="56"/>
      <c r="AN1372" s="57" t="str">
        <f t="shared" si="731"/>
        <v/>
      </c>
      <c r="AO1372" s="56"/>
      <c r="AP1372" s="57" t="str">
        <f t="shared" si="732"/>
        <v/>
      </c>
      <c r="AQ1372" s="56"/>
      <c r="AR1372" s="57" t="str">
        <f t="shared" si="733"/>
        <v/>
      </c>
      <c r="AS1372" s="56"/>
      <c r="AT1372" s="57" t="str">
        <f t="shared" si="734"/>
        <v/>
      </c>
      <c r="AU1372" s="58"/>
      <c r="AV1372" s="59"/>
      <c r="AW1372" s="59"/>
      <c r="AX1372" s="60"/>
      <c r="AY1372" s="61">
        <v>1</v>
      </c>
      <c r="AZ1372" s="62">
        <f t="shared" si="735"/>
        <v>1</v>
      </c>
      <c r="BA1372" s="61">
        <f t="shared" si="736"/>
        <v>0</v>
      </c>
      <c r="BB1372" s="62" t="str">
        <f t="shared" si="737"/>
        <v/>
      </c>
    </row>
    <row r="1373" spans="1:54" s="3" customFormat="1" hidden="1" x14ac:dyDescent="0.35">
      <c r="A1373" s="73">
        <f t="shared" si="716"/>
        <v>2019</v>
      </c>
      <c r="B1373" s="73" t="str">
        <f t="shared" si="717"/>
        <v>Nov</v>
      </c>
      <c r="C1373" s="74">
        <f t="shared" si="738"/>
        <v>17</v>
      </c>
      <c r="D1373" s="75">
        <f t="shared" si="718"/>
        <v>13</v>
      </c>
      <c r="E1373" s="76">
        <f t="shared" si="739"/>
        <v>31</v>
      </c>
      <c r="F1373" s="80"/>
      <c r="G1373" s="83"/>
      <c r="H1373" s="69" t="str">
        <f t="shared" si="740"/>
        <v>Senbur6_20191117_13_00</v>
      </c>
      <c r="I1373" s="70">
        <f t="shared" si="743"/>
        <v>1</v>
      </c>
      <c r="J1373" s="77" t="str">
        <f t="shared" si="743"/>
        <v>Senecio</v>
      </c>
      <c r="K1373" s="77" t="str">
        <f t="shared" si="743"/>
        <v>burtoni</v>
      </c>
      <c r="L1373" s="78">
        <f t="shared" si="743"/>
        <v>6</v>
      </c>
      <c r="M1373" s="78">
        <f t="shared" si="743"/>
        <v>12</v>
      </c>
      <c r="N1373" s="72">
        <f t="shared" si="743"/>
        <v>0</v>
      </c>
      <c r="O1373" s="45"/>
      <c r="P1373" s="46" t="str">
        <f t="shared" si="719"/>
        <v/>
      </c>
      <c r="Q1373" s="47" t="str">
        <f t="shared" si="720"/>
        <v/>
      </c>
      <c r="R1373" s="48" t="e">
        <f t="shared" si="721"/>
        <v>#VALUE!</v>
      </c>
      <c r="S1373" s="49" t="e">
        <f t="shared" si="715"/>
        <v>#VALUE!</v>
      </c>
      <c r="T1373" s="48" t="str">
        <f t="shared" si="722"/>
        <v/>
      </c>
      <c r="U1373" s="50"/>
      <c r="V1373" s="51"/>
      <c r="W1373" s="52" t="e">
        <f t="shared" si="723"/>
        <v>#VALUE!</v>
      </c>
      <c r="X1373" s="53"/>
      <c r="Y1373" s="53"/>
      <c r="Z1373" s="53"/>
      <c r="AA1373" s="48" t="e">
        <f>INDEX([1]!VISITORS[INSECT ORDER], MATCH(X1373,[1]!VISITORS[NAME USED],0))</f>
        <v>#REF!</v>
      </c>
      <c r="AB1373" s="48" t="e">
        <f t="shared" si="724"/>
        <v>#REF!</v>
      </c>
      <c r="AC1373" s="54" t="e">
        <f t="shared" si="725"/>
        <v>#VALUE!</v>
      </c>
      <c r="AD1373" s="55" t="str">
        <f t="shared" si="726"/>
        <v/>
      </c>
      <c r="AE1373" s="55"/>
      <c r="AF1373" s="55"/>
      <c r="AG1373" s="56" t="str">
        <f t="shared" si="727"/>
        <v/>
      </c>
      <c r="AH1373" s="57" t="str">
        <f t="shared" si="728"/>
        <v/>
      </c>
      <c r="AI1373" s="56"/>
      <c r="AJ1373" s="57" t="str">
        <f t="shared" si="729"/>
        <v/>
      </c>
      <c r="AK1373" s="56"/>
      <c r="AL1373" s="57" t="str">
        <f t="shared" si="730"/>
        <v/>
      </c>
      <c r="AM1373" s="56"/>
      <c r="AN1373" s="57" t="str">
        <f t="shared" si="731"/>
        <v/>
      </c>
      <c r="AO1373" s="56"/>
      <c r="AP1373" s="57" t="str">
        <f t="shared" si="732"/>
        <v/>
      </c>
      <c r="AQ1373" s="56"/>
      <c r="AR1373" s="57" t="str">
        <f t="shared" si="733"/>
        <v/>
      </c>
      <c r="AS1373" s="56"/>
      <c r="AT1373" s="57" t="str">
        <f t="shared" si="734"/>
        <v/>
      </c>
      <c r="AU1373" s="58"/>
      <c r="AV1373" s="59"/>
      <c r="AW1373" s="59"/>
      <c r="AX1373" s="60"/>
      <c r="AY1373" s="61" t="str">
        <f t="shared" si="742"/>
        <v/>
      </c>
      <c r="AZ1373" s="62" t="str">
        <f t="shared" si="735"/>
        <v/>
      </c>
      <c r="BA1373" s="61" t="str">
        <f t="shared" si="736"/>
        <v/>
      </c>
      <c r="BB1373" s="62" t="str">
        <f t="shared" si="737"/>
        <v/>
      </c>
    </row>
    <row r="1374" spans="1:54" s="3" customFormat="1" hidden="1" x14ac:dyDescent="0.35">
      <c r="A1374" s="73">
        <f t="shared" si="716"/>
        <v>2019</v>
      </c>
      <c r="B1374" s="73" t="str">
        <f t="shared" si="717"/>
        <v>Nov</v>
      </c>
      <c r="C1374" s="74">
        <f t="shared" si="738"/>
        <v>17</v>
      </c>
      <c r="D1374" s="75">
        <f t="shared" si="718"/>
        <v>13</v>
      </c>
      <c r="E1374" s="76">
        <f t="shared" si="739"/>
        <v>32</v>
      </c>
      <c r="F1374" s="80">
        <v>57</v>
      </c>
      <c r="G1374" s="83"/>
      <c r="H1374" s="69" t="str">
        <f t="shared" si="740"/>
        <v>Senbur6_20191117_13_00</v>
      </c>
      <c r="I1374" s="70">
        <f t="shared" si="743"/>
        <v>1</v>
      </c>
      <c r="J1374" s="77" t="str">
        <f t="shared" si="743"/>
        <v>Senecio</v>
      </c>
      <c r="K1374" s="77" t="str">
        <f t="shared" si="743"/>
        <v>burtoni</v>
      </c>
      <c r="L1374" s="78">
        <f t="shared" si="743"/>
        <v>6</v>
      </c>
      <c r="M1374" s="78">
        <f t="shared" si="743"/>
        <v>12</v>
      </c>
      <c r="N1374" s="72">
        <f t="shared" si="743"/>
        <v>0</v>
      </c>
      <c r="O1374" s="45"/>
      <c r="P1374" s="46">
        <f t="shared" si="719"/>
        <v>1</v>
      </c>
      <c r="Q1374" s="47" t="str">
        <f t="shared" si="720"/>
        <v>13:32:57</v>
      </c>
      <c r="R1374" s="48" t="str">
        <f t="shared" si="721"/>
        <v>32:57</v>
      </c>
      <c r="S1374" s="49">
        <f t="shared" si="715"/>
        <v>9</v>
      </c>
      <c r="T1374" s="48" t="str">
        <f t="shared" si="722"/>
        <v>13</v>
      </c>
      <c r="U1374" s="50">
        <v>33</v>
      </c>
      <c r="V1374" s="51">
        <v>6</v>
      </c>
      <c r="W1374" s="52" t="str">
        <f t="shared" si="723"/>
        <v>33:06</v>
      </c>
      <c r="X1374" s="53" t="s">
        <v>61</v>
      </c>
      <c r="Y1374" s="97" t="s">
        <v>96</v>
      </c>
      <c r="Z1374" s="97" t="s">
        <v>80</v>
      </c>
      <c r="AA1374" s="48" t="s">
        <v>60</v>
      </c>
      <c r="AB1374" s="48" t="str">
        <f t="shared" si="724"/>
        <v>NA</v>
      </c>
      <c r="AC1374" s="54">
        <f t="shared" si="725"/>
        <v>0</v>
      </c>
      <c r="AD1374" s="55">
        <f t="shared" si="726"/>
        <v>1</v>
      </c>
      <c r="AE1374" s="55"/>
      <c r="AF1374" s="55"/>
      <c r="AG1374" s="56" t="str">
        <f t="shared" si="727"/>
        <v/>
      </c>
      <c r="AH1374" s="57" t="str">
        <f t="shared" si="728"/>
        <v/>
      </c>
      <c r="AI1374" s="56"/>
      <c r="AJ1374" s="57" t="str">
        <f t="shared" si="729"/>
        <v/>
      </c>
      <c r="AK1374" s="56">
        <v>1</v>
      </c>
      <c r="AL1374" s="57">
        <f t="shared" si="730"/>
        <v>9</v>
      </c>
      <c r="AM1374" s="56"/>
      <c r="AN1374" s="57" t="str">
        <f t="shared" si="731"/>
        <v/>
      </c>
      <c r="AO1374" s="56"/>
      <c r="AP1374" s="57" t="str">
        <f t="shared" si="732"/>
        <v/>
      </c>
      <c r="AQ1374" s="56"/>
      <c r="AR1374" s="57" t="str">
        <f t="shared" si="733"/>
        <v/>
      </c>
      <c r="AS1374" s="56"/>
      <c r="AT1374" s="57" t="str">
        <f t="shared" si="734"/>
        <v/>
      </c>
      <c r="AU1374" s="58"/>
      <c r="AV1374" s="59"/>
      <c r="AW1374" s="59"/>
      <c r="AX1374" s="60"/>
      <c r="AY1374" s="61">
        <v>1</v>
      </c>
      <c r="AZ1374" s="62">
        <f t="shared" si="735"/>
        <v>1</v>
      </c>
      <c r="BA1374" s="61">
        <f t="shared" si="736"/>
        <v>0</v>
      </c>
      <c r="BB1374" s="62" t="str">
        <f t="shared" si="737"/>
        <v/>
      </c>
    </row>
    <row r="1375" spans="1:54" s="3" customFormat="1" hidden="1" x14ac:dyDescent="0.35">
      <c r="A1375" s="73">
        <f t="shared" si="716"/>
        <v>2019</v>
      </c>
      <c r="B1375" s="73" t="str">
        <f t="shared" si="717"/>
        <v>Nov</v>
      </c>
      <c r="C1375" s="74">
        <f t="shared" si="738"/>
        <v>17</v>
      </c>
      <c r="D1375" s="75">
        <f t="shared" si="718"/>
        <v>13</v>
      </c>
      <c r="E1375" s="76">
        <f t="shared" si="739"/>
        <v>33</v>
      </c>
      <c r="F1375" s="80">
        <v>3</v>
      </c>
      <c r="G1375" s="83"/>
      <c r="H1375" s="69" t="str">
        <f t="shared" si="740"/>
        <v>Senbur6_20191117_13_00</v>
      </c>
      <c r="I1375" s="70">
        <f t="shared" si="743"/>
        <v>1</v>
      </c>
      <c r="J1375" s="77" t="str">
        <f t="shared" si="743"/>
        <v>Senecio</v>
      </c>
      <c r="K1375" s="77" t="str">
        <f t="shared" si="743"/>
        <v>burtoni</v>
      </c>
      <c r="L1375" s="78">
        <f t="shared" si="743"/>
        <v>6</v>
      </c>
      <c r="M1375" s="78">
        <f t="shared" si="743"/>
        <v>12</v>
      </c>
      <c r="N1375" s="72">
        <f t="shared" si="743"/>
        <v>0</v>
      </c>
      <c r="O1375" s="45"/>
      <c r="P1375" s="46">
        <f t="shared" si="719"/>
        <v>1</v>
      </c>
      <c r="Q1375" s="47" t="str">
        <f t="shared" si="720"/>
        <v>13:33:03</v>
      </c>
      <c r="R1375" s="48" t="str">
        <f t="shared" si="721"/>
        <v>33:03</v>
      </c>
      <c r="S1375" s="49">
        <f t="shared" si="715"/>
        <v>12</v>
      </c>
      <c r="T1375" s="48" t="str">
        <f t="shared" si="722"/>
        <v>13</v>
      </c>
      <c r="U1375" s="50">
        <v>33</v>
      </c>
      <c r="V1375" s="51">
        <v>15</v>
      </c>
      <c r="W1375" s="52" t="str">
        <f t="shared" si="723"/>
        <v>33:15</v>
      </c>
      <c r="X1375" s="53" t="s">
        <v>61</v>
      </c>
      <c r="Y1375" s="97" t="s">
        <v>96</v>
      </c>
      <c r="Z1375" s="97" t="s">
        <v>80</v>
      </c>
      <c r="AA1375" s="48" t="s">
        <v>60</v>
      </c>
      <c r="AB1375" s="48" t="str">
        <f t="shared" si="724"/>
        <v>NA</v>
      </c>
      <c r="AC1375" s="54">
        <f t="shared" si="725"/>
        <v>0</v>
      </c>
      <c r="AD1375" s="55">
        <f t="shared" si="726"/>
        <v>1</v>
      </c>
      <c r="AE1375" s="55"/>
      <c r="AF1375" s="55"/>
      <c r="AG1375" s="56" t="str">
        <f t="shared" si="727"/>
        <v/>
      </c>
      <c r="AH1375" s="57" t="str">
        <f t="shared" si="728"/>
        <v/>
      </c>
      <c r="AI1375" s="56"/>
      <c r="AJ1375" s="57" t="str">
        <f t="shared" si="729"/>
        <v/>
      </c>
      <c r="AK1375" s="56">
        <v>1</v>
      </c>
      <c r="AL1375" s="57">
        <f t="shared" si="730"/>
        <v>12</v>
      </c>
      <c r="AM1375" s="56"/>
      <c r="AN1375" s="57" t="str">
        <f t="shared" si="731"/>
        <v/>
      </c>
      <c r="AO1375" s="56"/>
      <c r="AP1375" s="57" t="str">
        <f t="shared" si="732"/>
        <v/>
      </c>
      <c r="AQ1375" s="56"/>
      <c r="AR1375" s="57" t="str">
        <f t="shared" si="733"/>
        <v/>
      </c>
      <c r="AS1375" s="56"/>
      <c r="AT1375" s="57" t="str">
        <f t="shared" si="734"/>
        <v/>
      </c>
      <c r="AU1375" s="58"/>
      <c r="AV1375" s="59"/>
      <c r="AW1375" s="59"/>
      <c r="AX1375" s="60"/>
      <c r="AY1375" s="61">
        <v>1</v>
      </c>
      <c r="AZ1375" s="62">
        <f t="shared" si="735"/>
        <v>1</v>
      </c>
      <c r="BA1375" s="61">
        <f t="shared" si="736"/>
        <v>0</v>
      </c>
      <c r="BB1375" s="62" t="str">
        <f t="shared" si="737"/>
        <v/>
      </c>
    </row>
    <row r="1376" spans="1:54" s="3" customFormat="1" hidden="1" x14ac:dyDescent="0.35">
      <c r="A1376" s="73">
        <f t="shared" si="716"/>
        <v>2019</v>
      </c>
      <c r="B1376" s="73" t="str">
        <f t="shared" si="717"/>
        <v>Nov</v>
      </c>
      <c r="C1376" s="74">
        <f t="shared" si="738"/>
        <v>17</v>
      </c>
      <c r="D1376" s="75">
        <f t="shared" si="718"/>
        <v>13</v>
      </c>
      <c r="E1376" s="76">
        <v>33</v>
      </c>
      <c r="F1376" s="80">
        <v>13</v>
      </c>
      <c r="G1376" s="83"/>
      <c r="H1376" s="69" t="str">
        <f t="shared" si="740"/>
        <v>Senbur6_20191117_13_00</v>
      </c>
      <c r="I1376" s="70">
        <f t="shared" si="743"/>
        <v>1</v>
      </c>
      <c r="J1376" s="77" t="str">
        <f t="shared" si="743"/>
        <v>Senecio</v>
      </c>
      <c r="K1376" s="77" t="str">
        <f t="shared" si="743"/>
        <v>burtoni</v>
      </c>
      <c r="L1376" s="78">
        <f t="shared" si="743"/>
        <v>6</v>
      </c>
      <c r="M1376" s="78">
        <f t="shared" si="743"/>
        <v>12</v>
      </c>
      <c r="N1376" s="72">
        <f t="shared" si="743"/>
        <v>0</v>
      </c>
      <c r="O1376" s="45"/>
      <c r="P1376" s="46">
        <f t="shared" si="719"/>
        <v>1</v>
      </c>
      <c r="Q1376" s="47" t="str">
        <f t="shared" si="720"/>
        <v>13:33:13</v>
      </c>
      <c r="R1376" s="48" t="str">
        <f t="shared" si="721"/>
        <v>33:13</v>
      </c>
      <c r="S1376" s="49">
        <f t="shared" si="715"/>
        <v>103</v>
      </c>
      <c r="T1376" s="48" t="str">
        <f t="shared" si="722"/>
        <v>13</v>
      </c>
      <c r="U1376" s="50">
        <v>34</v>
      </c>
      <c r="V1376" s="51">
        <v>56</v>
      </c>
      <c r="W1376" s="52" t="str">
        <f t="shared" si="723"/>
        <v>34:56</v>
      </c>
      <c r="X1376" s="53" t="s">
        <v>61</v>
      </c>
      <c r="Y1376" s="97" t="s">
        <v>84</v>
      </c>
      <c r="Z1376" s="97" t="s">
        <v>80</v>
      </c>
      <c r="AA1376" s="48" t="s">
        <v>60</v>
      </c>
      <c r="AB1376" s="48" t="str">
        <f t="shared" si="724"/>
        <v>NA</v>
      </c>
      <c r="AC1376" s="54">
        <f t="shared" si="725"/>
        <v>0</v>
      </c>
      <c r="AD1376" s="55">
        <v>3</v>
      </c>
      <c r="AE1376" s="55"/>
      <c r="AF1376" s="55"/>
      <c r="AG1376" s="56">
        <v>1</v>
      </c>
      <c r="AH1376" s="57">
        <v>2</v>
      </c>
      <c r="AI1376" s="56">
        <v>1</v>
      </c>
      <c r="AJ1376" s="57">
        <v>1</v>
      </c>
      <c r="AK1376" s="56">
        <v>1</v>
      </c>
      <c r="AL1376" s="57">
        <v>100</v>
      </c>
      <c r="AM1376" s="56"/>
      <c r="AN1376" s="57" t="str">
        <f t="shared" si="731"/>
        <v/>
      </c>
      <c r="AO1376" s="56"/>
      <c r="AP1376" s="57" t="str">
        <f t="shared" si="732"/>
        <v/>
      </c>
      <c r="AQ1376" s="56"/>
      <c r="AR1376" s="57" t="str">
        <f t="shared" si="733"/>
        <v/>
      </c>
      <c r="AS1376" s="56"/>
      <c r="AT1376" s="57" t="str">
        <f t="shared" si="734"/>
        <v/>
      </c>
      <c r="AU1376" s="58"/>
      <c r="AV1376" s="59"/>
      <c r="AW1376" s="59"/>
      <c r="AX1376" s="60"/>
      <c r="AY1376" s="61">
        <v>1</v>
      </c>
      <c r="AZ1376" s="62">
        <f t="shared" si="735"/>
        <v>3</v>
      </c>
      <c r="BA1376" s="61">
        <f t="shared" si="736"/>
        <v>0</v>
      </c>
      <c r="BB1376" s="62" t="str">
        <f t="shared" si="737"/>
        <v/>
      </c>
    </row>
    <row r="1377" spans="1:54" s="3" customFormat="1" hidden="1" x14ac:dyDescent="0.35">
      <c r="A1377" s="73">
        <f t="shared" si="716"/>
        <v>2019</v>
      </c>
      <c r="B1377" s="73" t="str">
        <f t="shared" si="717"/>
        <v>Nov</v>
      </c>
      <c r="C1377" s="74">
        <f t="shared" si="738"/>
        <v>17</v>
      </c>
      <c r="D1377" s="75">
        <f t="shared" si="718"/>
        <v>13</v>
      </c>
      <c r="E1377" s="76">
        <f t="shared" si="739"/>
        <v>34</v>
      </c>
      <c r="F1377" s="80">
        <v>53</v>
      </c>
      <c r="G1377" s="83"/>
      <c r="H1377" s="69" t="str">
        <f t="shared" si="740"/>
        <v>Senbur6_20191117_13_00</v>
      </c>
      <c r="I1377" s="70">
        <f t="shared" si="743"/>
        <v>1</v>
      </c>
      <c r="J1377" s="77" t="str">
        <f t="shared" si="743"/>
        <v>Senecio</v>
      </c>
      <c r="K1377" s="77" t="str">
        <f t="shared" si="743"/>
        <v>burtoni</v>
      </c>
      <c r="L1377" s="78">
        <f t="shared" si="743"/>
        <v>6</v>
      </c>
      <c r="M1377" s="78">
        <f t="shared" si="743"/>
        <v>12</v>
      </c>
      <c r="N1377" s="72">
        <f t="shared" si="743"/>
        <v>0</v>
      </c>
      <c r="O1377" s="45"/>
      <c r="P1377" s="46">
        <f t="shared" si="719"/>
        <v>1</v>
      </c>
      <c r="Q1377" s="47" t="str">
        <f t="shared" si="720"/>
        <v>13:34:53</v>
      </c>
      <c r="R1377" s="48" t="str">
        <f t="shared" si="721"/>
        <v>34:53</v>
      </c>
      <c r="S1377" s="49">
        <f t="shared" si="715"/>
        <v>11</v>
      </c>
      <c r="T1377" s="48" t="str">
        <f t="shared" si="722"/>
        <v>13</v>
      </c>
      <c r="U1377" s="50">
        <v>35</v>
      </c>
      <c r="V1377" s="51">
        <v>4</v>
      </c>
      <c r="W1377" s="52" t="str">
        <f t="shared" si="723"/>
        <v>35:04</v>
      </c>
      <c r="X1377" s="53" t="s">
        <v>61</v>
      </c>
      <c r="Y1377" s="97" t="s">
        <v>82</v>
      </c>
      <c r="Z1377" s="97"/>
      <c r="AA1377" s="48" t="s">
        <v>60</v>
      </c>
      <c r="AB1377" s="48" t="str">
        <f t="shared" si="724"/>
        <v>NA</v>
      </c>
      <c r="AC1377" s="54">
        <f t="shared" si="725"/>
        <v>0</v>
      </c>
      <c r="AD1377" s="55">
        <f t="shared" si="726"/>
        <v>1</v>
      </c>
      <c r="AE1377" s="55"/>
      <c r="AF1377" s="55"/>
      <c r="AG1377" s="56" t="str">
        <f t="shared" si="727"/>
        <v/>
      </c>
      <c r="AH1377" s="57" t="str">
        <f t="shared" si="728"/>
        <v/>
      </c>
      <c r="AI1377" s="56"/>
      <c r="AJ1377" s="57" t="str">
        <f t="shared" si="729"/>
        <v/>
      </c>
      <c r="AK1377" s="56">
        <v>1</v>
      </c>
      <c r="AL1377" s="57">
        <f t="shared" si="730"/>
        <v>11</v>
      </c>
      <c r="AM1377" s="56"/>
      <c r="AN1377" s="57" t="str">
        <f t="shared" si="731"/>
        <v/>
      </c>
      <c r="AO1377" s="56"/>
      <c r="AP1377" s="57" t="str">
        <f t="shared" si="732"/>
        <v/>
      </c>
      <c r="AQ1377" s="56"/>
      <c r="AR1377" s="57" t="str">
        <f t="shared" si="733"/>
        <v/>
      </c>
      <c r="AS1377" s="56"/>
      <c r="AT1377" s="57" t="str">
        <f t="shared" si="734"/>
        <v/>
      </c>
      <c r="AU1377" s="58"/>
      <c r="AV1377" s="59"/>
      <c r="AW1377" s="59"/>
      <c r="AX1377" s="60"/>
      <c r="AY1377" s="61">
        <v>1</v>
      </c>
      <c r="AZ1377" s="62">
        <f t="shared" si="735"/>
        <v>1</v>
      </c>
      <c r="BA1377" s="61">
        <f t="shared" si="736"/>
        <v>0</v>
      </c>
      <c r="BB1377" s="62" t="str">
        <f t="shared" si="737"/>
        <v/>
      </c>
    </row>
    <row r="1378" spans="1:54" s="3" customFormat="1" hidden="1" x14ac:dyDescent="0.35">
      <c r="A1378" s="73">
        <f t="shared" si="716"/>
        <v>2019</v>
      </c>
      <c r="B1378" s="73" t="str">
        <f t="shared" si="717"/>
        <v>Nov</v>
      </c>
      <c r="C1378" s="74">
        <f t="shared" si="738"/>
        <v>17</v>
      </c>
      <c r="D1378" s="75">
        <f t="shared" si="718"/>
        <v>13</v>
      </c>
      <c r="E1378" s="76">
        <v>34</v>
      </c>
      <c r="F1378" s="80">
        <v>55</v>
      </c>
      <c r="G1378" s="83"/>
      <c r="H1378" s="69" t="str">
        <f t="shared" si="740"/>
        <v>Senbur6_20191117_13_00</v>
      </c>
      <c r="I1378" s="70">
        <f t="shared" si="743"/>
        <v>1</v>
      </c>
      <c r="J1378" s="77" t="str">
        <f t="shared" si="743"/>
        <v>Senecio</v>
      </c>
      <c r="K1378" s="77" t="str">
        <f t="shared" si="743"/>
        <v>burtoni</v>
      </c>
      <c r="L1378" s="78">
        <f t="shared" si="743"/>
        <v>6</v>
      </c>
      <c r="M1378" s="78">
        <f t="shared" si="743"/>
        <v>12</v>
      </c>
      <c r="N1378" s="72">
        <f t="shared" si="743"/>
        <v>0</v>
      </c>
      <c r="O1378" s="45"/>
      <c r="P1378" s="46">
        <f t="shared" si="719"/>
        <v>1</v>
      </c>
      <c r="Q1378" s="47" t="str">
        <f t="shared" si="720"/>
        <v>13:34:55</v>
      </c>
      <c r="R1378" s="48" t="str">
        <f t="shared" si="721"/>
        <v>34:55</v>
      </c>
      <c r="S1378" s="49">
        <f t="shared" si="715"/>
        <v>14</v>
      </c>
      <c r="T1378" s="48" t="str">
        <f t="shared" si="722"/>
        <v>13</v>
      </c>
      <c r="U1378" s="50">
        <v>35</v>
      </c>
      <c r="V1378" s="51">
        <v>9</v>
      </c>
      <c r="W1378" s="52" t="str">
        <f t="shared" si="723"/>
        <v>35:09</v>
      </c>
      <c r="X1378" s="53" t="s">
        <v>61</v>
      </c>
      <c r="Y1378" s="97" t="s">
        <v>84</v>
      </c>
      <c r="Z1378" s="97" t="s">
        <v>80</v>
      </c>
      <c r="AA1378" s="48" t="s">
        <v>60</v>
      </c>
      <c r="AB1378" s="48" t="str">
        <f t="shared" si="724"/>
        <v>NA</v>
      </c>
      <c r="AC1378" s="54">
        <f t="shared" si="725"/>
        <v>0</v>
      </c>
      <c r="AD1378" s="55">
        <v>2</v>
      </c>
      <c r="AE1378" s="55"/>
      <c r="AF1378" s="55"/>
      <c r="AG1378" s="56">
        <v>1</v>
      </c>
      <c r="AH1378" s="57">
        <v>1</v>
      </c>
      <c r="AI1378" s="56"/>
      <c r="AJ1378" s="57" t="str">
        <f t="shared" si="729"/>
        <v/>
      </c>
      <c r="AK1378" s="56">
        <v>1</v>
      </c>
      <c r="AL1378" s="57">
        <v>13</v>
      </c>
      <c r="AM1378" s="56"/>
      <c r="AN1378" s="57" t="str">
        <f t="shared" si="731"/>
        <v/>
      </c>
      <c r="AO1378" s="56"/>
      <c r="AP1378" s="57" t="str">
        <f t="shared" si="732"/>
        <v/>
      </c>
      <c r="AQ1378" s="56"/>
      <c r="AR1378" s="57" t="str">
        <f t="shared" si="733"/>
        <v/>
      </c>
      <c r="AS1378" s="56"/>
      <c r="AT1378" s="57" t="str">
        <f t="shared" si="734"/>
        <v/>
      </c>
      <c r="AU1378" s="58"/>
      <c r="AV1378" s="59"/>
      <c r="AW1378" s="59"/>
      <c r="AX1378" s="60"/>
      <c r="AY1378" s="61">
        <v>1</v>
      </c>
      <c r="AZ1378" s="62">
        <f t="shared" si="735"/>
        <v>2</v>
      </c>
      <c r="BA1378" s="61">
        <f t="shared" si="736"/>
        <v>0</v>
      </c>
      <c r="BB1378" s="62" t="str">
        <f t="shared" si="737"/>
        <v/>
      </c>
    </row>
    <row r="1379" spans="1:54" s="3" customFormat="1" hidden="1" x14ac:dyDescent="0.35">
      <c r="A1379" s="73">
        <f t="shared" si="716"/>
        <v>2019</v>
      </c>
      <c r="B1379" s="73" t="str">
        <f t="shared" si="717"/>
        <v>Nov</v>
      </c>
      <c r="C1379" s="74">
        <f t="shared" si="738"/>
        <v>17</v>
      </c>
      <c r="D1379" s="75">
        <f t="shared" si="718"/>
        <v>13</v>
      </c>
      <c r="E1379" s="76">
        <v>34</v>
      </c>
      <c r="F1379" s="80">
        <v>58</v>
      </c>
      <c r="G1379" s="83"/>
      <c r="H1379" s="69" t="str">
        <f t="shared" si="740"/>
        <v>Senbur6_20191117_13_00</v>
      </c>
      <c r="I1379" s="70">
        <f t="shared" si="743"/>
        <v>1</v>
      </c>
      <c r="J1379" s="77" t="str">
        <f t="shared" si="743"/>
        <v>Senecio</v>
      </c>
      <c r="K1379" s="77" t="str">
        <f t="shared" si="743"/>
        <v>burtoni</v>
      </c>
      <c r="L1379" s="78">
        <f t="shared" si="743"/>
        <v>6</v>
      </c>
      <c r="M1379" s="78">
        <f t="shared" si="743"/>
        <v>12</v>
      </c>
      <c r="N1379" s="72">
        <f t="shared" si="743"/>
        <v>0</v>
      </c>
      <c r="O1379" s="45"/>
      <c r="P1379" s="46">
        <f t="shared" si="719"/>
        <v>1</v>
      </c>
      <c r="Q1379" s="47" t="str">
        <f t="shared" si="720"/>
        <v>13:34:58</v>
      </c>
      <c r="R1379" s="48" t="str">
        <f t="shared" si="721"/>
        <v>34:58</v>
      </c>
      <c r="S1379" s="49">
        <f t="shared" si="715"/>
        <v>83</v>
      </c>
      <c r="T1379" s="48" t="str">
        <f t="shared" si="722"/>
        <v>13</v>
      </c>
      <c r="U1379" s="50">
        <v>36</v>
      </c>
      <c r="V1379" s="51">
        <v>21</v>
      </c>
      <c r="W1379" s="52" t="str">
        <f t="shared" si="723"/>
        <v>36:21</v>
      </c>
      <c r="X1379" s="53" t="s">
        <v>61</v>
      </c>
      <c r="Y1379" s="97" t="s">
        <v>84</v>
      </c>
      <c r="Z1379" s="97" t="s">
        <v>80</v>
      </c>
      <c r="AA1379" s="48" t="s">
        <v>60</v>
      </c>
      <c r="AB1379" s="48" t="str">
        <f t="shared" si="724"/>
        <v>NA</v>
      </c>
      <c r="AC1379" s="54">
        <f t="shared" si="725"/>
        <v>0</v>
      </c>
      <c r="AD1379" s="55">
        <v>2</v>
      </c>
      <c r="AE1379" s="55"/>
      <c r="AF1379" s="55"/>
      <c r="AG1379" s="56">
        <v>1</v>
      </c>
      <c r="AH1379" s="57">
        <v>1</v>
      </c>
      <c r="AI1379" s="56">
        <v>1</v>
      </c>
      <c r="AJ1379" s="57">
        <v>1</v>
      </c>
      <c r="AK1379" s="56">
        <v>1</v>
      </c>
      <c r="AL1379" s="57">
        <v>81</v>
      </c>
      <c r="AM1379" s="56"/>
      <c r="AN1379" s="57" t="str">
        <f t="shared" si="731"/>
        <v/>
      </c>
      <c r="AO1379" s="56"/>
      <c r="AP1379" s="57" t="str">
        <f t="shared" si="732"/>
        <v/>
      </c>
      <c r="AQ1379" s="56"/>
      <c r="AR1379" s="57" t="str">
        <f t="shared" si="733"/>
        <v/>
      </c>
      <c r="AS1379" s="56"/>
      <c r="AT1379" s="57" t="str">
        <f t="shared" si="734"/>
        <v/>
      </c>
      <c r="AU1379" s="58"/>
      <c r="AV1379" s="59"/>
      <c r="AW1379" s="59"/>
      <c r="AX1379" s="60"/>
      <c r="AY1379" s="61">
        <v>1</v>
      </c>
      <c r="AZ1379" s="62">
        <f t="shared" si="735"/>
        <v>2</v>
      </c>
      <c r="BA1379" s="61">
        <f t="shared" si="736"/>
        <v>0</v>
      </c>
      <c r="BB1379" s="62" t="str">
        <f t="shared" si="737"/>
        <v/>
      </c>
    </row>
    <row r="1380" spans="1:54" s="3" customFormat="1" hidden="1" x14ac:dyDescent="0.35">
      <c r="A1380" s="73">
        <f t="shared" si="716"/>
        <v>2019</v>
      </c>
      <c r="B1380" s="73" t="str">
        <f t="shared" si="717"/>
        <v>Nov</v>
      </c>
      <c r="C1380" s="74">
        <f t="shared" si="738"/>
        <v>17</v>
      </c>
      <c r="D1380" s="75">
        <f t="shared" si="718"/>
        <v>13</v>
      </c>
      <c r="E1380" s="76">
        <f t="shared" si="739"/>
        <v>35</v>
      </c>
      <c r="F1380" s="80">
        <v>45</v>
      </c>
      <c r="G1380" s="83"/>
      <c r="H1380" s="69" t="str">
        <f t="shared" si="740"/>
        <v>Senbur6_20191117_13_00</v>
      </c>
      <c r="I1380" s="70">
        <f t="shared" si="743"/>
        <v>1</v>
      </c>
      <c r="J1380" s="77" t="str">
        <f t="shared" si="743"/>
        <v>Senecio</v>
      </c>
      <c r="K1380" s="77" t="str">
        <f t="shared" si="743"/>
        <v>burtoni</v>
      </c>
      <c r="L1380" s="78">
        <f t="shared" si="743"/>
        <v>6</v>
      </c>
      <c r="M1380" s="78">
        <f t="shared" si="743"/>
        <v>12</v>
      </c>
      <c r="N1380" s="72">
        <f t="shared" si="743"/>
        <v>0</v>
      </c>
      <c r="O1380" s="45"/>
      <c r="P1380" s="46">
        <f t="shared" si="719"/>
        <v>1</v>
      </c>
      <c r="Q1380" s="47" t="str">
        <f t="shared" si="720"/>
        <v>13:35:45</v>
      </c>
      <c r="R1380" s="48" t="str">
        <f t="shared" si="721"/>
        <v>35:45</v>
      </c>
      <c r="S1380" s="49">
        <f t="shared" si="715"/>
        <v>1</v>
      </c>
      <c r="T1380" s="48" t="str">
        <f t="shared" si="722"/>
        <v>13</v>
      </c>
      <c r="U1380" s="50">
        <v>35</v>
      </c>
      <c r="V1380" s="51">
        <v>46</v>
      </c>
      <c r="W1380" s="52" t="str">
        <f t="shared" si="723"/>
        <v>35:46</v>
      </c>
      <c r="X1380" s="53" t="s">
        <v>61</v>
      </c>
      <c r="Y1380" s="97" t="s">
        <v>82</v>
      </c>
      <c r="Z1380" s="97"/>
      <c r="AA1380" s="48" t="s">
        <v>60</v>
      </c>
      <c r="AB1380" s="48" t="str">
        <f t="shared" si="724"/>
        <v>NA</v>
      </c>
      <c r="AC1380" s="54">
        <f t="shared" si="725"/>
        <v>0</v>
      </c>
      <c r="AD1380" s="55">
        <f t="shared" si="726"/>
        <v>1</v>
      </c>
      <c r="AE1380" s="55"/>
      <c r="AF1380" s="55"/>
      <c r="AG1380" s="56">
        <v>1</v>
      </c>
      <c r="AH1380" s="57">
        <f t="shared" si="728"/>
        <v>1</v>
      </c>
      <c r="AI1380" s="56"/>
      <c r="AJ1380" s="57" t="str">
        <f t="shared" si="729"/>
        <v/>
      </c>
      <c r="AK1380" s="56"/>
      <c r="AL1380" s="57" t="str">
        <f t="shared" si="730"/>
        <v/>
      </c>
      <c r="AM1380" s="56"/>
      <c r="AN1380" s="57" t="str">
        <f t="shared" si="731"/>
        <v/>
      </c>
      <c r="AO1380" s="56"/>
      <c r="AP1380" s="57" t="str">
        <f t="shared" si="732"/>
        <v/>
      </c>
      <c r="AQ1380" s="56"/>
      <c r="AR1380" s="57" t="str">
        <f t="shared" si="733"/>
        <v/>
      </c>
      <c r="AS1380" s="56"/>
      <c r="AT1380" s="57" t="str">
        <f t="shared" si="734"/>
        <v/>
      </c>
      <c r="AU1380" s="58"/>
      <c r="AV1380" s="59"/>
      <c r="AW1380" s="59"/>
      <c r="AX1380" s="60"/>
      <c r="AY1380" s="61">
        <f t="shared" si="742"/>
        <v>0</v>
      </c>
      <c r="AZ1380" s="62" t="str">
        <f t="shared" si="735"/>
        <v/>
      </c>
      <c r="BA1380" s="61">
        <f t="shared" si="736"/>
        <v>0</v>
      </c>
      <c r="BB1380" s="62" t="str">
        <f t="shared" si="737"/>
        <v/>
      </c>
    </row>
    <row r="1381" spans="1:54" s="3" customFormat="1" hidden="1" x14ac:dyDescent="0.35">
      <c r="A1381" s="73">
        <f t="shared" si="716"/>
        <v>2019</v>
      </c>
      <c r="B1381" s="73" t="str">
        <f t="shared" si="717"/>
        <v>Nov</v>
      </c>
      <c r="C1381" s="74">
        <f t="shared" si="738"/>
        <v>17</v>
      </c>
      <c r="D1381" s="75">
        <f t="shared" si="718"/>
        <v>13</v>
      </c>
      <c r="E1381" s="76">
        <f t="shared" si="739"/>
        <v>36</v>
      </c>
      <c r="F1381" s="80">
        <v>17</v>
      </c>
      <c r="G1381" s="83"/>
      <c r="H1381" s="69" t="str">
        <f t="shared" si="740"/>
        <v>Senbur6_20191117_13_00</v>
      </c>
      <c r="I1381" s="70">
        <f t="shared" si="743"/>
        <v>1</v>
      </c>
      <c r="J1381" s="77" t="str">
        <f t="shared" si="743"/>
        <v>Senecio</v>
      </c>
      <c r="K1381" s="77" t="str">
        <f t="shared" si="743"/>
        <v>burtoni</v>
      </c>
      <c r="L1381" s="78">
        <f t="shared" si="743"/>
        <v>6</v>
      </c>
      <c r="M1381" s="78">
        <f t="shared" si="743"/>
        <v>12</v>
      </c>
      <c r="N1381" s="72">
        <f t="shared" si="743"/>
        <v>0</v>
      </c>
      <c r="O1381" s="45"/>
      <c r="P1381" s="46">
        <f t="shared" si="719"/>
        <v>1</v>
      </c>
      <c r="Q1381" s="47" t="str">
        <f t="shared" si="720"/>
        <v>13:36:17</v>
      </c>
      <c r="R1381" s="48" t="str">
        <f t="shared" si="721"/>
        <v>36:17</v>
      </c>
      <c r="S1381" s="49">
        <f t="shared" si="715"/>
        <v>65</v>
      </c>
      <c r="T1381" s="48" t="str">
        <f t="shared" si="722"/>
        <v>13</v>
      </c>
      <c r="U1381" s="50">
        <v>37</v>
      </c>
      <c r="V1381" s="51">
        <v>22</v>
      </c>
      <c r="W1381" s="52" t="str">
        <f t="shared" si="723"/>
        <v>37:22</v>
      </c>
      <c r="X1381" s="53" t="s">
        <v>61</v>
      </c>
      <c r="Y1381" s="97" t="s">
        <v>96</v>
      </c>
      <c r="Z1381" s="97" t="s">
        <v>80</v>
      </c>
      <c r="AA1381" s="48" t="s">
        <v>60</v>
      </c>
      <c r="AB1381" s="48" t="str">
        <f t="shared" si="724"/>
        <v>NA</v>
      </c>
      <c r="AC1381" s="54">
        <f t="shared" si="725"/>
        <v>0</v>
      </c>
      <c r="AD1381" s="55">
        <f t="shared" si="726"/>
        <v>1</v>
      </c>
      <c r="AE1381" s="55"/>
      <c r="AF1381" s="55"/>
      <c r="AG1381" s="56" t="str">
        <f t="shared" si="727"/>
        <v/>
      </c>
      <c r="AH1381" s="57" t="str">
        <f t="shared" si="728"/>
        <v/>
      </c>
      <c r="AI1381" s="56"/>
      <c r="AJ1381" s="57" t="str">
        <f t="shared" si="729"/>
        <v/>
      </c>
      <c r="AK1381" s="56">
        <v>1</v>
      </c>
      <c r="AL1381" s="57">
        <f t="shared" si="730"/>
        <v>65</v>
      </c>
      <c r="AM1381" s="56"/>
      <c r="AN1381" s="57" t="str">
        <f t="shared" si="731"/>
        <v/>
      </c>
      <c r="AO1381" s="56"/>
      <c r="AP1381" s="57" t="str">
        <f t="shared" si="732"/>
        <v/>
      </c>
      <c r="AQ1381" s="56"/>
      <c r="AR1381" s="57" t="str">
        <f t="shared" si="733"/>
        <v/>
      </c>
      <c r="AS1381" s="56"/>
      <c r="AT1381" s="57" t="str">
        <f t="shared" si="734"/>
        <v/>
      </c>
      <c r="AU1381" s="58"/>
      <c r="AV1381" s="59"/>
      <c r="AW1381" s="59"/>
      <c r="AX1381" s="60"/>
      <c r="AY1381" s="61">
        <v>1</v>
      </c>
      <c r="AZ1381" s="62">
        <f t="shared" si="735"/>
        <v>1</v>
      </c>
      <c r="BA1381" s="61">
        <f t="shared" si="736"/>
        <v>0</v>
      </c>
      <c r="BB1381" s="62" t="str">
        <f t="shared" si="737"/>
        <v/>
      </c>
    </row>
    <row r="1382" spans="1:54" s="3" customFormat="1" hidden="1" x14ac:dyDescent="0.35">
      <c r="A1382" s="73">
        <f t="shared" si="716"/>
        <v>2019</v>
      </c>
      <c r="B1382" s="73" t="str">
        <f t="shared" si="717"/>
        <v>Nov</v>
      </c>
      <c r="C1382" s="74">
        <f t="shared" si="738"/>
        <v>17</v>
      </c>
      <c r="D1382" s="75">
        <f t="shared" si="718"/>
        <v>13</v>
      </c>
      <c r="E1382" s="76">
        <v>36</v>
      </c>
      <c r="F1382" s="80">
        <v>37</v>
      </c>
      <c r="G1382" s="83"/>
      <c r="H1382" s="69" t="str">
        <f t="shared" si="740"/>
        <v>Senbur6_20191117_13_00</v>
      </c>
      <c r="I1382" s="70">
        <f t="shared" si="743"/>
        <v>1</v>
      </c>
      <c r="J1382" s="77" t="str">
        <f t="shared" si="743"/>
        <v>Senecio</v>
      </c>
      <c r="K1382" s="77" t="str">
        <f t="shared" si="743"/>
        <v>burtoni</v>
      </c>
      <c r="L1382" s="78">
        <f t="shared" si="743"/>
        <v>6</v>
      </c>
      <c r="M1382" s="78">
        <f t="shared" si="743"/>
        <v>12</v>
      </c>
      <c r="N1382" s="72">
        <f t="shared" si="743"/>
        <v>0</v>
      </c>
      <c r="O1382" s="45"/>
      <c r="P1382" s="46">
        <f t="shared" si="719"/>
        <v>1</v>
      </c>
      <c r="Q1382" s="47" t="str">
        <f t="shared" si="720"/>
        <v>13:36:37</v>
      </c>
      <c r="R1382" s="48" t="str">
        <f t="shared" si="721"/>
        <v>36:37</v>
      </c>
      <c r="S1382" s="49">
        <f t="shared" si="715"/>
        <v>43</v>
      </c>
      <c r="T1382" s="48" t="str">
        <f t="shared" si="722"/>
        <v>13</v>
      </c>
      <c r="U1382" s="50">
        <v>37</v>
      </c>
      <c r="V1382" s="51">
        <v>20</v>
      </c>
      <c r="W1382" s="52" t="str">
        <f t="shared" si="723"/>
        <v>37:20</v>
      </c>
      <c r="X1382" s="53" t="s">
        <v>61</v>
      </c>
      <c r="Y1382" s="97" t="s">
        <v>84</v>
      </c>
      <c r="Z1382" s="97" t="s">
        <v>80</v>
      </c>
      <c r="AA1382" s="48" t="s">
        <v>60</v>
      </c>
      <c r="AB1382" s="48" t="str">
        <f t="shared" si="724"/>
        <v>NA</v>
      </c>
      <c r="AC1382" s="54">
        <f t="shared" si="725"/>
        <v>0</v>
      </c>
      <c r="AD1382" s="55">
        <f t="shared" si="726"/>
        <v>1</v>
      </c>
      <c r="AE1382" s="55"/>
      <c r="AF1382" s="55"/>
      <c r="AG1382" s="56" t="str">
        <f t="shared" si="727"/>
        <v/>
      </c>
      <c r="AH1382" s="57" t="str">
        <f t="shared" si="728"/>
        <v/>
      </c>
      <c r="AI1382" s="56"/>
      <c r="AJ1382" s="57" t="str">
        <f t="shared" si="729"/>
        <v/>
      </c>
      <c r="AK1382" s="56">
        <v>1</v>
      </c>
      <c r="AL1382" s="57">
        <f t="shared" si="730"/>
        <v>43</v>
      </c>
      <c r="AM1382" s="56"/>
      <c r="AN1382" s="57" t="str">
        <f t="shared" si="731"/>
        <v/>
      </c>
      <c r="AO1382" s="56"/>
      <c r="AP1382" s="57" t="str">
        <f t="shared" si="732"/>
        <v/>
      </c>
      <c r="AQ1382" s="56"/>
      <c r="AR1382" s="57" t="str">
        <f t="shared" si="733"/>
        <v/>
      </c>
      <c r="AS1382" s="56"/>
      <c r="AT1382" s="57" t="str">
        <f t="shared" si="734"/>
        <v/>
      </c>
      <c r="AU1382" s="58"/>
      <c r="AV1382" s="59"/>
      <c r="AW1382" s="59"/>
      <c r="AX1382" s="60"/>
      <c r="AY1382" s="61">
        <v>1</v>
      </c>
      <c r="AZ1382" s="62">
        <f t="shared" si="735"/>
        <v>1</v>
      </c>
      <c r="BA1382" s="61">
        <f t="shared" si="736"/>
        <v>0</v>
      </c>
      <c r="BB1382" s="62" t="str">
        <f t="shared" si="737"/>
        <v/>
      </c>
    </row>
    <row r="1383" spans="1:54" s="3" customFormat="1" hidden="1" x14ac:dyDescent="0.35">
      <c r="A1383" s="73">
        <f t="shared" si="716"/>
        <v>2019</v>
      </c>
      <c r="B1383" s="73" t="str">
        <f t="shared" si="717"/>
        <v>Nov</v>
      </c>
      <c r="C1383" s="74">
        <f t="shared" si="738"/>
        <v>17</v>
      </c>
      <c r="D1383" s="75">
        <f t="shared" si="718"/>
        <v>13</v>
      </c>
      <c r="E1383" s="76">
        <f t="shared" si="739"/>
        <v>37</v>
      </c>
      <c r="F1383" s="80">
        <v>37</v>
      </c>
      <c r="G1383" s="83"/>
      <c r="H1383" s="69" t="str">
        <f t="shared" si="740"/>
        <v>Senbur6_20191117_13_00</v>
      </c>
      <c r="I1383" s="70">
        <f t="shared" si="743"/>
        <v>1</v>
      </c>
      <c r="J1383" s="77" t="str">
        <f t="shared" si="743"/>
        <v>Senecio</v>
      </c>
      <c r="K1383" s="77" t="str">
        <f t="shared" si="743"/>
        <v>burtoni</v>
      </c>
      <c r="L1383" s="78">
        <f t="shared" si="743"/>
        <v>6</v>
      </c>
      <c r="M1383" s="78">
        <f t="shared" si="743"/>
        <v>12</v>
      </c>
      <c r="N1383" s="72">
        <f t="shared" si="743"/>
        <v>0</v>
      </c>
      <c r="O1383" s="45"/>
      <c r="P1383" s="46">
        <f t="shared" si="719"/>
        <v>1</v>
      </c>
      <c r="Q1383" s="47" t="str">
        <f t="shared" si="720"/>
        <v>13:37:37</v>
      </c>
      <c r="R1383" s="48" t="str">
        <f t="shared" si="721"/>
        <v>37:37</v>
      </c>
      <c r="S1383" s="49">
        <f t="shared" si="715"/>
        <v>210</v>
      </c>
      <c r="T1383" s="48" t="str">
        <f t="shared" si="722"/>
        <v>13</v>
      </c>
      <c r="U1383" s="50">
        <v>41</v>
      </c>
      <c r="V1383" s="51">
        <v>7</v>
      </c>
      <c r="W1383" s="52" t="str">
        <f t="shared" si="723"/>
        <v>41:07</v>
      </c>
      <c r="X1383" s="53" t="s">
        <v>61</v>
      </c>
      <c r="Y1383" s="97" t="s">
        <v>78</v>
      </c>
      <c r="Z1383" s="97"/>
      <c r="AA1383" s="48" t="s">
        <v>60</v>
      </c>
      <c r="AB1383" s="48" t="str">
        <f t="shared" si="724"/>
        <v>NA</v>
      </c>
      <c r="AC1383" s="54">
        <f t="shared" si="725"/>
        <v>0</v>
      </c>
      <c r="AD1383" s="55">
        <v>4</v>
      </c>
      <c r="AE1383" s="55"/>
      <c r="AF1383" s="55"/>
      <c r="AG1383" s="56">
        <v>1</v>
      </c>
      <c r="AH1383" s="57">
        <v>28</v>
      </c>
      <c r="AI1383" s="56">
        <v>1</v>
      </c>
      <c r="AJ1383" s="57">
        <v>1</v>
      </c>
      <c r="AK1383" s="56">
        <v>1</v>
      </c>
      <c r="AL1383" s="57">
        <v>181</v>
      </c>
      <c r="AM1383" s="56"/>
      <c r="AN1383" s="57" t="str">
        <f t="shared" si="731"/>
        <v/>
      </c>
      <c r="AO1383" s="56"/>
      <c r="AP1383" s="57" t="str">
        <f t="shared" si="732"/>
        <v/>
      </c>
      <c r="AQ1383" s="56"/>
      <c r="AR1383" s="57" t="str">
        <f t="shared" si="733"/>
        <v/>
      </c>
      <c r="AS1383" s="56"/>
      <c r="AT1383" s="57" t="str">
        <f t="shared" si="734"/>
        <v/>
      </c>
      <c r="AU1383" s="58"/>
      <c r="AV1383" s="59"/>
      <c r="AW1383" s="59"/>
      <c r="AX1383" s="60"/>
      <c r="AY1383" s="61">
        <v>1</v>
      </c>
      <c r="AZ1383" s="62">
        <f t="shared" si="735"/>
        <v>4</v>
      </c>
      <c r="BA1383" s="61">
        <f t="shared" si="736"/>
        <v>0</v>
      </c>
      <c r="BB1383" s="62" t="str">
        <f t="shared" si="737"/>
        <v/>
      </c>
    </row>
    <row r="1384" spans="1:54" s="3" customFormat="1" hidden="1" x14ac:dyDescent="0.35">
      <c r="A1384" s="73">
        <f t="shared" si="716"/>
        <v>2019</v>
      </c>
      <c r="B1384" s="73" t="str">
        <f t="shared" si="717"/>
        <v>Nov</v>
      </c>
      <c r="C1384" s="74">
        <f t="shared" si="738"/>
        <v>17</v>
      </c>
      <c r="D1384" s="75">
        <f t="shared" si="718"/>
        <v>13</v>
      </c>
      <c r="E1384" s="76">
        <f t="shared" si="739"/>
        <v>38</v>
      </c>
      <c r="F1384" s="80"/>
      <c r="G1384" s="83"/>
      <c r="H1384" s="69" t="str">
        <f t="shared" si="740"/>
        <v>Senbur6_20191117_13_00</v>
      </c>
      <c r="I1384" s="70">
        <f t="shared" si="743"/>
        <v>1</v>
      </c>
      <c r="J1384" s="77" t="str">
        <f t="shared" si="743"/>
        <v>Senecio</v>
      </c>
      <c r="K1384" s="77" t="str">
        <f t="shared" si="743"/>
        <v>burtoni</v>
      </c>
      <c r="L1384" s="78">
        <f t="shared" si="743"/>
        <v>6</v>
      </c>
      <c r="M1384" s="78">
        <f t="shared" si="743"/>
        <v>12</v>
      </c>
      <c r="N1384" s="72">
        <f t="shared" si="743"/>
        <v>0</v>
      </c>
      <c r="O1384" s="45"/>
      <c r="P1384" s="46" t="str">
        <f t="shared" si="719"/>
        <v/>
      </c>
      <c r="Q1384" s="47" t="str">
        <f t="shared" si="720"/>
        <v/>
      </c>
      <c r="R1384" s="48" t="e">
        <f t="shared" si="721"/>
        <v>#VALUE!</v>
      </c>
      <c r="S1384" s="49" t="e">
        <f t="shared" si="715"/>
        <v>#VALUE!</v>
      </c>
      <c r="T1384" s="48" t="str">
        <f t="shared" si="722"/>
        <v/>
      </c>
      <c r="U1384" s="50"/>
      <c r="V1384" s="51"/>
      <c r="W1384" s="52" t="e">
        <f t="shared" si="723"/>
        <v>#VALUE!</v>
      </c>
      <c r="X1384" s="53"/>
      <c r="Y1384" s="53"/>
      <c r="Z1384" s="53"/>
      <c r="AA1384" s="48" t="e">
        <f>INDEX([1]!VISITORS[INSECT ORDER], MATCH(X1384,[1]!VISITORS[NAME USED],0))</f>
        <v>#REF!</v>
      </c>
      <c r="AB1384" s="48" t="e">
        <f t="shared" si="724"/>
        <v>#REF!</v>
      </c>
      <c r="AC1384" s="54" t="e">
        <f t="shared" si="725"/>
        <v>#VALUE!</v>
      </c>
      <c r="AD1384" s="55" t="str">
        <f t="shared" si="726"/>
        <v/>
      </c>
      <c r="AE1384" s="55"/>
      <c r="AF1384" s="55"/>
      <c r="AG1384" s="56" t="str">
        <f t="shared" si="727"/>
        <v/>
      </c>
      <c r="AH1384" s="57" t="str">
        <f t="shared" si="728"/>
        <v/>
      </c>
      <c r="AI1384" s="56"/>
      <c r="AJ1384" s="57" t="str">
        <f t="shared" si="729"/>
        <v/>
      </c>
      <c r="AK1384" s="56"/>
      <c r="AL1384" s="57" t="str">
        <f t="shared" si="730"/>
        <v/>
      </c>
      <c r="AM1384" s="56"/>
      <c r="AN1384" s="57" t="str">
        <f t="shared" si="731"/>
        <v/>
      </c>
      <c r="AO1384" s="56"/>
      <c r="AP1384" s="57" t="str">
        <f t="shared" si="732"/>
        <v/>
      </c>
      <c r="AQ1384" s="56"/>
      <c r="AR1384" s="57" t="str">
        <f t="shared" si="733"/>
        <v/>
      </c>
      <c r="AS1384" s="56"/>
      <c r="AT1384" s="57" t="str">
        <f t="shared" si="734"/>
        <v/>
      </c>
      <c r="AU1384" s="58"/>
      <c r="AV1384" s="59"/>
      <c r="AW1384" s="59"/>
      <c r="AX1384" s="60"/>
      <c r="AY1384" s="61" t="str">
        <f t="shared" si="742"/>
        <v/>
      </c>
      <c r="AZ1384" s="62" t="str">
        <f t="shared" si="735"/>
        <v/>
      </c>
      <c r="BA1384" s="61" t="str">
        <f t="shared" si="736"/>
        <v/>
      </c>
      <c r="BB1384" s="62" t="str">
        <f t="shared" si="737"/>
        <v/>
      </c>
    </row>
    <row r="1385" spans="1:54" s="3" customFormat="1" hidden="1" x14ac:dyDescent="0.35">
      <c r="A1385" s="73">
        <f t="shared" si="716"/>
        <v>2019</v>
      </c>
      <c r="B1385" s="73" t="str">
        <f t="shared" si="717"/>
        <v>Nov</v>
      </c>
      <c r="C1385" s="74">
        <f t="shared" si="738"/>
        <v>17</v>
      </c>
      <c r="D1385" s="75">
        <f t="shared" si="718"/>
        <v>13</v>
      </c>
      <c r="E1385" s="76">
        <f t="shared" si="739"/>
        <v>39</v>
      </c>
      <c r="F1385" s="80">
        <v>55</v>
      </c>
      <c r="G1385" s="83"/>
      <c r="H1385" s="69" t="str">
        <f t="shared" si="740"/>
        <v>Senbur6_20191117_13_00</v>
      </c>
      <c r="I1385" s="70">
        <f t="shared" ref="I1385:N1400" si="765">I1384</f>
        <v>1</v>
      </c>
      <c r="J1385" s="77" t="str">
        <f t="shared" si="765"/>
        <v>Senecio</v>
      </c>
      <c r="K1385" s="77" t="str">
        <f t="shared" si="765"/>
        <v>burtoni</v>
      </c>
      <c r="L1385" s="78">
        <f t="shared" si="765"/>
        <v>6</v>
      </c>
      <c r="M1385" s="78">
        <f t="shared" si="765"/>
        <v>12</v>
      </c>
      <c r="N1385" s="72">
        <f t="shared" si="765"/>
        <v>0</v>
      </c>
      <c r="O1385" s="45"/>
      <c r="P1385" s="46">
        <f t="shared" si="719"/>
        <v>1</v>
      </c>
      <c r="Q1385" s="47" t="str">
        <f t="shared" si="720"/>
        <v>13:39:55</v>
      </c>
      <c r="R1385" s="48" t="str">
        <f t="shared" si="721"/>
        <v>39:55</v>
      </c>
      <c r="S1385" s="49">
        <f t="shared" si="715"/>
        <v>94</v>
      </c>
      <c r="T1385" s="48" t="str">
        <f t="shared" si="722"/>
        <v>13</v>
      </c>
      <c r="U1385" s="50">
        <v>41</v>
      </c>
      <c r="V1385" s="51">
        <v>29</v>
      </c>
      <c r="W1385" s="52" t="str">
        <f t="shared" si="723"/>
        <v>41:29</v>
      </c>
      <c r="X1385" s="53" t="s">
        <v>61</v>
      </c>
      <c r="Y1385" s="97" t="s">
        <v>84</v>
      </c>
      <c r="Z1385" s="97" t="s">
        <v>80</v>
      </c>
      <c r="AA1385" s="48" t="s">
        <v>60</v>
      </c>
      <c r="AB1385" s="48" t="str">
        <f t="shared" si="724"/>
        <v>NA</v>
      </c>
      <c r="AC1385" s="54">
        <f t="shared" si="725"/>
        <v>0</v>
      </c>
      <c r="AD1385" s="55">
        <v>3</v>
      </c>
      <c r="AE1385" s="55"/>
      <c r="AF1385" s="55"/>
      <c r="AG1385" s="56">
        <v>1</v>
      </c>
      <c r="AH1385" s="57">
        <v>6</v>
      </c>
      <c r="AI1385" s="56">
        <v>1</v>
      </c>
      <c r="AJ1385" s="57">
        <v>1</v>
      </c>
      <c r="AK1385" s="56">
        <v>1</v>
      </c>
      <c r="AL1385" s="57">
        <v>87</v>
      </c>
      <c r="AM1385" s="56"/>
      <c r="AN1385" s="57" t="str">
        <f t="shared" si="731"/>
        <v/>
      </c>
      <c r="AO1385" s="56"/>
      <c r="AP1385" s="57" t="str">
        <f t="shared" si="732"/>
        <v/>
      </c>
      <c r="AQ1385" s="56"/>
      <c r="AR1385" s="57" t="str">
        <f t="shared" si="733"/>
        <v/>
      </c>
      <c r="AS1385" s="56"/>
      <c r="AT1385" s="57" t="str">
        <f t="shared" si="734"/>
        <v/>
      </c>
      <c r="AU1385" s="58"/>
      <c r="AV1385" s="59"/>
      <c r="AW1385" s="59"/>
      <c r="AX1385" s="60"/>
      <c r="AY1385" s="61">
        <v>1</v>
      </c>
      <c r="AZ1385" s="62">
        <f t="shared" si="735"/>
        <v>3</v>
      </c>
      <c r="BA1385" s="61">
        <f t="shared" si="736"/>
        <v>0</v>
      </c>
      <c r="BB1385" s="62" t="str">
        <f t="shared" si="737"/>
        <v/>
      </c>
    </row>
    <row r="1386" spans="1:54" s="3" customFormat="1" hidden="1" x14ac:dyDescent="0.35">
      <c r="A1386" s="73">
        <f t="shared" si="716"/>
        <v>2019</v>
      </c>
      <c r="B1386" s="73" t="str">
        <f t="shared" si="717"/>
        <v>Nov</v>
      </c>
      <c r="C1386" s="74">
        <f t="shared" si="738"/>
        <v>17</v>
      </c>
      <c r="D1386" s="75">
        <f t="shared" si="718"/>
        <v>13</v>
      </c>
      <c r="E1386" s="76">
        <f t="shared" si="739"/>
        <v>40</v>
      </c>
      <c r="F1386" s="80">
        <v>20</v>
      </c>
      <c r="G1386" s="83"/>
      <c r="H1386" s="69" t="str">
        <f t="shared" si="740"/>
        <v>Senbur6_20191117_13_00</v>
      </c>
      <c r="I1386" s="70">
        <f t="shared" si="765"/>
        <v>1</v>
      </c>
      <c r="J1386" s="77" t="str">
        <f t="shared" si="765"/>
        <v>Senecio</v>
      </c>
      <c r="K1386" s="77" t="str">
        <f t="shared" si="765"/>
        <v>burtoni</v>
      </c>
      <c r="L1386" s="78">
        <f t="shared" si="765"/>
        <v>6</v>
      </c>
      <c r="M1386" s="78">
        <f t="shared" si="765"/>
        <v>12</v>
      </c>
      <c r="N1386" s="72">
        <f t="shared" si="765"/>
        <v>0</v>
      </c>
      <c r="O1386" s="45"/>
      <c r="P1386" s="46">
        <f t="shared" si="719"/>
        <v>1</v>
      </c>
      <c r="Q1386" s="47" t="str">
        <f t="shared" si="720"/>
        <v>13:40:20</v>
      </c>
      <c r="R1386" s="48" t="str">
        <f t="shared" si="721"/>
        <v>40:20</v>
      </c>
      <c r="S1386" s="49">
        <f t="shared" si="715"/>
        <v>69</v>
      </c>
      <c r="T1386" s="48" t="str">
        <f t="shared" si="722"/>
        <v>13</v>
      </c>
      <c r="U1386" s="50">
        <v>41</v>
      </c>
      <c r="V1386" s="51">
        <v>29</v>
      </c>
      <c r="W1386" s="52" t="str">
        <f t="shared" si="723"/>
        <v>41:29</v>
      </c>
      <c r="X1386" s="53" t="s">
        <v>61</v>
      </c>
      <c r="Y1386" s="97" t="s">
        <v>78</v>
      </c>
      <c r="Z1386" s="97"/>
      <c r="AA1386" s="48" t="s">
        <v>60</v>
      </c>
      <c r="AB1386" s="48" t="str">
        <f t="shared" si="724"/>
        <v>NA</v>
      </c>
      <c r="AC1386" s="54">
        <f t="shared" si="725"/>
        <v>0</v>
      </c>
      <c r="AD1386" s="55">
        <v>2</v>
      </c>
      <c r="AE1386" s="55"/>
      <c r="AF1386" s="55"/>
      <c r="AG1386" s="56">
        <v>1</v>
      </c>
      <c r="AH1386" s="57">
        <v>5</v>
      </c>
      <c r="AI1386" s="56"/>
      <c r="AJ1386" s="57" t="str">
        <f t="shared" si="729"/>
        <v/>
      </c>
      <c r="AK1386" s="56">
        <v>1</v>
      </c>
      <c r="AL1386" s="57">
        <v>64</v>
      </c>
      <c r="AM1386" s="56"/>
      <c r="AN1386" s="57" t="str">
        <f t="shared" si="731"/>
        <v/>
      </c>
      <c r="AO1386" s="56"/>
      <c r="AP1386" s="57" t="str">
        <f t="shared" si="732"/>
        <v/>
      </c>
      <c r="AQ1386" s="56"/>
      <c r="AR1386" s="57" t="str">
        <f t="shared" si="733"/>
        <v/>
      </c>
      <c r="AS1386" s="56"/>
      <c r="AT1386" s="57" t="str">
        <f t="shared" si="734"/>
        <v/>
      </c>
      <c r="AU1386" s="58"/>
      <c r="AV1386" s="59"/>
      <c r="AW1386" s="59"/>
      <c r="AX1386" s="60"/>
      <c r="AY1386" s="61">
        <v>1</v>
      </c>
      <c r="AZ1386" s="62">
        <f t="shared" si="735"/>
        <v>2</v>
      </c>
      <c r="BA1386" s="61">
        <f t="shared" si="736"/>
        <v>0</v>
      </c>
      <c r="BB1386" s="62" t="str">
        <f t="shared" si="737"/>
        <v/>
      </c>
    </row>
    <row r="1387" spans="1:54" s="3" customFormat="1" hidden="1" x14ac:dyDescent="0.35">
      <c r="A1387" s="73">
        <f t="shared" si="716"/>
        <v>2019</v>
      </c>
      <c r="B1387" s="73" t="str">
        <f t="shared" si="717"/>
        <v>Nov</v>
      </c>
      <c r="C1387" s="74">
        <f t="shared" si="738"/>
        <v>17</v>
      </c>
      <c r="D1387" s="75">
        <f t="shared" si="718"/>
        <v>13</v>
      </c>
      <c r="E1387" s="76">
        <v>40</v>
      </c>
      <c r="F1387" s="80">
        <v>34</v>
      </c>
      <c r="G1387" s="83"/>
      <c r="H1387" s="69" t="str">
        <f t="shared" si="740"/>
        <v>Senbur6_20191117_13_00</v>
      </c>
      <c r="I1387" s="70">
        <f t="shared" si="765"/>
        <v>1</v>
      </c>
      <c r="J1387" s="77" t="str">
        <f t="shared" si="765"/>
        <v>Senecio</v>
      </c>
      <c r="K1387" s="77" t="str">
        <f t="shared" si="765"/>
        <v>burtoni</v>
      </c>
      <c r="L1387" s="78">
        <f t="shared" si="765"/>
        <v>6</v>
      </c>
      <c r="M1387" s="78">
        <f t="shared" si="765"/>
        <v>12</v>
      </c>
      <c r="N1387" s="72">
        <f t="shared" si="765"/>
        <v>0</v>
      </c>
      <c r="O1387" s="45"/>
      <c r="P1387" s="46">
        <f t="shared" si="719"/>
        <v>1</v>
      </c>
      <c r="Q1387" s="47" t="str">
        <f t="shared" si="720"/>
        <v>13:40:34</v>
      </c>
      <c r="R1387" s="48" t="str">
        <f t="shared" si="721"/>
        <v>40:34</v>
      </c>
      <c r="S1387" s="49">
        <f t="shared" si="715"/>
        <v>47</v>
      </c>
      <c r="T1387" s="48" t="str">
        <f t="shared" si="722"/>
        <v>13</v>
      </c>
      <c r="U1387" s="50">
        <v>41</v>
      </c>
      <c r="V1387" s="51">
        <v>21</v>
      </c>
      <c r="W1387" s="52" t="str">
        <f t="shared" si="723"/>
        <v>41:21</v>
      </c>
      <c r="X1387" s="53" t="s">
        <v>61</v>
      </c>
      <c r="Y1387" s="97" t="s">
        <v>84</v>
      </c>
      <c r="Z1387" s="97" t="s">
        <v>80</v>
      </c>
      <c r="AA1387" s="48" t="s">
        <v>60</v>
      </c>
      <c r="AB1387" s="48" t="str">
        <f t="shared" si="724"/>
        <v>NA</v>
      </c>
      <c r="AC1387" s="54">
        <f t="shared" si="725"/>
        <v>0</v>
      </c>
      <c r="AD1387" s="55">
        <v>2</v>
      </c>
      <c r="AE1387" s="55"/>
      <c r="AF1387" s="55"/>
      <c r="AG1387" s="56"/>
      <c r="AH1387" s="57"/>
      <c r="AI1387" s="56">
        <v>1</v>
      </c>
      <c r="AJ1387" s="57">
        <v>1</v>
      </c>
      <c r="AK1387" s="56">
        <v>1</v>
      </c>
      <c r="AL1387" s="57">
        <v>46</v>
      </c>
      <c r="AM1387" s="56"/>
      <c r="AN1387" s="57" t="str">
        <f t="shared" si="731"/>
        <v/>
      </c>
      <c r="AO1387" s="56"/>
      <c r="AP1387" s="57" t="str">
        <f t="shared" si="732"/>
        <v/>
      </c>
      <c r="AQ1387" s="56"/>
      <c r="AR1387" s="57" t="str">
        <f t="shared" si="733"/>
        <v/>
      </c>
      <c r="AS1387" s="56"/>
      <c r="AT1387" s="57" t="str">
        <f t="shared" si="734"/>
        <v/>
      </c>
      <c r="AU1387" s="58"/>
      <c r="AV1387" s="59"/>
      <c r="AW1387" s="59"/>
      <c r="AX1387" s="60"/>
      <c r="AY1387" s="61">
        <v>1</v>
      </c>
      <c r="AZ1387" s="62">
        <f t="shared" si="735"/>
        <v>2</v>
      </c>
      <c r="BA1387" s="61">
        <f t="shared" si="736"/>
        <v>0</v>
      </c>
      <c r="BB1387" s="62" t="str">
        <f t="shared" si="737"/>
        <v/>
      </c>
    </row>
    <row r="1388" spans="1:54" s="3" customFormat="1" hidden="1" x14ac:dyDescent="0.35">
      <c r="A1388" s="73">
        <f t="shared" si="716"/>
        <v>2019</v>
      </c>
      <c r="B1388" s="73" t="str">
        <f t="shared" si="717"/>
        <v>Nov</v>
      </c>
      <c r="C1388" s="74">
        <f t="shared" si="738"/>
        <v>17</v>
      </c>
      <c r="D1388" s="75">
        <f t="shared" si="718"/>
        <v>13</v>
      </c>
      <c r="E1388" s="76">
        <f t="shared" si="739"/>
        <v>41</v>
      </c>
      <c r="F1388" s="80">
        <v>7</v>
      </c>
      <c r="G1388" s="83"/>
      <c r="H1388" s="69" t="str">
        <f t="shared" si="740"/>
        <v>Senbur6_20191117_13_00</v>
      </c>
      <c r="I1388" s="70">
        <f t="shared" si="765"/>
        <v>1</v>
      </c>
      <c r="J1388" s="77" t="str">
        <f t="shared" si="765"/>
        <v>Senecio</v>
      </c>
      <c r="K1388" s="77" t="str">
        <f t="shared" si="765"/>
        <v>burtoni</v>
      </c>
      <c r="L1388" s="78">
        <f t="shared" si="765"/>
        <v>6</v>
      </c>
      <c r="M1388" s="78">
        <f t="shared" si="765"/>
        <v>12</v>
      </c>
      <c r="N1388" s="72">
        <f t="shared" si="765"/>
        <v>0</v>
      </c>
      <c r="O1388" s="45"/>
      <c r="P1388" s="46">
        <f t="shared" si="719"/>
        <v>1</v>
      </c>
      <c r="Q1388" s="47" t="str">
        <f t="shared" si="720"/>
        <v>13:41:07</v>
      </c>
      <c r="R1388" s="48" t="str">
        <f t="shared" si="721"/>
        <v>41:07</v>
      </c>
      <c r="S1388" s="49">
        <f t="shared" si="715"/>
        <v>53</v>
      </c>
      <c r="T1388" s="48" t="str">
        <f t="shared" si="722"/>
        <v>13</v>
      </c>
      <c r="U1388" s="50">
        <v>42</v>
      </c>
      <c r="V1388" s="51">
        <v>0</v>
      </c>
      <c r="W1388" s="52" t="str">
        <f t="shared" si="723"/>
        <v>42:00</v>
      </c>
      <c r="X1388" s="53" t="s">
        <v>61</v>
      </c>
      <c r="Y1388" s="97" t="s">
        <v>84</v>
      </c>
      <c r="Z1388" s="97" t="s">
        <v>80</v>
      </c>
      <c r="AA1388" s="48" t="s">
        <v>60</v>
      </c>
      <c r="AB1388" s="48" t="str">
        <f t="shared" si="724"/>
        <v>NA</v>
      </c>
      <c r="AC1388" s="54">
        <f t="shared" si="725"/>
        <v>0</v>
      </c>
      <c r="AD1388" s="55">
        <v>3</v>
      </c>
      <c r="AE1388" s="55"/>
      <c r="AF1388" s="55"/>
      <c r="AG1388" s="56" t="str">
        <f t="shared" si="727"/>
        <v/>
      </c>
      <c r="AH1388" s="57" t="str">
        <f t="shared" si="728"/>
        <v/>
      </c>
      <c r="AI1388" s="56">
        <v>1</v>
      </c>
      <c r="AJ1388" s="57">
        <v>1</v>
      </c>
      <c r="AK1388" s="56">
        <v>1</v>
      </c>
      <c r="AL1388" s="57">
        <v>52</v>
      </c>
      <c r="AM1388" s="56"/>
      <c r="AN1388" s="57" t="str">
        <f t="shared" si="731"/>
        <v/>
      </c>
      <c r="AO1388" s="56"/>
      <c r="AP1388" s="57" t="str">
        <f t="shared" si="732"/>
        <v/>
      </c>
      <c r="AQ1388" s="56"/>
      <c r="AR1388" s="57" t="str">
        <f t="shared" si="733"/>
        <v/>
      </c>
      <c r="AS1388" s="56"/>
      <c r="AT1388" s="57" t="str">
        <f t="shared" si="734"/>
        <v/>
      </c>
      <c r="AU1388" s="58"/>
      <c r="AV1388" s="59"/>
      <c r="AW1388" s="59"/>
      <c r="AX1388" s="60"/>
      <c r="AY1388" s="61">
        <v>1</v>
      </c>
      <c r="AZ1388" s="62">
        <f t="shared" si="735"/>
        <v>3</v>
      </c>
      <c r="BA1388" s="61">
        <f t="shared" si="736"/>
        <v>0</v>
      </c>
      <c r="BB1388" s="62" t="str">
        <f t="shared" si="737"/>
        <v/>
      </c>
    </row>
    <row r="1389" spans="1:54" s="3" customFormat="1" hidden="1" x14ac:dyDescent="0.35">
      <c r="A1389" s="73">
        <f t="shared" si="716"/>
        <v>2019</v>
      </c>
      <c r="B1389" s="73" t="str">
        <f t="shared" si="717"/>
        <v>Nov</v>
      </c>
      <c r="C1389" s="74">
        <f t="shared" si="738"/>
        <v>17</v>
      </c>
      <c r="D1389" s="75">
        <f t="shared" si="718"/>
        <v>13</v>
      </c>
      <c r="E1389" s="76">
        <v>41</v>
      </c>
      <c r="F1389" s="80">
        <v>36</v>
      </c>
      <c r="G1389" s="83"/>
      <c r="H1389" s="69" t="str">
        <f t="shared" si="740"/>
        <v>Senbur6_20191117_13_00</v>
      </c>
      <c r="I1389" s="70">
        <f t="shared" si="765"/>
        <v>1</v>
      </c>
      <c r="J1389" s="77" t="str">
        <f t="shared" si="765"/>
        <v>Senecio</v>
      </c>
      <c r="K1389" s="77" t="str">
        <f t="shared" si="765"/>
        <v>burtoni</v>
      </c>
      <c r="L1389" s="78">
        <f t="shared" si="765"/>
        <v>6</v>
      </c>
      <c r="M1389" s="78">
        <f t="shared" si="765"/>
        <v>12</v>
      </c>
      <c r="N1389" s="72">
        <f t="shared" si="765"/>
        <v>0</v>
      </c>
      <c r="O1389" s="45"/>
      <c r="P1389" s="46">
        <f t="shared" si="719"/>
        <v>1</v>
      </c>
      <c r="Q1389" s="47" t="str">
        <f t="shared" si="720"/>
        <v>13:41:36</v>
      </c>
      <c r="R1389" s="48" t="str">
        <f t="shared" si="721"/>
        <v>41:36</v>
      </c>
      <c r="S1389" s="49">
        <f t="shared" si="715"/>
        <v>24</v>
      </c>
      <c r="T1389" s="48" t="str">
        <f t="shared" si="722"/>
        <v>13</v>
      </c>
      <c r="U1389" s="50">
        <v>42</v>
      </c>
      <c r="V1389" s="51">
        <v>0</v>
      </c>
      <c r="W1389" s="52" t="str">
        <f t="shared" si="723"/>
        <v>42:00</v>
      </c>
      <c r="X1389" s="53" t="s">
        <v>61</v>
      </c>
      <c r="Y1389" s="97" t="s">
        <v>84</v>
      </c>
      <c r="Z1389" s="97" t="s">
        <v>80</v>
      </c>
      <c r="AA1389" s="48" t="s">
        <v>60</v>
      </c>
      <c r="AB1389" s="48" t="str">
        <f t="shared" si="724"/>
        <v>NA</v>
      </c>
      <c r="AC1389" s="54">
        <f t="shared" si="725"/>
        <v>0</v>
      </c>
      <c r="AD1389" s="55">
        <v>2</v>
      </c>
      <c r="AE1389" s="55"/>
      <c r="AF1389" s="55"/>
      <c r="AG1389" s="56">
        <v>1</v>
      </c>
      <c r="AH1389" s="57">
        <v>1</v>
      </c>
      <c r="AI1389" s="56"/>
      <c r="AJ1389" s="57" t="str">
        <f t="shared" si="729"/>
        <v/>
      </c>
      <c r="AK1389" s="56">
        <v>1</v>
      </c>
      <c r="AL1389" s="57">
        <v>23</v>
      </c>
      <c r="AM1389" s="56"/>
      <c r="AN1389" s="57" t="str">
        <f t="shared" si="731"/>
        <v/>
      </c>
      <c r="AO1389" s="56"/>
      <c r="AP1389" s="57" t="str">
        <f t="shared" si="732"/>
        <v/>
      </c>
      <c r="AQ1389" s="56"/>
      <c r="AR1389" s="57" t="str">
        <f t="shared" si="733"/>
        <v/>
      </c>
      <c r="AS1389" s="56"/>
      <c r="AT1389" s="57" t="str">
        <f t="shared" si="734"/>
        <v/>
      </c>
      <c r="AU1389" s="58"/>
      <c r="AV1389" s="59"/>
      <c r="AW1389" s="59"/>
      <c r="AX1389" s="60"/>
      <c r="AY1389" s="61">
        <v>1</v>
      </c>
      <c r="AZ1389" s="62">
        <f t="shared" si="735"/>
        <v>2</v>
      </c>
      <c r="BA1389" s="61">
        <f t="shared" si="736"/>
        <v>0</v>
      </c>
      <c r="BB1389" s="62" t="str">
        <f t="shared" si="737"/>
        <v/>
      </c>
    </row>
    <row r="1390" spans="1:54" s="3" customFormat="1" hidden="1" x14ac:dyDescent="0.35">
      <c r="A1390" s="73">
        <f t="shared" si="716"/>
        <v>2019</v>
      </c>
      <c r="B1390" s="73" t="str">
        <f t="shared" si="717"/>
        <v>Nov</v>
      </c>
      <c r="C1390" s="74">
        <f t="shared" si="738"/>
        <v>17</v>
      </c>
      <c r="D1390" s="75">
        <f t="shared" si="718"/>
        <v>13</v>
      </c>
      <c r="E1390" s="76">
        <f t="shared" si="739"/>
        <v>42</v>
      </c>
      <c r="F1390" s="80"/>
      <c r="G1390" s="83"/>
      <c r="H1390" s="69" t="str">
        <f t="shared" si="740"/>
        <v>Senbur6_20191117_13_00</v>
      </c>
      <c r="I1390" s="70">
        <f t="shared" si="765"/>
        <v>1</v>
      </c>
      <c r="J1390" s="77" t="str">
        <f t="shared" si="765"/>
        <v>Senecio</v>
      </c>
      <c r="K1390" s="77" t="str">
        <f t="shared" si="765"/>
        <v>burtoni</v>
      </c>
      <c r="L1390" s="78">
        <f t="shared" si="765"/>
        <v>6</v>
      </c>
      <c r="M1390" s="78">
        <f t="shared" si="765"/>
        <v>12</v>
      </c>
      <c r="N1390" s="72">
        <f t="shared" si="765"/>
        <v>0</v>
      </c>
      <c r="O1390" s="45"/>
      <c r="P1390" s="46" t="str">
        <f t="shared" si="719"/>
        <v/>
      </c>
      <c r="Q1390" s="47" t="str">
        <f t="shared" si="720"/>
        <v/>
      </c>
      <c r="R1390" s="48" t="e">
        <f t="shared" si="721"/>
        <v>#VALUE!</v>
      </c>
      <c r="S1390" s="49" t="e">
        <f t="shared" si="715"/>
        <v>#VALUE!</v>
      </c>
      <c r="T1390" s="48" t="str">
        <f t="shared" si="722"/>
        <v/>
      </c>
      <c r="U1390" s="50"/>
      <c r="V1390" s="51"/>
      <c r="W1390" s="52" t="e">
        <f t="shared" si="723"/>
        <v>#VALUE!</v>
      </c>
      <c r="X1390" s="53"/>
      <c r="Y1390" s="53"/>
      <c r="Z1390" s="53"/>
      <c r="AA1390" s="48" t="e">
        <f>INDEX([1]!VISITORS[INSECT ORDER], MATCH(X1390,[1]!VISITORS[NAME USED],0))</f>
        <v>#REF!</v>
      </c>
      <c r="AB1390" s="48" t="e">
        <f t="shared" si="724"/>
        <v>#REF!</v>
      </c>
      <c r="AC1390" s="54" t="e">
        <f t="shared" si="725"/>
        <v>#VALUE!</v>
      </c>
      <c r="AD1390" s="55" t="str">
        <f t="shared" si="726"/>
        <v/>
      </c>
      <c r="AE1390" s="55"/>
      <c r="AF1390" s="55"/>
      <c r="AG1390" s="56" t="str">
        <f t="shared" si="727"/>
        <v/>
      </c>
      <c r="AH1390" s="57" t="str">
        <f t="shared" si="728"/>
        <v/>
      </c>
      <c r="AI1390" s="56"/>
      <c r="AJ1390" s="57" t="str">
        <f t="shared" si="729"/>
        <v/>
      </c>
      <c r="AK1390" s="56"/>
      <c r="AL1390" s="57" t="str">
        <f t="shared" si="730"/>
        <v/>
      </c>
      <c r="AM1390" s="56"/>
      <c r="AN1390" s="57" t="str">
        <f t="shared" si="731"/>
        <v/>
      </c>
      <c r="AO1390" s="56"/>
      <c r="AP1390" s="57" t="str">
        <f t="shared" si="732"/>
        <v/>
      </c>
      <c r="AQ1390" s="56"/>
      <c r="AR1390" s="57" t="str">
        <f t="shared" si="733"/>
        <v/>
      </c>
      <c r="AS1390" s="56"/>
      <c r="AT1390" s="57" t="str">
        <f t="shared" si="734"/>
        <v/>
      </c>
      <c r="AU1390" s="58"/>
      <c r="AV1390" s="59"/>
      <c r="AW1390" s="59"/>
      <c r="AX1390" s="60"/>
      <c r="AY1390" s="61" t="str">
        <f t="shared" si="742"/>
        <v/>
      </c>
      <c r="AZ1390" s="62" t="str">
        <f t="shared" si="735"/>
        <v/>
      </c>
      <c r="BA1390" s="61" t="str">
        <f t="shared" si="736"/>
        <v/>
      </c>
      <c r="BB1390" s="62" t="str">
        <f t="shared" si="737"/>
        <v/>
      </c>
    </row>
    <row r="1391" spans="1:54" s="3" customFormat="1" hidden="1" x14ac:dyDescent="0.35">
      <c r="A1391" s="73">
        <f t="shared" si="716"/>
        <v>2019</v>
      </c>
      <c r="B1391" s="73" t="str">
        <f t="shared" si="717"/>
        <v>Nov</v>
      </c>
      <c r="C1391" s="74">
        <f t="shared" si="738"/>
        <v>17</v>
      </c>
      <c r="D1391" s="75">
        <f t="shared" si="718"/>
        <v>13</v>
      </c>
      <c r="E1391" s="76">
        <f t="shared" si="739"/>
        <v>43</v>
      </c>
      <c r="F1391" s="80"/>
      <c r="G1391" s="83"/>
      <c r="H1391" s="69" t="str">
        <f t="shared" si="740"/>
        <v>Senbur6_20191117_13_00</v>
      </c>
      <c r="I1391" s="70">
        <f t="shared" si="765"/>
        <v>1</v>
      </c>
      <c r="J1391" s="77" t="str">
        <f t="shared" si="765"/>
        <v>Senecio</v>
      </c>
      <c r="K1391" s="77" t="str">
        <f t="shared" si="765"/>
        <v>burtoni</v>
      </c>
      <c r="L1391" s="78">
        <f t="shared" si="765"/>
        <v>6</v>
      </c>
      <c r="M1391" s="78">
        <f t="shared" si="765"/>
        <v>12</v>
      </c>
      <c r="N1391" s="72">
        <f t="shared" si="765"/>
        <v>0</v>
      </c>
      <c r="O1391" s="45"/>
      <c r="P1391" s="46" t="str">
        <f t="shared" si="719"/>
        <v/>
      </c>
      <c r="Q1391" s="47" t="str">
        <f t="shared" si="720"/>
        <v/>
      </c>
      <c r="R1391" s="48" t="e">
        <f t="shared" si="721"/>
        <v>#VALUE!</v>
      </c>
      <c r="S1391" s="49" t="e">
        <f t="shared" si="715"/>
        <v>#VALUE!</v>
      </c>
      <c r="T1391" s="48" t="str">
        <f t="shared" si="722"/>
        <v/>
      </c>
      <c r="U1391" s="50"/>
      <c r="V1391" s="51"/>
      <c r="W1391" s="52" t="e">
        <f t="shared" si="723"/>
        <v>#VALUE!</v>
      </c>
      <c r="X1391" s="53"/>
      <c r="Y1391" s="53"/>
      <c r="Z1391" s="53"/>
      <c r="AA1391" s="48" t="e">
        <f>INDEX([1]!VISITORS[INSECT ORDER], MATCH(X1391,[1]!VISITORS[NAME USED],0))</f>
        <v>#REF!</v>
      </c>
      <c r="AB1391" s="48" t="e">
        <f t="shared" si="724"/>
        <v>#REF!</v>
      </c>
      <c r="AC1391" s="54" t="e">
        <f t="shared" si="725"/>
        <v>#VALUE!</v>
      </c>
      <c r="AD1391" s="55" t="str">
        <f t="shared" si="726"/>
        <v/>
      </c>
      <c r="AE1391" s="55"/>
      <c r="AF1391" s="55"/>
      <c r="AG1391" s="56" t="str">
        <f t="shared" si="727"/>
        <v/>
      </c>
      <c r="AH1391" s="57" t="str">
        <f t="shared" si="728"/>
        <v/>
      </c>
      <c r="AI1391" s="56"/>
      <c r="AJ1391" s="57" t="str">
        <f t="shared" si="729"/>
        <v/>
      </c>
      <c r="AK1391" s="56"/>
      <c r="AL1391" s="57" t="str">
        <f t="shared" si="730"/>
        <v/>
      </c>
      <c r="AM1391" s="56"/>
      <c r="AN1391" s="57" t="str">
        <f t="shared" si="731"/>
        <v/>
      </c>
      <c r="AO1391" s="56"/>
      <c r="AP1391" s="57" t="str">
        <f t="shared" si="732"/>
        <v/>
      </c>
      <c r="AQ1391" s="56"/>
      <c r="AR1391" s="57" t="str">
        <f t="shared" si="733"/>
        <v/>
      </c>
      <c r="AS1391" s="56"/>
      <c r="AT1391" s="57" t="str">
        <f t="shared" si="734"/>
        <v/>
      </c>
      <c r="AU1391" s="58"/>
      <c r="AV1391" s="59"/>
      <c r="AW1391" s="59"/>
      <c r="AX1391" s="60"/>
      <c r="AY1391" s="61" t="str">
        <f t="shared" si="742"/>
        <v/>
      </c>
      <c r="AZ1391" s="62" t="str">
        <f t="shared" si="735"/>
        <v/>
      </c>
      <c r="BA1391" s="61" t="str">
        <f t="shared" si="736"/>
        <v/>
      </c>
      <c r="BB1391" s="62" t="str">
        <f t="shared" si="737"/>
        <v/>
      </c>
    </row>
    <row r="1392" spans="1:54" s="3" customFormat="1" hidden="1" x14ac:dyDescent="0.35">
      <c r="A1392" s="73">
        <f t="shared" si="716"/>
        <v>2019</v>
      </c>
      <c r="B1392" s="73" t="str">
        <f t="shared" si="717"/>
        <v>Nov</v>
      </c>
      <c r="C1392" s="74">
        <f t="shared" si="738"/>
        <v>17</v>
      </c>
      <c r="D1392" s="75">
        <f t="shared" si="718"/>
        <v>13</v>
      </c>
      <c r="E1392" s="76">
        <f t="shared" si="739"/>
        <v>44</v>
      </c>
      <c r="F1392" s="80"/>
      <c r="G1392" s="83"/>
      <c r="H1392" s="69" t="str">
        <f t="shared" si="740"/>
        <v>Senbur6_20191117_13_00</v>
      </c>
      <c r="I1392" s="70">
        <f t="shared" si="765"/>
        <v>1</v>
      </c>
      <c r="J1392" s="77" t="str">
        <f t="shared" si="765"/>
        <v>Senecio</v>
      </c>
      <c r="K1392" s="77" t="str">
        <f t="shared" si="765"/>
        <v>burtoni</v>
      </c>
      <c r="L1392" s="78">
        <f t="shared" si="765"/>
        <v>6</v>
      </c>
      <c r="M1392" s="78">
        <f t="shared" si="765"/>
        <v>12</v>
      </c>
      <c r="N1392" s="72">
        <f t="shared" si="765"/>
        <v>0</v>
      </c>
      <c r="O1392" s="45"/>
      <c r="P1392" s="46" t="str">
        <f t="shared" si="719"/>
        <v/>
      </c>
      <c r="Q1392" s="47" t="str">
        <f t="shared" si="720"/>
        <v/>
      </c>
      <c r="R1392" s="48" t="e">
        <f t="shared" si="721"/>
        <v>#VALUE!</v>
      </c>
      <c r="S1392" s="49" t="e">
        <f t="shared" si="715"/>
        <v>#VALUE!</v>
      </c>
      <c r="T1392" s="48" t="str">
        <f t="shared" si="722"/>
        <v/>
      </c>
      <c r="U1392" s="50"/>
      <c r="V1392" s="51"/>
      <c r="W1392" s="52" t="e">
        <f t="shared" si="723"/>
        <v>#VALUE!</v>
      </c>
      <c r="X1392" s="53"/>
      <c r="Y1392" s="53"/>
      <c r="Z1392" s="53"/>
      <c r="AA1392" s="48" t="e">
        <f>INDEX([1]!VISITORS[INSECT ORDER], MATCH(X1392,[1]!VISITORS[NAME USED],0))</f>
        <v>#REF!</v>
      </c>
      <c r="AB1392" s="48" t="e">
        <f t="shared" si="724"/>
        <v>#REF!</v>
      </c>
      <c r="AC1392" s="54" t="e">
        <f t="shared" si="725"/>
        <v>#VALUE!</v>
      </c>
      <c r="AD1392" s="55" t="str">
        <f t="shared" si="726"/>
        <v/>
      </c>
      <c r="AE1392" s="55"/>
      <c r="AF1392" s="55"/>
      <c r="AG1392" s="56" t="str">
        <f t="shared" si="727"/>
        <v/>
      </c>
      <c r="AH1392" s="57" t="str">
        <f t="shared" si="728"/>
        <v/>
      </c>
      <c r="AI1392" s="56"/>
      <c r="AJ1392" s="57" t="str">
        <f t="shared" si="729"/>
        <v/>
      </c>
      <c r="AK1392" s="56"/>
      <c r="AL1392" s="57" t="str">
        <f t="shared" si="730"/>
        <v/>
      </c>
      <c r="AM1392" s="56"/>
      <c r="AN1392" s="57" t="str">
        <f t="shared" si="731"/>
        <v/>
      </c>
      <c r="AO1392" s="56"/>
      <c r="AP1392" s="57" t="str">
        <f t="shared" si="732"/>
        <v/>
      </c>
      <c r="AQ1392" s="56"/>
      <c r="AR1392" s="57" t="str">
        <f t="shared" si="733"/>
        <v/>
      </c>
      <c r="AS1392" s="56"/>
      <c r="AT1392" s="57" t="str">
        <f t="shared" si="734"/>
        <v/>
      </c>
      <c r="AU1392" s="58"/>
      <c r="AV1392" s="59"/>
      <c r="AW1392" s="59"/>
      <c r="AX1392" s="60"/>
      <c r="AY1392" s="61" t="str">
        <f t="shared" si="742"/>
        <v/>
      </c>
      <c r="AZ1392" s="62" t="str">
        <f t="shared" si="735"/>
        <v/>
      </c>
      <c r="BA1392" s="61" t="str">
        <f t="shared" si="736"/>
        <v/>
      </c>
      <c r="BB1392" s="62" t="str">
        <f t="shared" si="737"/>
        <v/>
      </c>
    </row>
    <row r="1393" spans="1:54" s="3" customFormat="1" hidden="1" x14ac:dyDescent="0.35">
      <c r="A1393" s="73">
        <f t="shared" si="716"/>
        <v>2019</v>
      </c>
      <c r="B1393" s="73" t="str">
        <f t="shared" si="717"/>
        <v>Nov</v>
      </c>
      <c r="C1393" s="74">
        <f t="shared" si="738"/>
        <v>17</v>
      </c>
      <c r="D1393" s="75">
        <f t="shared" si="718"/>
        <v>13</v>
      </c>
      <c r="E1393" s="76">
        <f t="shared" si="739"/>
        <v>45</v>
      </c>
      <c r="F1393" s="80"/>
      <c r="G1393" s="83"/>
      <c r="H1393" s="69" t="str">
        <f t="shared" si="740"/>
        <v>Senbur6_20191117_13_00</v>
      </c>
      <c r="I1393" s="70">
        <f t="shared" si="765"/>
        <v>1</v>
      </c>
      <c r="J1393" s="77" t="str">
        <f t="shared" si="765"/>
        <v>Senecio</v>
      </c>
      <c r="K1393" s="77" t="str">
        <f t="shared" si="765"/>
        <v>burtoni</v>
      </c>
      <c r="L1393" s="78">
        <f t="shared" si="765"/>
        <v>6</v>
      </c>
      <c r="M1393" s="78">
        <f t="shared" si="765"/>
        <v>12</v>
      </c>
      <c r="N1393" s="72">
        <f t="shared" si="765"/>
        <v>0</v>
      </c>
      <c r="O1393" s="45"/>
      <c r="P1393" s="46" t="str">
        <f t="shared" si="719"/>
        <v/>
      </c>
      <c r="Q1393" s="47" t="str">
        <f t="shared" si="720"/>
        <v/>
      </c>
      <c r="R1393" s="48" t="e">
        <f t="shared" si="721"/>
        <v>#VALUE!</v>
      </c>
      <c r="S1393" s="49" t="e">
        <f t="shared" si="715"/>
        <v>#VALUE!</v>
      </c>
      <c r="T1393" s="48" t="str">
        <f t="shared" si="722"/>
        <v/>
      </c>
      <c r="U1393" s="50"/>
      <c r="V1393" s="51"/>
      <c r="W1393" s="52" t="e">
        <f t="shared" si="723"/>
        <v>#VALUE!</v>
      </c>
      <c r="X1393" s="53"/>
      <c r="Y1393" s="53"/>
      <c r="Z1393" s="53"/>
      <c r="AA1393" s="48" t="e">
        <f>INDEX([1]!VISITORS[INSECT ORDER], MATCH(X1393,[1]!VISITORS[NAME USED],0))</f>
        <v>#REF!</v>
      </c>
      <c r="AB1393" s="48" t="e">
        <f t="shared" si="724"/>
        <v>#REF!</v>
      </c>
      <c r="AC1393" s="54" t="e">
        <f t="shared" si="725"/>
        <v>#VALUE!</v>
      </c>
      <c r="AD1393" s="55" t="str">
        <f t="shared" si="726"/>
        <v/>
      </c>
      <c r="AE1393" s="55"/>
      <c r="AF1393" s="55"/>
      <c r="AG1393" s="56" t="str">
        <f t="shared" si="727"/>
        <v/>
      </c>
      <c r="AH1393" s="57" t="str">
        <f t="shared" si="728"/>
        <v/>
      </c>
      <c r="AI1393" s="56"/>
      <c r="AJ1393" s="57" t="str">
        <f t="shared" si="729"/>
        <v/>
      </c>
      <c r="AK1393" s="56"/>
      <c r="AL1393" s="57" t="str">
        <f t="shared" si="730"/>
        <v/>
      </c>
      <c r="AM1393" s="56"/>
      <c r="AN1393" s="57" t="str">
        <f t="shared" si="731"/>
        <v/>
      </c>
      <c r="AO1393" s="56"/>
      <c r="AP1393" s="57" t="str">
        <f t="shared" si="732"/>
        <v/>
      </c>
      <c r="AQ1393" s="56"/>
      <c r="AR1393" s="57" t="str">
        <f t="shared" si="733"/>
        <v/>
      </c>
      <c r="AS1393" s="56"/>
      <c r="AT1393" s="57" t="str">
        <f t="shared" si="734"/>
        <v/>
      </c>
      <c r="AU1393" s="58"/>
      <c r="AV1393" s="59"/>
      <c r="AW1393" s="59"/>
      <c r="AX1393" s="60"/>
      <c r="AY1393" s="61" t="str">
        <f t="shared" si="742"/>
        <v/>
      </c>
      <c r="AZ1393" s="62" t="str">
        <f t="shared" si="735"/>
        <v/>
      </c>
      <c r="BA1393" s="61" t="str">
        <f t="shared" si="736"/>
        <v/>
      </c>
      <c r="BB1393" s="62" t="str">
        <f t="shared" si="737"/>
        <v/>
      </c>
    </row>
    <row r="1394" spans="1:54" s="3" customFormat="1" hidden="1" x14ac:dyDescent="0.35">
      <c r="A1394" s="73">
        <f t="shared" si="716"/>
        <v>2019</v>
      </c>
      <c r="B1394" s="73" t="str">
        <f t="shared" si="717"/>
        <v>Nov</v>
      </c>
      <c r="C1394" s="74">
        <f t="shared" si="738"/>
        <v>17</v>
      </c>
      <c r="D1394" s="75">
        <f t="shared" si="718"/>
        <v>13</v>
      </c>
      <c r="E1394" s="76">
        <f t="shared" si="739"/>
        <v>46</v>
      </c>
      <c r="F1394" s="80">
        <v>8</v>
      </c>
      <c r="G1394" s="83"/>
      <c r="H1394" s="69" t="str">
        <f t="shared" si="740"/>
        <v>Senbur6_20191117_13_00</v>
      </c>
      <c r="I1394" s="70">
        <f t="shared" si="765"/>
        <v>1</v>
      </c>
      <c r="J1394" s="77" t="str">
        <f t="shared" si="765"/>
        <v>Senecio</v>
      </c>
      <c r="K1394" s="77" t="str">
        <f t="shared" si="765"/>
        <v>burtoni</v>
      </c>
      <c r="L1394" s="78">
        <f t="shared" si="765"/>
        <v>6</v>
      </c>
      <c r="M1394" s="78">
        <f t="shared" si="765"/>
        <v>12</v>
      </c>
      <c r="N1394" s="72">
        <f t="shared" si="765"/>
        <v>0</v>
      </c>
      <c r="O1394" s="45"/>
      <c r="P1394" s="46">
        <f t="shared" si="719"/>
        <v>1</v>
      </c>
      <c r="Q1394" s="47" t="str">
        <f t="shared" si="720"/>
        <v>13:46:08</v>
      </c>
      <c r="R1394" s="48" t="str">
        <f t="shared" si="721"/>
        <v>46:08</v>
      </c>
      <c r="S1394" s="49">
        <f t="shared" si="715"/>
        <v>189</v>
      </c>
      <c r="T1394" s="48" t="str">
        <f t="shared" si="722"/>
        <v>13</v>
      </c>
      <c r="U1394" s="50">
        <v>49</v>
      </c>
      <c r="V1394" s="51">
        <v>17</v>
      </c>
      <c r="W1394" s="52" t="str">
        <f t="shared" si="723"/>
        <v>49:17</v>
      </c>
      <c r="X1394" s="53" t="s">
        <v>61</v>
      </c>
      <c r="Y1394" s="97" t="s">
        <v>84</v>
      </c>
      <c r="Z1394" s="97" t="s">
        <v>80</v>
      </c>
      <c r="AA1394" s="48" t="s">
        <v>60</v>
      </c>
      <c r="AB1394" s="48" t="str">
        <f t="shared" si="724"/>
        <v>NA</v>
      </c>
      <c r="AC1394" s="54">
        <f t="shared" si="725"/>
        <v>0</v>
      </c>
      <c r="AD1394" s="55">
        <v>3</v>
      </c>
      <c r="AE1394" s="55"/>
      <c r="AF1394" s="55"/>
      <c r="AG1394" s="56">
        <v>1</v>
      </c>
      <c r="AH1394" s="57">
        <v>5</v>
      </c>
      <c r="AI1394" s="56">
        <v>1</v>
      </c>
      <c r="AJ1394" s="57">
        <v>7</v>
      </c>
      <c r="AK1394" s="56">
        <v>1</v>
      </c>
      <c r="AL1394" s="57">
        <v>177</v>
      </c>
      <c r="AM1394" s="56"/>
      <c r="AN1394" s="57" t="str">
        <f t="shared" si="731"/>
        <v/>
      </c>
      <c r="AO1394" s="56"/>
      <c r="AP1394" s="57" t="str">
        <f t="shared" si="732"/>
        <v/>
      </c>
      <c r="AQ1394" s="56"/>
      <c r="AR1394" s="57" t="str">
        <f t="shared" si="733"/>
        <v/>
      </c>
      <c r="AS1394" s="56"/>
      <c r="AT1394" s="57" t="str">
        <f t="shared" si="734"/>
        <v/>
      </c>
      <c r="AU1394" s="58"/>
      <c r="AV1394" s="59"/>
      <c r="AW1394" s="59"/>
      <c r="AX1394" s="60"/>
      <c r="AY1394" s="61">
        <v>1</v>
      </c>
      <c r="AZ1394" s="62">
        <f t="shared" si="735"/>
        <v>3</v>
      </c>
      <c r="BA1394" s="61">
        <f t="shared" si="736"/>
        <v>0</v>
      </c>
      <c r="BB1394" s="62" t="str">
        <f t="shared" si="737"/>
        <v/>
      </c>
    </row>
    <row r="1395" spans="1:54" s="3" customFormat="1" hidden="1" x14ac:dyDescent="0.35">
      <c r="A1395" s="73">
        <f t="shared" si="716"/>
        <v>2019</v>
      </c>
      <c r="B1395" s="73" t="str">
        <f t="shared" si="717"/>
        <v>Nov</v>
      </c>
      <c r="C1395" s="74">
        <f t="shared" si="738"/>
        <v>17</v>
      </c>
      <c r="D1395" s="75">
        <f t="shared" si="718"/>
        <v>13</v>
      </c>
      <c r="E1395" s="76">
        <f t="shared" si="739"/>
        <v>47</v>
      </c>
      <c r="F1395" s="80"/>
      <c r="G1395" s="83"/>
      <c r="H1395" s="69" t="str">
        <f t="shared" si="740"/>
        <v>Senbur6_20191117_13_00</v>
      </c>
      <c r="I1395" s="70">
        <f t="shared" si="765"/>
        <v>1</v>
      </c>
      <c r="J1395" s="77" t="str">
        <f t="shared" si="765"/>
        <v>Senecio</v>
      </c>
      <c r="K1395" s="77" t="str">
        <f t="shared" si="765"/>
        <v>burtoni</v>
      </c>
      <c r="L1395" s="78">
        <f t="shared" si="765"/>
        <v>6</v>
      </c>
      <c r="M1395" s="78">
        <f t="shared" si="765"/>
        <v>12</v>
      </c>
      <c r="N1395" s="72">
        <f t="shared" si="765"/>
        <v>0</v>
      </c>
      <c r="O1395" s="45"/>
      <c r="P1395" s="46" t="str">
        <f t="shared" si="719"/>
        <v/>
      </c>
      <c r="Q1395" s="47" t="str">
        <f t="shared" si="720"/>
        <v/>
      </c>
      <c r="R1395" s="48" t="e">
        <f t="shared" si="721"/>
        <v>#VALUE!</v>
      </c>
      <c r="S1395" s="49" t="e">
        <f t="shared" si="715"/>
        <v>#VALUE!</v>
      </c>
      <c r="T1395" s="48" t="str">
        <f t="shared" si="722"/>
        <v/>
      </c>
      <c r="U1395" s="50"/>
      <c r="V1395" s="51"/>
      <c r="W1395" s="52" t="e">
        <f t="shared" si="723"/>
        <v>#VALUE!</v>
      </c>
      <c r="X1395" s="53"/>
      <c r="Y1395" s="53"/>
      <c r="Z1395" s="53"/>
      <c r="AA1395" s="48" t="e">
        <f>INDEX([1]!VISITORS[INSECT ORDER], MATCH(X1395,[1]!VISITORS[NAME USED],0))</f>
        <v>#REF!</v>
      </c>
      <c r="AB1395" s="48" t="e">
        <f t="shared" si="724"/>
        <v>#REF!</v>
      </c>
      <c r="AC1395" s="54" t="e">
        <f t="shared" si="725"/>
        <v>#VALUE!</v>
      </c>
      <c r="AD1395" s="55" t="str">
        <f t="shared" si="726"/>
        <v/>
      </c>
      <c r="AE1395" s="55"/>
      <c r="AF1395" s="55"/>
      <c r="AG1395" s="56" t="str">
        <f t="shared" si="727"/>
        <v/>
      </c>
      <c r="AH1395" s="57" t="str">
        <f t="shared" si="728"/>
        <v/>
      </c>
      <c r="AI1395" s="56"/>
      <c r="AJ1395" s="57" t="str">
        <f t="shared" si="729"/>
        <v/>
      </c>
      <c r="AK1395" s="56"/>
      <c r="AL1395" s="57" t="str">
        <f t="shared" si="730"/>
        <v/>
      </c>
      <c r="AM1395" s="56"/>
      <c r="AN1395" s="57" t="str">
        <f t="shared" si="731"/>
        <v/>
      </c>
      <c r="AO1395" s="56"/>
      <c r="AP1395" s="57" t="str">
        <f t="shared" si="732"/>
        <v/>
      </c>
      <c r="AQ1395" s="56"/>
      <c r="AR1395" s="57" t="str">
        <f t="shared" si="733"/>
        <v/>
      </c>
      <c r="AS1395" s="56"/>
      <c r="AT1395" s="57" t="str">
        <f t="shared" si="734"/>
        <v/>
      </c>
      <c r="AU1395" s="58"/>
      <c r="AV1395" s="59"/>
      <c r="AW1395" s="59"/>
      <c r="AX1395" s="60"/>
      <c r="AY1395" s="61" t="str">
        <f t="shared" si="742"/>
        <v/>
      </c>
      <c r="AZ1395" s="62" t="str">
        <f t="shared" si="735"/>
        <v/>
      </c>
      <c r="BA1395" s="61" t="str">
        <f t="shared" si="736"/>
        <v/>
      </c>
      <c r="BB1395" s="62" t="str">
        <f t="shared" si="737"/>
        <v/>
      </c>
    </row>
    <row r="1396" spans="1:54" s="3" customFormat="1" hidden="1" x14ac:dyDescent="0.35">
      <c r="A1396" s="73">
        <f t="shared" si="716"/>
        <v>2019</v>
      </c>
      <c r="B1396" s="73" t="str">
        <f t="shared" si="717"/>
        <v>Nov</v>
      </c>
      <c r="C1396" s="74">
        <f t="shared" si="738"/>
        <v>17</v>
      </c>
      <c r="D1396" s="75">
        <f t="shared" si="718"/>
        <v>13</v>
      </c>
      <c r="E1396" s="76">
        <f t="shared" si="739"/>
        <v>48</v>
      </c>
      <c r="F1396" s="80">
        <v>23</v>
      </c>
      <c r="G1396" s="83"/>
      <c r="H1396" s="69" t="str">
        <f t="shared" si="740"/>
        <v>Senbur6_20191117_13_00</v>
      </c>
      <c r="I1396" s="70">
        <f t="shared" si="765"/>
        <v>1</v>
      </c>
      <c r="J1396" s="77" t="str">
        <f t="shared" si="765"/>
        <v>Senecio</v>
      </c>
      <c r="K1396" s="77" t="str">
        <f t="shared" si="765"/>
        <v>burtoni</v>
      </c>
      <c r="L1396" s="78">
        <f t="shared" si="765"/>
        <v>6</v>
      </c>
      <c r="M1396" s="78">
        <f t="shared" si="765"/>
        <v>12</v>
      </c>
      <c r="N1396" s="72">
        <f t="shared" si="765"/>
        <v>0</v>
      </c>
      <c r="O1396" s="45"/>
      <c r="P1396" s="46">
        <f t="shared" si="719"/>
        <v>1</v>
      </c>
      <c r="Q1396" s="47" t="str">
        <f t="shared" si="720"/>
        <v>13:48:23</v>
      </c>
      <c r="R1396" s="48" t="str">
        <f t="shared" si="721"/>
        <v>48:23</v>
      </c>
      <c r="S1396" s="49">
        <f t="shared" si="715"/>
        <v>71</v>
      </c>
      <c r="T1396" s="48" t="str">
        <f t="shared" si="722"/>
        <v>13</v>
      </c>
      <c r="U1396" s="50">
        <v>49</v>
      </c>
      <c r="V1396" s="51">
        <v>34</v>
      </c>
      <c r="W1396" s="52" t="str">
        <f t="shared" si="723"/>
        <v>49:34</v>
      </c>
      <c r="X1396" s="53" t="s">
        <v>61</v>
      </c>
      <c r="Y1396" s="97" t="s">
        <v>84</v>
      </c>
      <c r="Z1396" s="97" t="s">
        <v>80</v>
      </c>
      <c r="AA1396" s="48" t="s">
        <v>60</v>
      </c>
      <c r="AB1396" s="48" t="str">
        <f t="shared" si="724"/>
        <v>NA</v>
      </c>
      <c r="AC1396" s="54">
        <f t="shared" si="725"/>
        <v>0</v>
      </c>
      <c r="AD1396" s="55">
        <v>3</v>
      </c>
      <c r="AE1396" s="55"/>
      <c r="AF1396" s="55"/>
      <c r="AG1396" s="56">
        <v>1</v>
      </c>
      <c r="AH1396" s="57">
        <v>1</v>
      </c>
      <c r="AI1396" s="56">
        <v>1</v>
      </c>
      <c r="AJ1396" s="57">
        <v>1</v>
      </c>
      <c r="AK1396" s="56">
        <v>1</v>
      </c>
      <c r="AL1396" s="57">
        <v>69</v>
      </c>
      <c r="AM1396" s="56"/>
      <c r="AN1396" s="57" t="str">
        <f t="shared" si="731"/>
        <v/>
      </c>
      <c r="AO1396" s="56"/>
      <c r="AP1396" s="57" t="str">
        <f t="shared" si="732"/>
        <v/>
      </c>
      <c r="AQ1396" s="56"/>
      <c r="AR1396" s="57" t="str">
        <f t="shared" si="733"/>
        <v/>
      </c>
      <c r="AS1396" s="56"/>
      <c r="AT1396" s="57" t="str">
        <f t="shared" si="734"/>
        <v/>
      </c>
      <c r="AU1396" s="58"/>
      <c r="AV1396" s="59"/>
      <c r="AW1396" s="59"/>
      <c r="AX1396" s="60"/>
      <c r="AY1396" s="61">
        <v>1</v>
      </c>
      <c r="AZ1396" s="62">
        <f t="shared" si="735"/>
        <v>3</v>
      </c>
      <c r="BA1396" s="61">
        <f t="shared" si="736"/>
        <v>0</v>
      </c>
      <c r="BB1396" s="62" t="str">
        <f t="shared" si="737"/>
        <v/>
      </c>
    </row>
    <row r="1397" spans="1:54" s="3" customFormat="1" hidden="1" x14ac:dyDescent="0.35">
      <c r="A1397" s="73">
        <f t="shared" si="716"/>
        <v>2019</v>
      </c>
      <c r="B1397" s="73" t="str">
        <f t="shared" si="717"/>
        <v>Nov</v>
      </c>
      <c r="C1397" s="74">
        <f t="shared" si="738"/>
        <v>17</v>
      </c>
      <c r="D1397" s="75">
        <f t="shared" si="718"/>
        <v>13</v>
      </c>
      <c r="E1397" s="76">
        <f t="shared" si="739"/>
        <v>49</v>
      </c>
      <c r="F1397" s="80">
        <v>22</v>
      </c>
      <c r="G1397" s="83"/>
      <c r="H1397" s="69" t="str">
        <f t="shared" si="740"/>
        <v>Senbur6_20191117_13_00</v>
      </c>
      <c r="I1397" s="70">
        <f t="shared" si="765"/>
        <v>1</v>
      </c>
      <c r="J1397" s="77" t="str">
        <f t="shared" si="765"/>
        <v>Senecio</v>
      </c>
      <c r="K1397" s="77" t="str">
        <f t="shared" si="765"/>
        <v>burtoni</v>
      </c>
      <c r="L1397" s="78">
        <f t="shared" si="765"/>
        <v>6</v>
      </c>
      <c r="M1397" s="78">
        <f t="shared" si="765"/>
        <v>12</v>
      </c>
      <c r="N1397" s="72">
        <f t="shared" si="765"/>
        <v>0</v>
      </c>
      <c r="O1397" s="45"/>
      <c r="P1397" s="46">
        <f t="shared" si="719"/>
        <v>1</v>
      </c>
      <c r="Q1397" s="47" t="str">
        <f t="shared" si="720"/>
        <v>13:49:22</v>
      </c>
      <c r="R1397" s="48" t="str">
        <f t="shared" si="721"/>
        <v>49:22</v>
      </c>
      <c r="S1397" s="49">
        <f t="shared" si="715"/>
        <v>52</v>
      </c>
      <c r="T1397" s="48" t="str">
        <f t="shared" si="722"/>
        <v>13</v>
      </c>
      <c r="U1397" s="50">
        <v>50</v>
      </c>
      <c r="V1397" s="51">
        <v>14</v>
      </c>
      <c r="W1397" s="52" t="str">
        <f t="shared" si="723"/>
        <v>50:14</v>
      </c>
      <c r="X1397" s="53" t="s">
        <v>61</v>
      </c>
      <c r="Y1397" s="97" t="s">
        <v>84</v>
      </c>
      <c r="Z1397" s="97" t="s">
        <v>80</v>
      </c>
      <c r="AA1397" s="48" t="s">
        <v>60</v>
      </c>
      <c r="AB1397" s="48" t="str">
        <f t="shared" si="724"/>
        <v>NA</v>
      </c>
      <c r="AC1397" s="54">
        <f t="shared" si="725"/>
        <v>0</v>
      </c>
      <c r="AD1397" s="55">
        <v>2</v>
      </c>
      <c r="AE1397" s="55"/>
      <c r="AF1397" s="55"/>
      <c r="AG1397" s="56">
        <v>1</v>
      </c>
      <c r="AH1397" s="57">
        <v>5</v>
      </c>
      <c r="AI1397" s="56">
        <v>1</v>
      </c>
      <c r="AJ1397" s="57">
        <v>1</v>
      </c>
      <c r="AK1397" s="56">
        <v>1</v>
      </c>
      <c r="AL1397" s="57">
        <v>46</v>
      </c>
      <c r="AM1397" s="56"/>
      <c r="AN1397" s="57" t="str">
        <f t="shared" si="731"/>
        <v/>
      </c>
      <c r="AO1397" s="56"/>
      <c r="AP1397" s="57" t="str">
        <f t="shared" si="732"/>
        <v/>
      </c>
      <c r="AQ1397" s="56"/>
      <c r="AR1397" s="57" t="str">
        <f t="shared" si="733"/>
        <v/>
      </c>
      <c r="AS1397" s="56"/>
      <c r="AT1397" s="57" t="str">
        <f t="shared" si="734"/>
        <v/>
      </c>
      <c r="AU1397" s="58"/>
      <c r="AV1397" s="59"/>
      <c r="AW1397" s="59"/>
      <c r="AX1397" s="60"/>
      <c r="AY1397" s="61">
        <v>1</v>
      </c>
      <c r="AZ1397" s="62">
        <f t="shared" si="735"/>
        <v>2</v>
      </c>
      <c r="BA1397" s="61">
        <f t="shared" si="736"/>
        <v>0</v>
      </c>
      <c r="BB1397" s="62" t="str">
        <f t="shared" si="737"/>
        <v/>
      </c>
    </row>
    <row r="1398" spans="1:54" s="3" customFormat="1" hidden="1" x14ac:dyDescent="0.35">
      <c r="A1398" s="73">
        <f t="shared" si="716"/>
        <v>2019</v>
      </c>
      <c r="B1398" s="73" t="str">
        <f t="shared" si="717"/>
        <v>Nov</v>
      </c>
      <c r="C1398" s="74">
        <f t="shared" si="738"/>
        <v>17</v>
      </c>
      <c r="D1398" s="75">
        <f t="shared" si="718"/>
        <v>13</v>
      </c>
      <c r="E1398" s="76">
        <f t="shared" si="739"/>
        <v>50</v>
      </c>
      <c r="F1398" s="80">
        <v>0</v>
      </c>
      <c r="G1398" s="83"/>
      <c r="H1398" s="69" t="str">
        <f t="shared" si="740"/>
        <v>Senbur6_20191117_13_00</v>
      </c>
      <c r="I1398" s="70">
        <f t="shared" si="765"/>
        <v>1</v>
      </c>
      <c r="J1398" s="77" t="str">
        <f t="shared" si="765"/>
        <v>Senecio</v>
      </c>
      <c r="K1398" s="77" t="str">
        <f t="shared" si="765"/>
        <v>burtoni</v>
      </c>
      <c r="L1398" s="78">
        <f t="shared" si="765"/>
        <v>6</v>
      </c>
      <c r="M1398" s="78">
        <f t="shared" si="765"/>
        <v>12</v>
      </c>
      <c r="N1398" s="72">
        <f t="shared" si="765"/>
        <v>0</v>
      </c>
      <c r="O1398" s="45"/>
      <c r="P1398" s="46">
        <f t="shared" si="719"/>
        <v>1</v>
      </c>
      <c r="Q1398" s="47" t="str">
        <f t="shared" si="720"/>
        <v>13:50:00</v>
      </c>
      <c r="R1398" s="48" t="str">
        <f t="shared" si="721"/>
        <v>50:00</v>
      </c>
      <c r="S1398" s="49">
        <f t="shared" si="715"/>
        <v>8</v>
      </c>
      <c r="T1398" s="48" t="str">
        <f t="shared" si="722"/>
        <v>13</v>
      </c>
      <c r="U1398" s="50">
        <v>50</v>
      </c>
      <c r="V1398" s="51">
        <v>8</v>
      </c>
      <c r="W1398" s="52" t="str">
        <f t="shared" si="723"/>
        <v>50:08</v>
      </c>
      <c r="X1398" s="53" t="s">
        <v>61</v>
      </c>
      <c r="Y1398" s="97" t="s">
        <v>84</v>
      </c>
      <c r="Z1398" s="97" t="s">
        <v>80</v>
      </c>
      <c r="AA1398" s="48" t="s">
        <v>60</v>
      </c>
      <c r="AB1398" s="48" t="str">
        <f t="shared" si="724"/>
        <v>NA</v>
      </c>
      <c r="AC1398" s="54">
        <f t="shared" si="725"/>
        <v>0</v>
      </c>
      <c r="AD1398" s="55">
        <v>2</v>
      </c>
      <c r="AE1398" s="55"/>
      <c r="AF1398" s="55"/>
      <c r="AG1398" s="56" t="str">
        <f t="shared" si="727"/>
        <v/>
      </c>
      <c r="AH1398" s="57" t="str">
        <f t="shared" si="728"/>
        <v/>
      </c>
      <c r="AI1398" s="56">
        <v>1</v>
      </c>
      <c r="AJ1398" s="57">
        <v>1</v>
      </c>
      <c r="AK1398" s="56">
        <v>1</v>
      </c>
      <c r="AL1398" s="57">
        <v>7</v>
      </c>
      <c r="AM1398" s="56"/>
      <c r="AN1398" s="57" t="str">
        <f t="shared" si="731"/>
        <v/>
      </c>
      <c r="AO1398" s="56"/>
      <c r="AP1398" s="57" t="str">
        <f t="shared" si="732"/>
        <v/>
      </c>
      <c r="AQ1398" s="56"/>
      <c r="AR1398" s="57" t="str">
        <f t="shared" si="733"/>
        <v/>
      </c>
      <c r="AS1398" s="56"/>
      <c r="AT1398" s="57" t="str">
        <f t="shared" si="734"/>
        <v/>
      </c>
      <c r="AU1398" s="58"/>
      <c r="AV1398" s="59"/>
      <c r="AW1398" s="59"/>
      <c r="AX1398" s="60"/>
      <c r="AY1398" s="61">
        <v>1</v>
      </c>
      <c r="AZ1398" s="62">
        <f t="shared" si="735"/>
        <v>2</v>
      </c>
      <c r="BA1398" s="61">
        <f t="shared" si="736"/>
        <v>0</v>
      </c>
      <c r="BB1398" s="62" t="str">
        <f t="shared" si="737"/>
        <v/>
      </c>
    </row>
    <row r="1399" spans="1:54" s="3" customFormat="1" hidden="1" x14ac:dyDescent="0.35">
      <c r="A1399" s="73">
        <f t="shared" si="716"/>
        <v>2019</v>
      </c>
      <c r="B1399" s="73" t="str">
        <f t="shared" si="717"/>
        <v>Nov</v>
      </c>
      <c r="C1399" s="74">
        <f t="shared" si="738"/>
        <v>17</v>
      </c>
      <c r="D1399" s="75">
        <f t="shared" si="718"/>
        <v>13</v>
      </c>
      <c r="E1399" s="76">
        <f t="shared" si="739"/>
        <v>51</v>
      </c>
      <c r="F1399" s="80"/>
      <c r="G1399" s="83"/>
      <c r="H1399" s="69" t="str">
        <f t="shared" si="740"/>
        <v>Senbur6_20191117_13_00</v>
      </c>
      <c r="I1399" s="70">
        <f t="shared" si="765"/>
        <v>1</v>
      </c>
      <c r="J1399" s="77" t="str">
        <f t="shared" si="765"/>
        <v>Senecio</v>
      </c>
      <c r="K1399" s="77" t="str">
        <f t="shared" si="765"/>
        <v>burtoni</v>
      </c>
      <c r="L1399" s="78">
        <f t="shared" si="765"/>
        <v>6</v>
      </c>
      <c r="M1399" s="78">
        <f t="shared" si="765"/>
        <v>12</v>
      </c>
      <c r="N1399" s="72">
        <f t="shared" si="765"/>
        <v>0</v>
      </c>
      <c r="O1399" s="45"/>
      <c r="P1399" s="46" t="str">
        <f t="shared" si="719"/>
        <v/>
      </c>
      <c r="Q1399" s="47" t="str">
        <f t="shared" si="720"/>
        <v/>
      </c>
      <c r="R1399" s="48" t="e">
        <f t="shared" si="721"/>
        <v>#VALUE!</v>
      </c>
      <c r="S1399" s="49" t="e">
        <f t="shared" si="715"/>
        <v>#VALUE!</v>
      </c>
      <c r="T1399" s="48" t="str">
        <f t="shared" si="722"/>
        <v/>
      </c>
      <c r="U1399" s="50"/>
      <c r="V1399" s="51"/>
      <c r="W1399" s="52" t="e">
        <f t="shared" si="723"/>
        <v>#VALUE!</v>
      </c>
      <c r="X1399" s="53"/>
      <c r="Y1399" s="53"/>
      <c r="Z1399" s="53"/>
      <c r="AA1399" s="48" t="e">
        <f>INDEX([1]!VISITORS[INSECT ORDER], MATCH(X1399,[1]!VISITORS[NAME USED],0))</f>
        <v>#REF!</v>
      </c>
      <c r="AB1399" s="48" t="e">
        <f t="shared" si="724"/>
        <v>#REF!</v>
      </c>
      <c r="AC1399" s="54" t="e">
        <f t="shared" si="725"/>
        <v>#VALUE!</v>
      </c>
      <c r="AD1399" s="55" t="str">
        <f t="shared" si="726"/>
        <v/>
      </c>
      <c r="AE1399" s="55"/>
      <c r="AF1399" s="55"/>
      <c r="AG1399" s="56" t="str">
        <f t="shared" si="727"/>
        <v/>
      </c>
      <c r="AH1399" s="57" t="str">
        <f t="shared" si="728"/>
        <v/>
      </c>
      <c r="AI1399" s="56"/>
      <c r="AJ1399" s="57" t="str">
        <f t="shared" si="729"/>
        <v/>
      </c>
      <c r="AK1399" s="56"/>
      <c r="AL1399" s="57" t="str">
        <f t="shared" si="730"/>
        <v/>
      </c>
      <c r="AM1399" s="56"/>
      <c r="AN1399" s="57" t="str">
        <f t="shared" si="731"/>
        <v/>
      </c>
      <c r="AO1399" s="56"/>
      <c r="AP1399" s="57" t="str">
        <f t="shared" si="732"/>
        <v/>
      </c>
      <c r="AQ1399" s="56"/>
      <c r="AR1399" s="57" t="str">
        <f t="shared" si="733"/>
        <v/>
      </c>
      <c r="AS1399" s="56"/>
      <c r="AT1399" s="57" t="str">
        <f t="shared" si="734"/>
        <v/>
      </c>
      <c r="AU1399" s="58"/>
      <c r="AV1399" s="59"/>
      <c r="AW1399" s="59"/>
      <c r="AX1399" s="60"/>
      <c r="AY1399" s="61" t="str">
        <f t="shared" si="742"/>
        <v/>
      </c>
      <c r="AZ1399" s="62" t="str">
        <f t="shared" si="735"/>
        <v/>
      </c>
      <c r="BA1399" s="61" t="str">
        <f t="shared" si="736"/>
        <v/>
      </c>
      <c r="BB1399" s="62" t="str">
        <f t="shared" si="737"/>
        <v/>
      </c>
    </row>
    <row r="1400" spans="1:54" s="3" customFormat="1" hidden="1" x14ac:dyDescent="0.35">
      <c r="A1400" s="73">
        <f t="shared" si="716"/>
        <v>2019</v>
      </c>
      <c r="B1400" s="73" t="str">
        <f t="shared" si="717"/>
        <v>Nov</v>
      </c>
      <c r="C1400" s="74">
        <f t="shared" si="738"/>
        <v>17</v>
      </c>
      <c r="D1400" s="75">
        <f t="shared" si="718"/>
        <v>13</v>
      </c>
      <c r="E1400" s="76">
        <f t="shared" si="739"/>
        <v>52</v>
      </c>
      <c r="F1400" s="80"/>
      <c r="G1400" s="83"/>
      <c r="H1400" s="69" t="str">
        <f t="shared" si="740"/>
        <v>Senbur6_20191117_13_00</v>
      </c>
      <c r="I1400" s="70">
        <f t="shared" si="765"/>
        <v>1</v>
      </c>
      <c r="J1400" s="77" t="str">
        <f t="shared" si="765"/>
        <v>Senecio</v>
      </c>
      <c r="K1400" s="77" t="str">
        <f t="shared" si="765"/>
        <v>burtoni</v>
      </c>
      <c r="L1400" s="78">
        <f t="shared" si="765"/>
        <v>6</v>
      </c>
      <c r="M1400" s="78">
        <f t="shared" si="765"/>
        <v>12</v>
      </c>
      <c r="N1400" s="72">
        <f t="shared" si="765"/>
        <v>0</v>
      </c>
      <c r="O1400" s="45"/>
      <c r="P1400" s="46" t="str">
        <f t="shared" si="719"/>
        <v/>
      </c>
      <c r="Q1400" s="47" t="str">
        <f t="shared" si="720"/>
        <v/>
      </c>
      <c r="R1400" s="48" t="e">
        <f t="shared" si="721"/>
        <v>#VALUE!</v>
      </c>
      <c r="S1400" s="49" t="e">
        <f t="shared" si="715"/>
        <v>#VALUE!</v>
      </c>
      <c r="T1400" s="48" t="str">
        <f t="shared" si="722"/>
        <v/>
      </c>
      <c r="U1400" s="50"/>
      <c r="V1400" s="51"/>
      <c r="W1400" s="52" t="e">
        <f t="shared" si="723"/>
        <v>#VALUE!</v>
      </c>
      <c r="X1400" s="53"/>
      <c r="Y1400" s="53"/>
      <c r="Z1400" s="53"/>
      <c r="AA1400" s="48" t="e">
        <f>INDEX([1]!VISITORS[INSECT ORDER], MATCH(X1400,[1]!VISITORS[NAME USED],0))</f>
        <v>#REF!</v>
      </c>
      <c r="AB1400" s="48" t="e">
        <f t="shared" si="724"/>
        <v>#REF!</v>
      </c>
      <c r="AC1400" s="54" t="e">
        <f t="shared" si="725"/>
        <v>#VALUE!</v>
      </c>
      <c r="AD1400" s="55" t="str">
        <f t="shared" si="726"/>
        <v/>
      </c>
      <c r="AE1400" s="55"/>
      <c r="AF1400" s="55"/>
      <c r="AG1400" s="56" t="str">
        <f t="shared" si="727"/>
        <v/>
      </c>
      <c r="AH1400" s="57" t="str">
        <f t="shared" si="728"/>
        <v/>
      </c>
      <c r="AI1400" s="56"/>
      <c r="AJ1400" s="57" t="str">
        <f t="shared" si="729"/>
        <v/>
      </c>
      <c r="AK1400" s="56"/>
      <c r="AL1400" s="57" t="str">
        <f t="shared" si="730"/>
        <v/>
      </c>
      <c r="AM1400" s="56"/>
      <c r="AN1400" s="57" t="str">
        <f t="shared" si="731"/>
        <v/>
      </c>
      <c r="AO1400" s="56"/>
      <c r="AP1400" s="57" t="str">
        <f t="shared" si="732"/>
        <v/>
      </c>
      <c r="AQ1400" s="56"/>
      <c r="AR1400" s="57" t="str">
        <f t="shared" si="733"/>
        <v/>
      </c>
      <c r="AS1400" s="56"/>
      <c r="AT1400" s="57" t="str">
        <f t="shared" si="734"/>
        <v/>
      </c>
      <c r="AU1400" s="58"/>
      <c r="AV1400" s="59"/>
      <c r="AW1400" s="59"/>
      <c r="AX1400" s="60"/>
      <c r="AY1400" s="61" t="str">
        <f t="shared" si="742"/>
        <v/>
      </c>
      <c r="AZ1400" s="62" t="str">
        <f t="shared" si="735"/>
        <v/>
      </c>
      <c r="BA1400" s="61" t="str">
        <f t="shared" si="736"/>
        <v/>
      </c>
      <c r="BB1400" s="62" t="str">
        <f t="shared" si="737"/>
        <v/>
      </c>
    </row>
    <row r="1401" spans="1:54" s="3" customFormat="1" hidden="1" x14ac:dyDescent="0.35">
      <c r="A1401" s="73">
        <f t="shared" si="716"/>
        <v>2019</v>
      </c>
      <c r="B1401" s="73" t="str">
        <f t="shared" si="717"/>
        <v>Nov</v>
      </c>
      <c r="C1401" s="74">
        <f t="shared" si="738"/>
        <v>17</v>
      </c>
      <c r="D1401" s="75">
        <f t="shared" si="718"/>
        <v>13</v>
      </c>
      <c r="E1401" s="76">
        <f t="shared" si="739"/>
        <v>53</v>
      </c>
      <c r="F1401" s="80">
        <v>37</v>
      </c>
      <c r="G1401" s="83"/>
      <c r="H1401" s="69" t="str">
        <f t="shared" si="740"/>
        <v>Senbur6_20191117_13_00</v>
      </c>
      <c r="I1401" s="70">
        <f t="shared" ref="I1401:N1416" si="766">I1400</f>
        <v>1</v>
      </c>
      <c r="J1401" s="77" t="str">
        <f t="shared" si="766"/>
        <v>Senecio</v>
      </c>
      <c r="K1401" s="77" t="str">
        <f t="shared" si="766"/>
        <v>burtoni</v>
      </c>
      <c r="L1401" s="78">
        <f t="shared" si="766"/>
        <v>6</v>
      </c>
      <c r="M1401" s="78">
        <f t="shared" si="766"/>
        <v>12</v>
      </c>
      <c r="N1401" s="72">
        <f t="shared" si="766"/>
        <v>0</v>
      </c>
      <c r="O1401" s="45"/>
      <c r="P1401" s="46">
        <f t="shared" si="719"/>
        <v>1</v>
      </c>
      <c r="Q1401" s="47" t="str">
        <f t="shared" si="720"/>
        <v>13:53:37</v>
      </c>
      <c r="R1401" s="48" t="str">
        <f t="shared" si="721"/>
        <v>53:37</v>
      </c>
      <c r="S1401" s="49">
        <f t="shared" si="715"/>
        <v>28</v>
      </c>
      <c r="T1401" s="48" t="str">
        <f t="shared" si="722"/>
        <v>13</v>
      </c>
      <c r="U1401" s="50">
        <v>54</v>
      </c>
      <c r="V1401" s="51">
        <v>5</v>
      </c>
      <c r="W1401" s="52" t="str">
        <f t="shared" si="723"/>
        <v>54:05</v>
      </c>
      <c r="X1401" s="53" t="s">
        <v>61</v>
      </c>
      <c r="Y1401" s="97" t="s">
        <v>78</v>
      </c>
      <c r="Z1401" s="97"/>
      <c r="AA1401" s="48" t="s">
        <v>60</v>
      </c>
      <c r="AB1401" s="48" t="str">
        <f t="shared" si="724"/>
        <v>NA</v>
      </c>
      <c r="AC1401" s="54">
        <f t="shared" si="725"/>
        <v>0</v>
      </c>
      <c r="AD1401" s="55">
        <f t="shared" si="726"/>
        <v>1</v>
      </c>
      <c r="AE1401" s="55"/>
      <c r="AF1401" s="55"/>
      <c r="AG1401" s="56" t="str">
        <f t="shared" si="727"/>
        <v/>
      </c>
      <c r="AH1401" s="57" t="str">
        <f t="shared" si="728"/>
        <v/>
      </c>
      <c r="AI1401" s="56"/>
      <c r="AJ1401" s="57" t="str">
        <f t="shared" si="729"/>
        <v/>
      </c>
      <c r="AK1401" s="56">
        <v>1</v>
      </c>
      <c r="AL1401" s="57">
        <f t="shared" si="730"/>
        <v>28</v>
      </c>
      <c r="AM1401" s="56"/>
      <c r="AN1401" s="57" t="str">
        <f t="shared" si="731"/>
        <v/>
      </c>
      <c r="AO1401" s="56"/>
      <c r="AP1401" s="57" t="str">
        <f t="shared" si="732"/>
        <v/>
      </c>
      <c r="AQ1401" s="56"/>
      <c r="AR1401" s="57" t="str">
        <f t="shared" si="733"/>
        <v/>
      </c>
      <c r="AS1401" s="56"/>
      <c r="AT1401" s="57" t="str">
        <f t="shared" si="734"/>
        <v/>
      </c>
      <c r="AU1401" s="58"/>
      <c r="AV1401" s="59"/>
      <c r="AW1401" s="59"/>
      <c r="AX1401" s="60"/>
      <c r="AY1401" s="61">
        <v>1</v>
      </c>
      <c r="AZ1401" s="62">
        <f t="shared" si="735"/>
        <v>1</v>
      </c>
      <c r="BA1401" s="61">
        <f t="shared" si="736"/>
        <v>0</v>
      </c>
      <c r="BB1401" s="62" t="str">
        <f t="shared" si="737"/>
        <v/>
      </c>
    </row>
    <row r="1402" spans="1:54" s="3" customFormat="1" hidden="1" x14ac:dyDescent="0.35">
      <c r="A1402" s="73">
        <f t="shared" si="716"/>
        <v>2019</v>
      </c>
      <c r="B1402" s="73" t="str">
        <f t="shared" si="717"/>
        <v>Nov</v>
      </c>
      <c r="C1402" s="74">
        <f t="shared" si="738"/>
        <v>17</v>
      </c>
      <c r="D1402" s="75">
        <f t="shared" si="718"/>
        <v>13</v>
      </c>
      <c r="E1402" s="76">
        <v>53</v>
      </c>
      <c r="F1402" s="80">
        <v>50</v>
      </c>
      <c r="G1402" s="83"/>
      <c r="H1402" s="69" t="str">
        <f t="shared" si="740"/>
        <v>Senbur6_20191117_13_00</v>
      </c>
      <c r="I1402" s="70">
        <f t="shared" si="766"/>
        <v>1</v>
      </c>
      <c r="J1402" s="77" t="str">
        <f t="shared" si="766"/>
        <v>Senecio</v>
      </c>
      <c r="K1402" s="77" t="str">
        <f t="shared" si="766"/>
        <v>burtoni</v>
      </c>
      <c r="L1402" s="78">
        <f t="shared" si="766"/>
        <v>6</v>
      </c>
      <c r="M1402" s="78">
        <f t="shared" si="766"/>
        <v>12</v>
      </c>
      <c r="N1402" s="72">
        <f t="shared" si="766"/>
        <v>0</v>
      </c>
      <c r="O1402" s="45"/>
      <c r="P1402" s="46">
        <f t="shared" si="719"/>
        <v>1</v>
      </c>
      <c r="Q1402" s="47" t="str">
        <f t="shared" si="720"/>
        <v>13:53:50</v>
      </c>
      <c r="R1402" s="48" t="str">
        <f t="shared" si="721"/>
        <v>53:50</v>
      </c>
      <c r="S1402" s="49">
        <f t="shared" si="715"/>
        <v>37</v>
      </c>
      <c r="T1402" s="48" t="str">
        <f t="shared" si="722"/>
        <v>13</v>
      </c>
      <c r="U1402" s="50">
        <v>54</v>
      </c>
      <c r="V1402" s="51">
        <v>27</v>
      </c>
      <c r="W1402" s="52" t="str">
        <f t="shared" si="723"/>
        <v>54:27</v>
      </c>
      <c r="X1402" s="53" t="s">
        <v>61</v>
      </c>
      <c r="Y1402" s="97" t="s">
        <v>96</v>
      </c>
      <c r="Z1402" s="97" t="s">
        <v>80</v>
      </c>
      <c r="AA1402" s="48" t="s">
        <v>60</v>
      </c>
      <c r="AB1402" s="48" t="str">
        <f t="shared" si="724"/>
        <v>NA</v>
      </c>
      <c r="AC1402" s="54">
        <f t="shared" si="725"/>
        <v>0</v>
      </c>
      <c r="AD1402" s="55">
        <f t="shared" si="726"/>
        <v>1</v>
      </c>
      <c r="AE1402" s="55"/>
      <c r="AF1402" s="55"/>
      <c r="AG1402" s="56">
        <v>1</v>
      </c>
      <c r="AH1402" s="57">
        <v>22</v>
      </c>
      <c r="AI1402" s="56">
        <v>1</v>
      </c>
      <c r="AJ1402" s="57">
        <v>1</v>
      </c>
      <c r="AK1402" s="56">
        <v>1</v>
      </c>
      <c r="AL1402" s="57">
        <v>14</v>
      </c>
      <c r="AM1402" s="56"/>
      <c r="AN1402" s="57" t="str">
        <f t="shared" si="731"/>
        <v/>
      </c>
      <c r="AO1402" s="56"/>
      <c r="AP1402" s="57" t="str">
        <f t="shared" si="732"/>
        <v/>
      </c>
      <c r="AQ1402" s="56"/>
      <c r="AR1402" s="57" t="str">
        <f t="shared" si="733"/>
        <v/>
      </c>
      <c r="AS1402" s="56"/>
      <c r="AT1402" s="57" t="str">
        <f t="shared" si="734"/>
        <v/>
      </c>
      <c r="AU1402" s="58"/>
      <c r="AV1402" s="59"/>
      <c r="AW1402" s="59"/>
      <c r="AX1402" s="60"/>
      <c r="AY1402" s="61">
        <v>1</v>
      </c>
      <c r="AZ1402" s="62">
        <f t="shared" si="735"/>
        <v>1</v>
      </c>
      <c r="BA1402" s="61">
        <f t="shared" si="736"/>
        <v>0</v>
      </c>
      <c r="BB1402" s="62" t="str">
        <f t="shared" si="737"/>
        <v/>
      </c>
    </row>
    <row r="1403" spans="1:54" s="3" customFormat="1" hidden="1" x14ac:dyDescent="0.35">
      <c r="A1403" s="73">
        <f t="shared" si="716"/>
        <v>2019</v>
      </c>
      <c r="B1403" s="73" t="str">
        <f t="shared" si="717"/>
        <v>Nov</v>
      </c>
      <c r="C1403" s="74">
        <f t="shared" si="738"/>
        <v>17</v>
      </c>
      <c r="D1403" s="75">
        <f t="shared" si="718"/>
        <v>13</v>
      </c>
      <c r="E1403" s="76">
        <f t="shared" si="739"/>
        <v>54</v>
      </c>
      <c r="F1403" s="80"/>
      <c r="G1403" s="83"/>
      <c r="H1403" s="69" t="str">
        <f t="shared" si="740"/>
        <v>Senbur6_20191117_13_00</v>
      </c>
      <c r="I1403" s="70">
        <f t="shared" si="766"/>
        <v>1</v>
      </c>
      <c r="J1403" s="77" t="str">
        <f t="shared" si="766"/>
        <v>Senecio</v>
      </c>
      <c r="K1403" s="77" t="str">
        <f t="shared" si="766"/>
        <v>burtoni</v>
      </c>
      <c r="L1403" s="78">
        <f t="shared" si="766"/>
        <v>6</v>
      </c>
      <c r="M1403" s="78">
        <f t="shared" si="766"/>
        <v>12</v>
      </c>
      <c r="N1403" s="72">
        <f t="shared" si="766"/>
        <v>0</v>
      </c>
      <c r="O1403" s="45"/>
      <c r="P1403" s="46" t="str">
        <f t="shared" si="719"/>
        <v/>
      </c>
      <c r="Q1403" s="47" t="str">
        <f t="shared" si="720"/>
        <v/>
      </c>
      <c r="R1403" s="48" t="e">
        <f t="shared" si="721"/>
        <v>#VALUE!</v>
      </c>
      <c r="S1403" s="49" t="e">
        <f t="shared" si="715"/>
        <v>#VALUE!</v>
      </c>
      <c r="T1403" s="48" t="str">
        <f t="shared" si="722"/>
        <v/>
      </c>
      <c r="U1403" s="50"/>
      <c r="V1403" s="51"/>
      <c r="W1403" s="52" t="e">
        <f t="shared" si="723"/>
        <v>#VALUE!</v>
      </c>
      <c r="X1403" s="53"/>
      <c r="Y1403" s="53"/>
      <c r="Z1403" s="53"/>
      <c r="AA1403" s="48" t="e">
        <f>INDEX([1]!VISITORS[INSECT ORDER], MATCH(X1403,[1]!VISITORS[NAME USED],0))</f>
        <v>#REF!</v>
      </c>
      <c r="AB1403" s="48" t="e">
        <f t="shared" si="724"/>
        <v>#REF!</v>
      </c>
      <c r="AC1403" s="54" t="e">
        <f t="shared" si="725"/>
        <v>#VALUE!</v>
      </c>
      <c r="AD1403" s="55" t="str">
        <f t="shared" si="726"/>
        <v/>
      </c>
      <c r="AE1403" s="55"/>
      <c r="AF1403" s="55"/>
      <c r="AG1403" s="56" t="str">
        <f t="shared" si="727"/>
        <v/>
      </c>
      <c r="AH1403" s="57" t="str">
        <f t="shared" si="728"/>
        <v/>
      </c>
      <c r="AI1403" s="56"/>
      <c r="AJ1403" s="57" t="str">
        <f t="shared" si="729"/>
        <v/>
      </c>
      <c r="AK1403" s="56"/>
      <c r="AL1403" s="57" t="str">
        <f t="shared" si="730"/>
        <v/>
      </c>
      <c r="AM1403" s="56"/>
      <c r="AN1403" s="57" t="str">
        <f t="shared" si="731"/>
        <v/>
      </c>
      <c r="AO1403" s="56"/>
      <c r="AP1403" s="57" t="str">
        <f t="shared" si="732"/>
        <v/>
      </c>
      <c r="AQ1403" s="56"/>
      <c r="AR1403" s="57" t="str">
        <f t="shared" si="733"/>
        <v/>
      </c>
      <c r="AS1403" s="56"/>
      <c r="AT1403" s="57" t="str">
        <f t="shared" si="734"/>
        <v/>
      </c>
      <c r="AU1403" s="58"/>
      <c r="AV1403" s="59"/>
      <c r="AW1403" s="59"/>
      <c r="AX1403" s="60"/>
      <c r="AY1403" s="61" t="str">
        <f t="shared" si="742"/>
        <v/>
      </c>
      <c r="AZ1403" s="62" t="str">
        <f t="shared" si="735"/>
        <v/>
      </c>
      <c r="BA1403" s="61" t="str">
        <f t="shared" si="736"/>
        <v/>
      </c>
      <c r="BB1403" s="62" t="str">
        <f t="shared" si="737"/>
        <v/>
      </c>
    </row>
    <row r="1404" spans="1:54" s="3" customFormat="1" hidden="1" x14ac:dyDescent="0.35">
      <c r="A1404" s="73">
        <f t="shared" si="716"/>
        <v>2019</v>
      </c>
      <c r="B1404" s="73" t="str">
        <f t="shared" si="717"/>
        <v>Nov</v>
      </c>
      <c r="C1404" s="74">
        <f t="shared" si="738"/>
        <v>17</v>
      </c>
      <c r="D1404" s="75">
        <f t="shared" si="718"/>
        <v>13</v>
      </c>
      <c r="E1404" s="76">
        <f t="shared" si="739"/>
        <v>55</v>
      </c>
      <c r="F1404" s="80"/>
      <c r="G1404" s="83"/>
      <c r="H1404" s="69" t="str">
        <f t="shared" si="740"/>
        <v>Senbur6_20191117_13_00</v>
      </c>
      <c r="I1404" s="70">
        <f t="shared" si="766"/>
        <v>1</v>
      </c>
      <c r="J1404" s="77" t="str">
        <f t="shared" si="766"/>
        <v>Senecio</v>
      </c>
      <c r="K1404" s="77" t="str">
        <f t="shared" si="766"/>
        <v>burtoni</v>
      </c>
      <c r="L1404" s="78">
        <f t="shared" si="766"/>
        <v>6</v>
      </c>
      <c r="M1404" s="78">
        <f t="shared" si="766"/>
        <v>12</v>
      </c>
      <c r="N1404" s="72">
        <f t="shared" si="766"/>
        <v>0</v>
      </c>
      <c r="O1404" s="45"/>
      <c r="P1404" s="46" t="str">
        <f t="shared" si="719"/>
        <v/>
      </c>
      <c r="Q1404" s="47" t="str">
        <f t="shared" si="720"/>
        <v/>
      </c>
      <c r="R1404" s="48" t="e">
        <f t="shared" si="721"/>
        <v>#VALUE!</v>
      </c>
      <c r="S1404" s="49" t="e">
        <f t="shared" si="715"/>
        <v>#VALUE!</v>
      </c>
      <c r="T1404" s="48" t="str">
        <f t="shared" si="722"/>
        <v/>
      </c>
      <c r="U1404" s="50"/>
      <c r="V1404" s="51"/>
      <c r="W1404" s="52" t="e">
        <f t="shared" si="723"/>
        <v>#VALUE!</v>
      </c>
      <c r="X1404" s="53"/>
      <c r="Y1404" s="53"/>
      <c r="Z1404" s="53"/>
      <c r="AA1404" s="48" t="e">
        <f>INDEX([1]!VISITORS[INSECT ORDER], MATCH(X1404,[1]!VISITORS[NAME USED],0))</f>
        <v>#REF!</v>
      </c>
      <c r="AB1404" s="48" t="e">
        <f t="shared" si="724"/>
        <v>#REF!</v>
      </c>
      <c r="AC1404" s="54" t="e">
        <f t="shared" si="725"/>
        <v>#VALUE!</v>
      </c>
      <c r="AD1404" s="55" t="str">
        <f t="shared" si="726"/>
        <v/>
      </c>
      <c r="AE1404" s="55"/>
      <c r="AF1404" s="55"/>
      <c r="AG1404" s="56" t="str">
        <f t="shared" si="727"/>
        <v/>
      </c>
      <c r="AH1404" s="57" t="str">
        <f t="shared" si="728"/>
        <v/>
      </c>
      <c r="AI1404" s="56"/>
      <c r="AJ1404" s="57" t="str">
        <f t="shared" si="729"/>
        <v/>
      </c>
      <c r="AK1404" s="56"/>
      <c r="AL1404" s="57" t="str">
        <f t="shared" si="730"/>
        <v/>
      </c>
      <c r="AM1404" s="56"/>
      <c r="AN1404" s="57" t="str">
        <f t="shared" si="731"/>
        <v/>
      </c>
      <c r="AO1404" s="56"/>
      <c r="AP1404" s="57" t="str">
        <f t="shared" si="732"/>
        <v/>
      </c>
      <c r="AQ1404" s="56"/>
      <c r="AR1404" s="57" t="str">
        <f t="shared" si="733"/>
        <v/>
      </c>
      <c r="AS1404" s="56"/>
      <c r="AT1404" s="57" t="str">
        <f t="shared" si="734"/>
        <v/>
      </c>
      <c r="AU1404" s="58"/>
      <c r="AV1404" s="59"/>
      <c r="AW1404" s="59"/>
      <c r="AX1404" s="60"/>
      <c r="AY1404" s="61" t="str">
        <f t="shared" si="742"/>
        <v/>
      </c>
      <c r="AZ1404" s="62" t="str">
        <f t="shared" si="735"/>
        <v/>
      </c>
      <c r="BA1404" s="61" t="str">
        <f t="shared" si="736"/>
        <v/>
      </c>
      <c r="BB1404" s="62" t="str">
        <f t="shared" si="737"/>
        <v/>
      </c>
    </row>
    <row r="1405" spans="1:54" s="3" customFormat="1" hidden="1" x14ac:dyDescent="0.35">
      <c r="A1405" s="73">
        <f t="shared" si="716"/>
        <v>2019</v>
      </c>
      <c r="B1405" s="73" t="str">
        <f t="shared" si="717"/>
        <v>Nov</v>
      </c>
      <c r="C1405" s="74">
        <f t="shared" si="738"/>
        <v>17</v>
      </c>
      <c r="D1405" s="75">
        <f t="shared" si="718"/>
        <v>13</v>
      </c>
      <c r="E1405" s="76">
        <f t="shared" si="739"/>
        <v>56</v>
      </c>
      <c r="F1405" s="80"/>
      <c r="G1405" s="83"/>
      <c r="H1405" s="69" t="str">
        <f t="shared" si="740"/>
        <v>Senbur6_20191117_13_00</v>
      </c>
      <c r="I1405" s="70">
        <f t="shared" si="766"/>
        <v>1</v>
      </c>
      <c r="J1405" s="77" t="str">
        <f t="shared" si="766"/>
        <v>Senecio</v>
      </c>
      <c r="K1405" s="77" t="str">
        <f t="shared" si="766"/>
        <v>burtoni</v>
      </c>
      <c r="L1405" s="78">
        <f t="shared" si="766"/>
        <v>6</v>
      </c>
      <c r="M1405" s="78">
        <f t="shared" si="766"/>
        <v>12</v>
      </c>
      <c r="N1405" s="72">
        <f t="shared" si="766"/>
        <v>0</v>
      </c>
      <c r="O1405" s="45"/>
      <c r="P1405" s="46" t="str">
        <f t="shared" si="719"/>
        <v/>
      </c>
      <c r="Q1405" s="47" t="str">
        <f t="shared" si="720"/>
        <v/>
      </c>
      <c r="R1405" s="48" t="e">
        <f t="shared" si="721"/>
        <v>#VALUE!</v>
      </c>
      <c r="S1405" s="49" t="e">
        <f t="shared" si="715"/>
        <v>#VALUE!</v>
      </c>
      <c r="T1405" s="48" t="str">
        <f t="shared" si="722"/>
        <v/>
      </c>
      <c r="U1405" s="50"/>
      <c r="V1405" s="51"/>
      <c r="W1405" s="52" t="e">
        <f t="shared" si="723"/>
        <v>#VALUE!</v>
      </c>
      <c r="X1405" s="53"/>
      <c r="Y1405" s="53"/>
      <c r="Z1405" s="53"/>
      <c r="AA1405" s="48" t="e">
        <f>INDEX([1]!VISITORS[INSECT ORDER], MATCH(X1405,[1]!VISITORS[NAME USED],0))</f>
        <v>#REF!</v>
      </c>
      <c r="AB1405" s="48" t="e">
        <f t="shared" si="724"/>
        <v>#REF!</v>
      </c>
      <c r="AC1405" s="54" t="e">
        <f t="shared" si="725"/>
        <v>#VALUE!</v>
      </c>
      <c r="AD1405" s="55" t="str">
        <f t="shared" si="726"/>
        <v/>
      </c>
      <c r="AE1405" s="55"/>
      <c r="AF1405" s="55"/>
      <c r="AG1405" s="56" t="str">
        <f t="shared" si="727"/>
        <v/>
      </c>
      <c r="AH1405" s="57" t="str">
        <f t="shared" si="728"/>
        <v/>
      </c>
      <c r="AI1405" s="56"/>
      <c r="AJ1405" s="57" t="str">
        <f t="shared" si="729"/>
        <v/>
      </c>
      <c r="AK1405" s="56"/>
      <c r="AL1405" s="57" t="str">
        <f t="shared" si="730"/>
        <v/>
      </c>
      <c r="AM1405" s="56"/>
      <c r="AN1405" s="57" t="str">
        <f t="shared" si="731"/>
        <v/>
      </c>
      <c r="AO1405" s="56"/>
      <c r="AP1405" s="57" t="str">
        <f t="shared" si="732"/>
        <v/>
      </c>
      <c r="AQ1405" s="56"/>
      <c r="AR1405" s="57" t="str">
        <f t="shared" si="733"/>
        <v/>
      </c>
      <c r="AS1405" s="56"/>
      <c r="AT1405" s="57" t="str">
        <f t="shared" si="734"/>
        <v/>
      </c>
      <c r="AU1405" s="58"/>
      <c r="AV1405" s="59"/>
      <c r="AW1405" s="59"/>
      <c r="AX1405" s="60"/>
      <c r="AY1405" s="61" t="str">
        <f t="shared" si="742"/>
        <v/>
      </c>
      <c r="AZ1405" s="62" t="str">
        <f t="shared" si="735"/>
        <v/>
      </c>
      <c r="BA1405" s="61" t="str">
        <f t="shared" si="736"/>
        <v/>
      </c>
      <c r="BB1405" s="62" t="str">
        <f t="shared" si="737"/>
        <v/>
      </c>
    </row>
    <row r="1406" spans="1:54" s="3" customFormat="1" hidden="1" x14ac:dyDescent="0.35">
      <c r="A1406" s="73">
        <f t="shared" si="716"/>
        <v>2019</v>
      </c>
      <c r="B1406" s="73" t="str">
        <f t="shared" si="717"/>
        <v>Nov</v>
      </c>
      <c r="C1406" s="74">
        <f t="shared" si="738"/>
        <v>17</v>
      </c>
      <c r="D1406" s="75">
        <f t="shared" si="718"/>
        <v>13</v>
      </c>
      <c r="E1406" s="76">
        <f t="shared" si="739"/>
        <v>57</v>
      </c>
      <c r="F1406" s="80">
        <v>44</v>
      </c>
      <c r="G1406" s="83"/>
      <c r="H1406" s="69" t="str">
        <f t="shared" si="740"/>
        <v>Senbur6_20191117_13_00</v>
      </c>
      <c r="I1406" s="70">
        <f t="shared" si="766"/>
        <v>1</v>
      </c>
      <c r="J1406" s="77" t="str">
        <f t="shared" si="766"/>
        <v>Senecio</v>
      </c>
      <c r="K1406" s="77" t="str">
        <f t="shared" si="766"/>
        <v>burtoni</v>
      </c>
      <c r="L1406" s="78">
        <f t="shared" si="766"/>
        <v>6</v>
      </c>
      <c r="M1406" s="78">
        <f t="shared" si="766"/>
        <v>12</v>
      </c>
      <c r="N1406" s="72">
        <f t="shared" si="766"/>
        <v>0</v>
      </c>
      <c r="O1406" s="45"/>
      <c r="P1406" s="46">
        <f t="shared" si="719"/>
        <v>1</v>
      </c>
      <c r="Q1406" s="47" t="str">
        <f t="shared" si="720"/>
        <v>13:57:44</v>
      </c>
      <c r="R1406" s="48" t="str">
        <f t="shared" si="721"/>
        <v>57:44</v>
      </c>
      <c r="S1406" s="49">
        <f t="shared" si="715"/>
        <v>414</v>
      </c>
      <c r="T1406" s="48">
        <v>14</v>
      </c>
      <c r="U1406" s="50">
        <v>4</v>
      </c>
      <c r="V1406" s="51">
        <v>38</v>
      </c>
      <c r="W1406" s="52" t="str">
        <f t="shared" si="723"/>
        <v>04:38</v>
      </c>
      <c r="X1406" s="53" t="s">
        <v>61</v>
      </c>
      <c r="Y1406" s="97" t="s">
        <v>84</v>
      </c>
      <c r="Z1406" s="97" t="s">
        <v>80</v>
      </c>
      <c r="AA1406" s="48" t="s">
        <v>60</v>
      </c>
      <c r="AB1406" s="48" t="str">
        <f t="shared" si="724"/>
        <v>NA</v>
      </c>
      <c r="AC1406" s="54">
        <f t="shared" si="725"/>
        <v>0</v>
      </c>
      <c r="AD1406" s="55">
        <v>7</v>
      </c>
      <c r="AE1406" s="55"/>
      <c r="AF1406" s="55"/>
      <c r="AG1406" s="56">
        <v>1</v>
      </c>
      <c r="AH1406" s="57">
        <v>41</v>
      </c>
      <c r="AI1406" s="56">
        <v>1</v>
      </c>
      <c r="AJ1406" s="57">
        <v>7</v>
      </c>
      <c r="AK1406" s="56">
        <v>1</v>
      </c>
      <c r="AL1406" s="57">
        <v>366</v>
      </c>
      <c r="AM1406" s="56"/>
      <c r="AN1406" s="57" t="str">
        <f t="shared" si="731"/>
        <v/>
      </c>
      <c r="AO1406" s="56"/>
      <c r="AP1406" s="57" t="str">
        <f t="shared" si="732"/>
        <v/>
      </c>
      <c r="AQ1406" s="56"/>
      <c r="AR1406" s="57" t="str">
        <f t="shared" si="733"/>
        <v/>
      </c>
      <c r="AS1406" s="56"/>
      <c r="AT1406" s="57" t="str">
        <f t="shared" si="734"/>
        <v/>
      </c>
      <c r="AU1406" s="58"/>
      <c r="AV1406" s="59"/>
      <c r="AW1406" s="59"/>
      <c r="AX1406" s="60"/>
      <c r="AY1406" s="61">
        <v>1</v>
      </c>
      <c r="AZ1406" s="62">
        <f t="shared" si="735"/>
        <v>7</v>
      </c>
      <c r="BA1406" s="61">
        <f t="shared" si="736"/>
        <v>0</v>
      </c>
      <c r="BB1406" s="62" t="str">
        <f t="shared" si="737"/>
        <v/>
      </c>
    </row>
    <row r="1407" spans="1:54" s="3" customFormat="1" hidden="1" x14ac:dyDescent="0.35">
      <c r="A1407" s="73">
        <f t="shared" si="716"/>
        <v>2019</v>
      </c>
      <c r="B1407" s="73" t="str">
        <f t="shared" si="717"/>
        <v>Nov</v>
      </c>
      <c r="C1407" s="74">
        <f t="shared" si="738"/>
        <v>17</v>
      </c>
      <c r="D1407" s="75">
        <f t="shared" si="718"/>
        <v>13</v>
      </c>
      <c r="E1407" s="76">
        <f t="shared" si="739"/>
        <v>58</v>
      </c>
      <c r="F1407" s="80"/>
      <c r="G1407" s="83"/>
      <c r="H1407" s="69" t="str">
        <f t="shared" si="740"/>
        <v>Senbur6_20191117_13_00</v>
      </c>
      <c r="I1407" s="70">
        <f t="shared" si="766"/>
        <v>1</v>
      </c>
      <c r="J1407" s="77" t="str">
        <f t="shared" si="766"/>
        <v>Senecio</v>
      </c>
      <c r="K1407" s="77" t="str">
        <f t="shared" si="766"/>
        <v>burtoni</v>
      </c>
      <c r="L1407" s="78">
        <f t="shared" si="766"/>
        <v>6</v>
      </c>
      <c r="M1407" s="78">
        <f t="shared" si="766"/>
        <v>12</v>
      </c>
      <c r="N1407" s="72">
        <f t="shared" si="766"/>
        <v>0</v>
      </c>
      <c r="O1407" s="45"/>
      <c r="P1407" s="46" t="str">
        <f t="shared" si="719"/>
        <v/>
      </c>
      <c r="Q1407" s="47" t="str">
        <f t="shared" si="720"/>
        <v/>
      </c>
      <c r="R1407" s="48" t="e">
        <f t="shared" si="721"/>
        <v>#VALUE!</v>
      </c>
      <c r="S1407" s="49" t="e">
        <f t="shared" si="715"/>
        <v>#VALUE!</v>
      </c>
      <c r="T1407" s="48" t="str">
        <f t="shared" si="722"/>
        <v/>
      </c>
      <c r="U1407" s="50"/>
      <c r="V1407" s="51"/>
      <c r="W1407" s="52" t="e">
        <f t="shared" si="723"/>
        <v>#VALUE!</v>
      </c>
      <c r="X1407" s="53"/>
      <c r="Y1407" s="53"/>
      <c r="Z1407" s="53"/>
      <c r="AA1407" s="48" t="e">
        <f>INDEX([1]!VISITORS[INSECT ORDER], MATCH(X1407,[1]!VISITORS[NAME USED],0))</f>
        <v>#REF!</v>
      </c>
      <c r="AB1407" s="48" t="e">
        <f t="shared" si="724"/>
        <v>#REF!</v>
      </c>
      <c r="AC1407" s="54" t="e">
        <f t="shared" si="725"/>
        <v>#VALUE!</v>
      </c>
      <c r="AD1407" s="55" t="str">
        <f t="shared" si="726"/>
        <v/>
      </c>
      <c r="AE1407" s="55"/>
      <c r="AF1407" s="55"/>
      <c r="AG1407" s="56" t="str">
        <f t="shared" si="727"/>
        <v/>
      </c>
      <c r="AH1407" s="57" t="str">
        <f t="shared" si="728"/>
        <v/>
      </c>
      <c r="AI1407" s="56"/>
      <c r="AJ1407" s="57" t="str">
        <f t="shared" si="729"/>
        <v/>
      </c>
      <c r="AK1407" s="56"/>
      <c r="AL1407" s="57" t="str">
        <f t="shared" si="730"/>
        <v/>
      </c>
      <c r="AM1407" s="56"/>
      <c r="AN1407" s="57" t="str">
        <f t="shared" si="731"/>
        <v/>
      </c>
      <c r="AO1407" s="56"/>
      <c r="AP1407" s="57" t="str">
        <f t="shared" si="732"/>
        <v/>
      </c>
      <c r="AQ1407" s="56"/>
      <c r="AR1407" s="57" t="str">
        <f t="shared" si="733"/>
        <v/>
      </c>
      <c r="AS1407" s="56"/>
      <c r="AT1407" s="57" t="str">
        <f t="shared" si="734"/>
        <v/>
      </c>
      <c r="AU1407" s="58"/>
      <c r="AV1407" s="59"/>
      <c r="AW1407" s="59"/>
      <c r="AX1407" s="60"/>
      <c r="AY1407" s="61" t="str">
        <f t="shared" si="742"/>
        <v/>
      </c>
      <c r="AZ1407" s="62" t="str">
        <f t="shared" si="735"/>
        <v/>
      </c>
      <c r="BA1407" s="61" t="str">
        <f t="shared" si="736"/>
        <v/>
      </c>
      <c r="BB1407" s="62" t="str">
        <f t="shared" si="737"/>
        <v/>
      </c>
    </row>
    <row r="1408" spans="1:54" s="3" customFormat="1" hidden="1" x14ac:dyDescent="0.35">
      <c r="A1408" s="73">
        <f t="shared" si="716"/>
        <v>2019</v>
      </c>
      <c r="B1408" s="73" t="str">
        <f t="shared" si="717"/>
        <v>Nov</v>
      </c>
      <c r="C1408" s="74">
        <f t="shared" si="738"/>
        <v>17</v>
      </c>
      <c r="D1408" s="75">
        <f t="shared" si="718"/>
        <v>13</v>
      </c>
      <c r="E1408" s="76">
        <f t="shared" si="739"/>
        <v>59</v>
      </c>
      <c r="F1408" s="80">
        <v>8</v>
      </c>
      <c r="G1408" s="83"/>
      <c r="H1408" s="69" t="str">
        <f t="shared" si="740"/>
        <v>Senbur6_20191117_13_00</v>
      </c>
      <c r="I1408" s="70">
        <f t="shared" si="766"/>
        <v>1</v>
      </c>
      <c r="J1408" s="77" t="str">
        <f t="shared" si="766"/>
        <v>Senecio</v>
      </c>
      <c r="K1408" s="77" t="str">
        <f t="shared" si="766"/>
        <v>burtoni</v>
      </c>
      <c r="L1408" s="78">
        <f t="shared" si="766"/>
        <v>6</v>
      </c>
      <c r="M1408" s="78">
        <f t="shared" si="766"/>
        <v>12</v>
      </c>
      <c r="N1408" s="72">
        <f t="shared" si="766"/>
        <v>0</v>
      </c>
      <c r="O1408" s="45"/>
      <c r="P1408" s="46">
        <f t="shared" si="719"/>
        <v>1</v>
      </c>
      <c r="Q1408" s="47" t="str">
        <f t="shared" si="720"/>
        <v>13:59:08</v>
      </c>
      <c r="R1408" s="48" t="str">
        <f t="shared" si="721"/>
        <v>59:08</v>
      </c>
      <c r="S1408" s="49">
        <f t="shared" si="715"/>
        <v>5</v>
      </c>
      <c r="T1408" s="48" t="str">
        <f t="shared" si="722"/>
        <v>13</v>
      </c>
      <c r="U1408" s="50">
        <v>59</v>
      </c>
      <c r="V1408" s="51">
        <v>13</v>
      </c>
      <c r="W1408" s="52" t="str">
        <f t="shared" si="723"/>
        <v>59:13</v>
      </c>
      <c r="X1408" s="53" t="s">
        <v>61</v>
      </c>
      <c r="Y1408" s="97" t="s">
        <v>78</v>
      </c>
      <c r="Z1408" s="97"/>
      <c r="AA1408" s="48" t="s">
        <v>60</v>
      </c>
      <c r="AB1408" s="48" t="str">
        <f t="shared" si="724"/>
        <v>NA</v>
      </c>
      <c r="AC1408" s="54">
        <f t="shared" si="725"/>
        <v>0</v>
      </c>
      <c r="AD1408" s="55">
        <f t="shared" si="726"/>
        <v>1</v>
      </c>
      <c r="AE1408" s="55"/>
      <c r="AF1408" s="55"/>
      <c r="AG1408" s="56">
        <v>1</v>
      </c>
      <c r="AH1408" s="57">
        <f t="shared" si="728"/>
        <v>5</v>
      </c>
      <c r="AI1408" s="56"/>
      <c r="AJ1408" s="57" t="str">
        <f t="shared" si="729"/>
        <v/>
      </c>
      <c r="AK1408" s="56"/>
      <c r="AL1408" s="57" t="str">
        <f t="shared" si="730"/>
        <v/>
      </c>
      <c r="AM1408" s="56"/>
      <c r="AN1408" s="57" t="str">
        <f t="shared" si="731"/>
        <v/>
      </c>
      <c r="AO1408" s="56"/>
      <c r="AP1408" s="57" t="str">
        <f t="shared" si="732"/>
        <v/>
      </c>
      <c r="AQ1408" s="56"/>
      <c r="AR1408" s="57" t="str">
        <f t="shared" si="733"/>
        <v/>
      </c>
      <c r="AS1408" s="56"/>
      <c r="AT1408" s="57" t="str">
        <f t="shared" si="734"/>
        <v/>
      </c>
      <c r="AU1408" s="58"/>
      <c r="AV1408" s="59"/>
      <c r="AW1408" s="59"/>
      <c r="AX1408" s="60"/>
      <c r="AY1408" s="61">
        <v>1</v>
      </c>
      <c r="AZ1408" s="62">
        <f t="shared" si="735"/>
        <v>1</v>
      </c>
      <c r="BA1408" s="61">
        <f t="shared" si="736"/>
        <v>0</v>
      </c>
      <c r="BB1408" s="62" t="str">
        <f t="shared" si="737"/>
        <v/>
      </c>
    </row>
    <row r="1409" spans="1:54" s="3" customFormat="1" hidden="1" x14ac:dyDescent="0.35">
      <c r="A1409" s="73">
        <f t="shared" si="716"/>
        <v>2019</v>
      </c>
      <c r="B1409" s="73" t="str">
        <f t="shared" si="717"/>
        <v>Nov</v>
      </c>
      <c r="C1409" s="74">
        <f t="shared" si="738"/>
        <v>17</v>
      </c>
      <c r="D1409" s="75">
        <v>13</v>
      </c>
      <c r="E1409" s="76">
        <v>59</v>
      </c>
      <c r="F1409" s="80">
        <v>29</v>
      </c>
      <c r="G1409" s="83"/>
      <c r="H1409" s="69" t="str">
        <f t="shared" si="740"/>
        <v>Senbur6_20191117_13_00</v>
      </c>
      <c r="I1409" s="70">
        <f t="shared" si="766"/>
        <v>1</v>
      </c>
      <c r="J1409" s="77" t="str">
        <f t="shared" si="766"/>
        <v>Senecio</v>
      </c>
      <c r="K1409" s="77" t="str">
        <f t="shared" si="766"/>
        <v>burtoni</v>
      </c>
      <c r="L1409" s="78">
        <f t="shared" si="766"/>
        <v>6</v>
      </c>
      <c r="M1409" s="78">
        <f t="shared" si="766"/>
        <v>12</v>
      </c>
      <c r="N1409" s="72">
        <f t="shared" si="766"/>
        <v>0</v>
      </c>
      <c r="O1409" s="45"/>
      <c r="P1409" s="46">
        <f t="shared" si="719"/>
        <v>1</v>
      </c>
      <c r="Q1409" s="47" t="str">
        <f t="shared" si="720"/>
        <v>13:59:29</v>
      </c>
      <c r="R1409" s="48" t="str">
        <f t="shared" si="721"/>
        <v>59:29</v>
      </c>
      <c r="S1409" s="49">
        <f t="shared" si="715"/>
        <v>13</v>
      </c>
      <c r="T1409" s="48" t="str">
        <f t="shared" si="722"/>
        <v>13</v>
      </c>
      <c r="U1409" s="50">
        <v>59</v>
      </c>
      <c r="V1409" s="51">
        <v>42</v>
      </c>
      <c r="W1409" s="52" t="str">
        <f t="shared" si="723"/>
        <v>59:42</v>
      </c>
      <c r="X1409" s="53" t="s">
        <v>61</v>
      </c>
      <c r="Y1409" s="97" t="s">
        <v>84</v>
      </c>
      <c r="Z1409" s="97" t="s">
        <v>80</v>
      </c>
      <c r="AA1409" s="48" t="s">
        <v>60</v>
      </c>
      <c r="AB1409" s="48" t="str">
        <f t="shared" si="724"/>
        <v>NA</v>
      </c>
      <c r="AC1409" s="54">
        <f t="shared" si="725"/>
        <v>0</v>
      </c>
      <c r="AD1409" s="55">
        <f t="shared" si="726"/>
        <v>1</v>
      </c>
      <c r="AE1409" s="55"/>
      <c r="AF1409" s="55"/>
      <c r="AG1409" s="56">
        <v>1</v>
      </c>
      <c r="AH1409" s="57">
        <v>1</v>
      </c>
      <c r="AI1409" s="56"/>
      <c r="AJ1409" s="57" t="str">
        <f t="shared" si="729"/>
        <v/>
      </c>
      <c r="AK1409" s="56">
        <v>1</v>
      </c>
      <c r="AL1409" s="57">
        <v>12</v>
      </c>
      <c r="AM1409" s="56"/>
      <c r="AN1409" s="57" t="str">
        <f t="shared" si="731"/>
        <v/>
      </c>
      <c r="AO1409" s="56"/>
      <c r="AP1409" s="57" t="str">
        <f t="shared" si="732"/>
        <v/>
      </c>
      <c r="AQ1409" s="56"/>
      <c r="AR1409" s="57" t="str">
        <f t="shared" si="733"/>
        <v/>
      </c>
      <c r="AS1409" s="56"/>
      <c r="AT1409" s="57" t="str">
        <f t="shared" si="734"/>
        <v/>
      </c>
      <c r="AU1409" s="58"/>
      <c r="AV1409" s="59"/>
      <c r="AW1409" s="59"/>
      <c r="AX1409" s="60"/>
      <c r="AY1409" s="61">
        <v>1</v>
      </c>
      <c r="AZ1409" s="62">
        <f t="shared" si="735"/>
        <v>1</v>
      </c>
      <c r="BA1409" s="61">
        <f t="shared" si="736"/>
        <v>0</v>
      </c>
      <c r="BB1409" s="62" t="str">
        <f t="shared" si="737"/>
        <v/>
      </c>
    </row>
    <row r="1410" spans="1:54" s="3" customFormat="1" hidden="1" x14ac:dyDescent="0.35">
      <c r="A1410" s="73">
        <f t="shared" si="716"/>
        <v>2019</v>
      </c>
      <c r="B1410" s="73" t="str">
        <f t="shared" si="717"/>
        <v>Nov</v>
      </c>
      <c r="C1410" s="74">
        <f t="shared" si="738"/>
        <v>17</v>
      </c>
      <c r="D1410" s="75">
        <v>13</v>
      </c>
      <c r="E1410" s="76">
        <v>59</v>
      </c>
      <c r="F1410" s="80">
        <v>34</v>
      </c>
      <c r="G1410" s="83"/>
      <c r="H1410" s="69" t="str">
        <f t="shared" si="740"/>
        <v>Senbur6_20191117_13_00</v>
      </c>
      <c r="I1410" s="70">
        <f t="shared" si="766"/>
        <v>1</v>
      </c>
      <c r="J1410" s="77" t="str">
        <f t="shared" si="766"/>
        <v>Senecio</v>
      </c>
      <c r="K1410" s="77" t="str">
        <f t="shared" si="766"/>
        <v>burtoni</v>
      </c>
      <c r="L1410" s="78">
        <f t="shared" si="766"/>
        <v>6</v>
      </c>
      <c r="M1410" s="78">
        <f t="shared" si="766"/>
        <v>12</v>
      </c>
      <c r="N1410" s="72">
        <f t="shared" si="766"/>
        <v>0</v>
      </c>
      <c r="O1410" s="45"/>
      <c r="P1410" s="46">
        <f t="shared" si="719"/>
        <v>1</v>
      </c>
      <c r="Q1410" s="47" t="str">
        <f t="shared" si="720"/>
        <v>13:59:34</v>
      </c>
      <c r="R1410" s="48" t="str">
        <f t="shared" si="721"/>
        <v>59:34</v>
      </c>
      <c r="S1410" s="49">
        <f t="shared" si="715"/>
        <v>9</v>
      </c>
      <c r="T1410" s="48" t="str">
        <f t="shared" si="722"/>
        <v>13</v>
      </c>
      <c r="U1410" s="50">
        <v>59</v>
      </c>
      <c r="V1410" s="51">
        <v>43</v>
      </c>
      <c r="W1410" s="52" t="str">
        <f t="shared" si="723"/>
        <v>59:43</v>
      </c>
      <c r="X1410" s="53" t="s">
        <v>61</v>
      </c>
      <c r="Y1410" s="97" t="s">
        <v>78</v>
      </c>
      <c r="Z1410" s="97"/>
      <c r="AA1410" s="48" t="s">
        <v>60</v>
      </c>
      <c r="AB1410" s="48" t="str">
        <f t="shared" si="724"/>
        <v>NA</v>
      </c>
      <c r="AC1410" s="54">
        <f t="shared" si="725"/>
        <v>0</v>
      </c>
      <c r="AD1410" s="55">
        <f t="shared" si="726"/>
        <v>1</v>
      </c>
      <c r="AE1410" s="55"/>
      <c r="AF1410" s="55"/>
      <c r="AG1410" s="56" t="str">
        <f t="shared" si="727"/>
        <v/>
      </c>
      <c r="AH1410" s="57" t="str">
        <f t="shared" si="728"/>
        <v/>
      </c>
      <c r="AI1410" s="56"/>
      <c r="AJ1410" s="57" t="str">
        <f t="shared" si="729"/>
        <v/>
      </c>
      <c r="AK1410" s="56">
        <v>1</v>
      </c>
      <c r="AL1410" s="57">
        <f t="shared" si="730"/>
        <v>9</v>
      </c>
      <c r="AM1410" s="56"/>
      <c r="AN1410" s="57" t="str">
        <f t="shared" si="731"/>
        <v/>
      </c>
      <c r="AO1410" s="56"/>
      <c r="AP1410" s="57" t="str">
        <f t="shared" si="732"/>
        <v/>
      </c>
      <c r="AQ1410" s="56"/>
      <c r="AR1410" s="57" t="str">
        <f t="shared" si="733"/>
        <v/>
      </c>
      <c r="AS1410" s="56"/>
      <c r="AT1410" s="57" t="str">
        <f t="shared" si="734"/>
        <v/>
      </c>
      <c r="AU1410" s="58"/>
      <c r="AV1410" s="59"/>
      <c r="AW1410" s="59"/>
      <c r="AX1410" s="60"/>
      <c r="AY1410" s="61">
        <v>1</v>
      </c>
      <c r="AZ1410" s="62">
        <f t="shared" si="735"/>
        <v>1</v>
      </c>
      <c r="BA1410" s="61">
        <f t="shared" si="736"/>
        <v>0</v>
      </c>
      <c r="BB1410" s="62" t="str">
        <f t="shared" si="737"/>
        <v/>
      </c>
    </row>
    <row r="1411" spans="1:54" s="3" customFormat="1" hidden="1" x14ac:dyDescent="0.35">
      <c r="A1411" s="73">
        <f t="shared" si="716"/>
        <v>2019</v>
      </c>
      <c r="B1411" s="73" t="str">
        <f t="shared" si="717"/>
        <v>Nov</v>
      </c>
      <c r="C1411" s="74">
        <f t="shared" si="738"/>
        <v>17</v>
      </c>
      <c r="D1411" s="75">
        <f t="shared" si="718"/>
        <v>14</v>
      </c>
      <c r="E1411" s="76">
        <f t="shared" si="739"/>
        <v>0</v>
      </c>
      <c r="F1411" s="80">
        <v>13</v>
      </c>
      <c r="G1411" s="83"/>
      <c r="H1411" s="69" t="str">
        <f t="shared" si="740"/>
        <v>Senbur6_20191117_14_00</v>
      </c>
      <c r="I1411" s="70">
        <f t="shared" si="766"/>
        <v>1</v>
      </c>
      <c r="J1411" s="77" t="str">
        <f t="shared" si="766"/>
        <v>Senecio</v>
      </c>
      <c r="K1411" s="77" t="str">
        <f t="shared" si="766"/>
        <v>burtoni</v>
      </c>
      <c r="L1411" s="78">
        <f t="shared" si="766"/>
        <v>6</v>
      </c>
      <c r="M1411" s="78">
        <f t="shared" si="766"/>
        <v>12</v>
      </c>
      <c r="N1411" s="72">
        <f t="shared" si="766"/>
        <v>0</v>
      </c>
      <c r="O1411" s="45"/>
      <c r="P1411" s="46">
        <f t="shared" si="719"/>
        <v>1</v>
      </c>
      <c r="Q1411" s="47" t="str">
        <f t="shared" si="720"/>
        <v>14:00:13</v>
      </c>
      <c r="R1411" s="48" t="str">
        <f t="shared" si="721"/>
        <v>00:13</v>
      </c>
      <c r="S1411" s="49">
        <f t="shared" si="715"/>
        <v>45</v>
      </c>
      <c r="T1411" s="48" t="str">
        <f t="shared" si="722"/>
        <v>14</v>
      </c>
      <c r="U1411" s="50">
        <v>0</v>
      </c>
      <c r="V1411" s="51">
        <v>58</v>
      </c>
      <c r="W1411" s="52" t="str">
        <f t="shared" si="723"/>
        <v>00:58</v>
      </c>
      <c r="X1411" s="53" t="s">
        <v>61</v>
      </c>
      <c r="Y1411" s="97" t="s">
        <v>78</v>
      </c>
      <c r="Z1411" s="97"/>
      <c r="AA1411" s="48" t="s">
        <v>60</v>
      </c>
      <c r="AB1411" s="48" t="str">
        <f t="shared" si="724"/>
        <v>NA</v>
      </c>
      <c r="AC1411" s="54">
        <f t="shared" si="725"/>
        <v>0</v>
      </c>
      <c r="AD1411" s="55">
        <f t="shared" si="726"/>
        <v>1</v>
      </c>
      <c r="AE1411" s="55"/>
      <c r="AF1411" s="55"/>
      <c r="AG1411" s="56">
        <v>1</v>
      </c>
      <c r="AH1411" s="57">
        <v>1</v>
      </c>
      <c r="AI1411" s="56">
        <v>1</v>
      </c>
      <c r="AJ1411" s="57">
        <v>1</v>
      </c>
      <c r="AK1411" s="56">
        <v>1</v>
      </c>
      <c r="AL1411" s="57">
        <v>43</v>
      </c>
      <c r="AM1411" s="56"/>
      <c r="AN1411" s="57" t="str">
        <f t="shared" si="731"/>
        <v/>
      </c>
      <c r="AO1411" s="56"/>
      <c r="AP1411" s="57" t="str">
        <f t="shared" si="732"/>
        <v/>
      </c>
      <c r="AQ1411" s="56"/>
      <c r="AR1411" s="57" t="str">
        <f t="shared" si="733"/>
        <v/>
      </c>
      <c r="AS1411" s="56"/>
      <c r="AT1411" s="57" t="str">
        <f t="shared" si="734"/>
        <v/>
      </c>
      <c r="AU1411" s="58"/>
      <c r="AV1411" s="59"/>
      <c r="AW1411" s="59"/>
      <c r="AX1411" s="60"/>
      <c r="AY1411" s="61">
        <v>1</v>
      </c>
      <c r="AZ1411" s="62">
        <f t="shared" si="735"/>
        <v>1</v>
      </c>
      <c r="BA1411" s="61">
        <f t="shared" si="736"/>
        <v>0</v>
      </c>
      <c r="BB1411" s="62" t="str">
        <f t="shared" si="737"/>
        <v/>
      </c>
    </row>
    <row r="1412" spans="1:54" s="3" customFormat="1" hidden="1" x14ac:dyDescent="0.35">
      <c r="A1412" s="73">
        <f t="shared" si="716"/>
        <v>2019</v>
      </c>
      <c r="B1412" s="73" t="str">
        <f t="shared" si="717"/>
        <v>Nov</v>
      </c>
      <c r="C1412" s="74">
        <f t="shared" si="738"/>
        <v>17</v>
      </c>
      <c r="D1412" s="75">
        <f t="shared" si="718"/>
        <v>14</v>
      </c>
      <c r="E1412" s="76">
        <v>0</v>
      </c>
      <c r="F1412" s="80">
        <v>44</v>
      </c>
      <c r="G1412" s="83"/>
      <c r="H1412" s="69" t="str">
        <f t="shared" si="740"/>
        <v>Senbur6_20191117_14_00</v>
      </c>
      <c r="I1412" s="70">
        <f t="shared" si="766"/>
        <v>1</v>
      </c>
      <c r="J1412" s="77" t="str">
        <f t="shared" si="766"/>
        <v>Senecio</v>
      </c>
      <c r="K1412" s="77" t="str">
        <f t="shared" si="766"/>
        <v>burtoni</v>
      </c>
      <c r="L1412" s="78">
        <f t="shared" si="766"/>
        <v>6</v>
      </c>
      <c r="M1412" s="78">
        <f t="shared" si="766"/>
        <v>12</v>
      </c>
      <c r="N1412" s="72">
        <f t="shared" si="766"/>
        <v>0</v>
      </c>
      <c r="O1412" s="45"/>
      <c r="P1412" s="46">
        <f t="shared" si="719"/>
        <v>1</v>
      </c>
      <c r="Q1412" s="47" t="str">
        <f t="shared" si="720"/>
        <v>14:00:44</v>
      </c>
      <c r="R1412" s="48" t="str">
        <f t="shared" si="721"/>
        <v>00:44</v>
      </c>
      <c r="S1412" s="49">
        <f t="shared" si="715"/>
        <v>1</v>
      </c>
      <c r="T1412" s="48" t="str">
        <f t="shared" si="722"/>
        <v>14</v>
      </c>
      <c r="U1412" s="50">
        <v>0</v>
      </c>
      <c r="V1412" s="51">
        <v>45</v>
      </c>
      <c r="W1412" s="52" t="str">
        <f t="shared" si="723"/>
        <v>00:45</v>
      </c>
      <c r="X1412" s="53" t="s">
        <v>61</v>
      </c>
      <c r="Y1412" s="97" t="s">
        <v>78</v>
      </c>
      <c r="Z1412" s="97"/>
      <c r="AA1412" s="48" t="s">
        <v>60</v>
      </c>
      <c r="AB1412" s="48" t="str">
        <f t="shared" si="724"/>
        <v>NA</v>
      </c>
      <c r="AC1412" s="54">
        <f t="shared" si="725"/>
        <v>0</v>
      </c>
      <c r="AD1412" s="55">
        <f t="shared" si="726"/>
        <v>1</v>
      </c>
      <c r="AE1412" s="55"/>
      <c r="AF1412" s="55"/>
      <c r="AG1412" s="56">
        <v>1</v>
      </c>
      <c r="AH1412" s="57">
        <f t="shared" si="728"/>
        <v>1</v>
      </c>
      <c r="AI1412" s="56"/>
      <c r="AJ1412" s="57" t="str">
        <f t="shared" si="729"/>
        <v/>
      </c>
      <c r="AK1412" s="56"/>
      <c r="AL1412" s="57" t="str">
        <f t="shared" si="730"/>
        <v/>
      </c>
      <c r="AM1412" s="56"/>
      <c r="AN1412" s="57" t="str">
        <f t="shared" si="731"/>
        <v/>
      </c>
      <c r="AO1412" s="56"/>
      <c r="AP1412" s="57" t="str">
        <f t="shared" si="732"/>
        <v/>
      </c>
      <c r="AQ1412" s="56"/>
      <c r="AR1412" s="57" t="str">
        <f t="shared" si="733"/>
        <v/>
      </c>
      <c r="AS1412" s="56"/>
      <c r="AT1412" s="57" t="str">
        <f t="shared" si="734"/>
        <v/>
      </c>
      <c r="AU1412" s="58"/>
      <c r="AV1412" s="59"/>
      <c r="AW1412" s="59"/>
      <c r="AX1412" s="60"/>
      <c r="AY1412" s="61">
        <f t="shared" si="742"/>
        <v>0</v>
      </c>
      <c r="AZ1412" s="62" t="str">
        <f t="shared" si="735"/>
        <v/>
      </c>
      <c r="BA1412" s="61">
        <f t="shared" si="736"/>
        <v>0</v>
      </c>
      <c r="BB1412" s="62" t="str">
        <f t="shared" si="737"/>
        <v/>
      </c>
    </row>
    <row r="1413" spans="1:54" s="3" customFormat="1" hidden="1" x14ac:dyDescent="0.35">
      <c r="A1413" s="73">
        <f t="shared" si="716"/>
        <v>2019</v>
      </c>
      <c r="B1413" s="73" t="str">
        <f t="shared" si="717"/>
        <v>Nov</v>
      </c>
      <c r="C1413" s="74">
        <f t="shared" si="738"/>
        <v>17</v>
      </c>
      <c r="D1413" s="75">
        <f t="shared" si="718"/>
        <v>14</v>
      </c>
      <c r="E1413" s="76">
        <v>0</v>
      </c>
      <c r="F1413" s="80"/>
      <c r="G1413" s="83"/>
      <c r="H1413" s="69" t="str">
        <f t="shared" si="740"/>
        <v>Senbur6_20191117_14_00</v>
      </c>
      <c r="I1413" s="70">
        <f t="shared" si="766"/>
        <v>1</v>
      </c>
      <c r="J1413" s="77" t="str">
        <f t="shared" si="766"/>
        <v>Senecio</v>
      </c>
      <c r="K1413" s="77" t="str">
        <f t="shared" si="766"/>
        <v>burtoni</v>
      </c>
      <c r="L1413" s="78">
        <f t="shared" si="766"/>
        <v>6</v>
      </c>
      <c r="M1413" s="78">
        <f t="shared" si="766"/>
        <v>12</v>
      </c>
      <c r="N1413" s="72">
        <f t="shared" si="766"/>
        <v>0</v>
      </c>
      <c r="O1413" s="45"/>
      <c r="P1413" s="46" t="str">
        <f t="shared" si="719"/>
        <v/>
      </c>
      <c r="Q1413" s="47" t="str">
        <f t="shared" si="720"/>
        <v/>
      </c>
      <c r="R1413" s="48" t="e">
        <f t="shared" si="721"/>
        <v>#VALUE!</v>
      </c>
      <c r="S1413" s="49" t="e">
        <f t="shared" si="715"/>
        <v>#VALUE!</v>
      </c>
      <c r="T1413" s="48" t="str">
        <f t="shared" si="722"/>
        <v/>
      </c>
      <c r="U1413" s="50"/>
      <c r="V1413" s="51"/>
      <c r="W1413" s="52" t="e">
        <f t="shared" si="723"/>
        <v>#VALUE!</v>
      </c>
      <c r="X1413" s="53"/>
      <c r="Y1413" s="53"/>
      <c r="Z1413" s="53"/>
      <c r="AA1413" s="48"/>
      <c r="AB1413" s="48" t="str">
        <f t="shared" si="724"/>
        <v/>
      </c>
      <c r="AC1413" s="54" t="e">
        <f t="shared" si="725"/>
        <v>#VALUE!</v>
      </c>
      <c r="AD1413" s="55" t="str">
        <f t="shared" si="726"/>
        <v/>
      </c>
      <c r="AE1413" s="55"/>
      <c r="AF1413" s="55"/>
      <c r="AG1413" s="56" t="str">
        <f t="shared" si="727"/>
        <v/>
      </c>
      <c r="AH1413" s="57" t="str">
        <f t="shared" si="728"/>
        <v/>
      </c>
      <c r="AI1413" s="56"/>
      <c r="AJ1413" s="57" t="str">
        <f t="shared" si="729"/>
        <v/>
      </c>
      <c r="AK1413" s="56"/>
      <c r="AL1413" s="57" t="str">
        <f t="shared" si="730"/>
        <v/>
      </c>
      <c r="AM1413" s="56"/>
      <c r="AN1413" s="57" t="str">
        <f t="shared" si="731"/>
        <v/>
      </c>
      <c r="AO1413" s="56"/>
      <c r="AP1413" s="57" t="str">
        <f t="shared" si="732"/>
        <v/>
      </c>
      <c r="AQ1413" s="56"/>
      <c r="AR1413" s="57" t="str">
        <f t="shared" si="733"/>
        <v/>
      </c>
      <c r="AS1413" s="56"/>
      <c r="AT1413" s="57" t="str">
        <f t="shared" si="734"/>
        <v/>
      </c>
      <c r="AU1413" s="58"/>
      <c r="AV1413" s="59"/>
      <c r="AW1413" s="59"/>
      <c r="AX1413" s="60"/>
      <c r="AY1413" s="61" t="str">
        <f t="shared" si="742"/>
        <v/>
      </c>
      <c r="AZ1413" s="62" t="str">
        <f t="shared" si="735"/>
        <v/>
      </c>
      <c r="BA1413" s="61" t="str">
        <f t="shared" si="736"/>
        <v/>
      </c>
      <c r="BB1413" s="62" t="str">
        <f t="shared" si="737"/>
        <v/>
      </c>
    </row>
    <row r="1414" spans="1:54" s="3" customFormat="1" hidden="1" x14ac:dyDescent="0.35">
      <c r="A1414" s="73">
        <f t="shared" si="716"/>
        <v>2019</v>
      </c>
      <c r="B1414" s="73" t="str">
        <f t="shared" si="717"/>
        <v>Nov</v>
      </c>
      <c r="C1414" s="74">
        <f t="shared" si="738"/>
        <v>17</v>
      </c>
      <c r="D1414" s="75">
        <f t="shared" si="718"/>
        <v>14</v>
      </c>
      <c r="E1414" s="76">
        <f t="shared" si="739"/>
        <v>1</v>
      </c>
      <c r="F1414" s="80">
        <v>38</v>
      </c>
      <c r="G1414" s="83"/>
      <c r="H1414" s="69" t="str">
        <f t="shared" si="740"/>
        <v>Senbur6_20191117_14_00</v>
      </c>
      <c r="I1414" s="70">
        <f t="shared" si="766"/>
        <v>1</v>
      </c>
      <c r="J1414" s="77" t="str">
        <f t="shared" si="766"/>
        <v>Senecio</v>
      </c>
      <c r="K1414" s="77" t="str">
        <f t="shared" si="766"/>
        <v>burtoni</v>
      </c>
      <c r="L1414" s="78">
        <f t="shared" si="766"/>
        <v>6</v>
      </c>
      <c r="M1414" s="78">
        <f t="shared" si="766"/>
        <v>12</v>
      </c>
      <c r="N1414" s="72">
        <f t="shared" si="766"/>
        <v>0</v>
      </c>
      <c r="O1414" s="45"/>
      <c r="P1414" s="46">
        <f t="shared" si="719"/>
        <v>1</v>
      </c>
      <c r="Q1414" s="47" t="str">
        <f t="shared" si="720"/>
        <v>14:01:38</v>
      </c>
      <c r="R1414" s="48" t="str">
        <f t="shared" si="721"/>
        <v>01:38</v>
      </c>
      <c r="S1414" s="49">
        <f t="shared" si="715"/>
        <v>79</v>
      </c>
      <c r="T1414" s="48" t="str">
        <f t="shared" si="722"/>
        <v>14</v>
      </c>
      <c r="U1414" s="50">
        <v>2</v>
      </c>
      <c r="V1414" s="51">
        <v>57</v>
      </c>
      <c r="W1414" s="52" t="str">
        <f t="shared" si="723"/>
        <v>02:57</v>
      </c>
      <c r="X1414" s="53" t="s">
        <v>73</v>
      </c>
      <c r="Y1414" s="97" t="s">
        <v>90</v>
      </c>
      <c r="Z1414" s="97"/>
      <c r="AA1414" s="48" t="s">
        <v>63</v>
      </c>
      <c r="AB1414" s="48" t="str">
        <f t="shared" si="724"/>
        <v>NA</v>
      </c>
      <c r="AC1414" s="54">
        <f t="shared" si="725"/>
        <v>0</v>
      </c>
      <c r="AD1414" s="55">
        <v>2</v>
      </c>
      <c r="AE1414" s="55"/>
      <c r="AF1414" s="55"/>
      <c r="AG1414" s="56">
        <v>1</v>
      </c>
      <c r="AH1414" s="57">
        <v>11</v>
      </c>
      <c r="AI1414" s="56"/>
      <c r="AJ1414" s="57" t="str">
        <f t="shared" si="729"/>
        <v/>
      </c>
      <c r="AK1414" s="56">
        <v>1</v>
      </c>
      <c r="AL1414" s="57">
        <v>68</v>
      </c>
      <c r="AM1414" s="56"/>
      <c r="AN1414" s="57" t="str">
        <f t="shared" si="731"/>
        <v/>
      </c>
      <c r="AO1414" s="56"/>
      <c r="AP1414" s="57" t="str">
        <f t="shared" si="732"/>
        <v/>
      </c>
      <c r="AQ1414" s="56"/>
      <c r="AR1414" s="57" t="str">
        <f t="shared" si="733"/>
        <v/>
      </c>
      <c r="AS1414" s="56"/>
      <c r="AT1414" s="57" t="str">
        <f t="shared" si="734"/>
        <v/>
      </c>
      <c r="AU1414" s="58"/>
      <c r="AV1414" s="59"/>
      <c r="AW1414" s="59"/>
      <c r="AX1414" s="60"/>
      <c r="AY1414" s="61">
        <v>1</v>
      </c>
      <c r="AZ1414" s="62">
        <f t="shared" si="735"/>
        <v>2</v>
      </c>
      <c r="BA1414" s="61">
        <f t="shared" si="736"/>
        <v>0</v>
      </c>
      <c r="BB1414" s="62" t="str">
        <f t="shared" si="737"/>
        <v/>
      </c>
    </row>
    <row r="1415" spans="1:54" s="3" customFormat="1" hidden="1" x14ac:dyDescent="0.35">
      <c r="A1415" s="73">
        <f t="shared" si="716"/>
        <v>2019</v>
      </c>
      <c r="B1415" s="73" t="str">
        <f t="shared" si="717"/>
        <v>Nov</v>
      </c>
      <c r="C1415" s="74">
        <f t="shared" si="738"/>
        <v>17</v>
      </c>
      <c r="D1415" s="75">
        <f t="shared" si="718"/>
        <v>14</v>
      </c>
      <c r="E1415" s="76">
        <f t="shared" si="739"/>
        <v>2</v>
      </c>
      <c r="F1415" s="80"/>
      <c r="G1415" s="83"/>
      <c r="H1415" s="69" t="str">
        <f t="shared" si="740"/>
        <v>Senbur6_20191117_14_00</v>
      </c>
      <c r="I1415" s="70">
        <f t="shared" si="766"/>
        <v>1</v>
      </c>
      <c r="J1415" s="77" t="str">
        <f t="shared" si="766"/>
        <v>Senecio</v>
      </c>
      <c r="K1415" s="77" t="str">
        <f t="shared" si="766"/>
        <v>burtoni</v>
      </c>
      <c r="L1415" s="78">
        <f t="shared" si="766"/>
        <v>6</v>
      </c>
      <c r="M1415" s="78">
        <f t="shared" si="766"/>
        <v>12</v>
      </c>
      <c r="N1415" s="72">
        <f t="shared" si="766"/>
        <v>0</v>
      </c>
      <c r="O1415" s="45"/>
      <c r="P1415" s="46" t="str">
        <f t="shared" si="719"/>
        <v/>
      </c>
      <c r="Q1415" s="47" t="str">
        <f t="shared" si="720"/>
        <v/>
      </c>
      <c r="R1415" s="48" t="e">
        <f t="shared" si="721"/>
        <v>#VALUE!</v>
      </c>
      <c r="S1415" s="49" t="e">
        <f t="shared" ref="S1415:S1446" si="767">IF(T1415&lt;D1415, (T1415*3600+U1415*60+V1415)+((23*3600+59*60+60)-(D1415*3600+E1415*60+LEFT(F1415,2))), (T1415*3600+U1415*60+V1415)-(D1415*3600+E1415*60+LEFT(F1415,2)))</f>
        <v>#VALUE!</v>
      </c>
      <c r="T1415" s="48" t="str">
        <f t="shared" si="722"/>
        <v/>
      </c>
      <c r="U1415" s="50"/>
      <c r="V1415" s="51"/>
      <c r="W1415" s="52" t="e">
        <f t="shared" si="723"/>
        <v>#VALUE!</v>
      </c>
      <c r="X1415" s="53"/>
      <c r="Y1415" s="53"/>
      <c r="Z1415" s="53"/>
      <c r="AA1415" s="48" t="e">
        <f>INDEX([1]!VISITORS[INSECT ORDER], MATCH(X1415,[1]!VISITORS[NAME USED],0))</f>
        <v>#REF!</v>
      </c>
      <c r="AB1415" s="48" t="e">
        <f t="shared" si="724"/>
        <v>#REF!</v>
      </c>
      <c r="AC1415" s="54" t="e">
        <f t="shared" si="725"/>
        <v>#VALUE!</v>
      </c>
      <c r="AD1415" s="55" t="str">
        <f t="shared" si="726"/>
        <v/>
      </c>
      <c r="AE1415" s="55"/>
      <c r="AF1415" s="55"/>
      <c r="AG1415" s="56" t="str">
        <f t="shared" si="727"/>
        <v/>
      </c>
      <c r="AH1415" s="57" t="str">
        <f t="shared" si="728"/>
        <v/>
      </c>
      <c r="AI1415" s="56"/>
      <c r="AJ1415" s="57" t="str">
        <f t="shared" si="729"/>
        <v/>
      </c>
      <c r="AK1415" s="56"/>
      <c r="AL1415" s="57" t="str">
        <f t="shared" si="730"/>
        <v/>
      </c>
      <c r="AM1415" s="56"/>
      <c r="AN1415" s="57" t="str">
        <f t="shared" si="731"/>
        <v/>
      </c>
      <c r="AO1415" s="56"/>
      <c r="AP1415" s="57" t="str">
        <f t="shared" si="732"/>
        <v/>
      </c>
      <c r="AQ1415" s="56"/>
      <c r="AR1415" s="57" t="str">
        <f t="shared" si="733"/>
        <v/>
      </c>
      <c r="AS1415" s="56"/>
      <c r="AT1415" s="57" t="str">
        <f t="shared" si="734"/>
        <v/>
      </c>
      <c r="AU1415" s="58"/>
      <c r="AV1415" s="59"/>
      <c r="AW1415" s="59"/>
      <c r="AX1415" s="60"/>
      <c r="AY1415" s="61" t="str">
        <f t="shared" si="742"/>
        <v/>
      </c>
      <c r="AZ1415" s="62" t="str">
        <f t="shared" si="735"/>
        <v/>
      </c>
      <c r="BA1415" s="61" t="str">
        <f t="shared" si="736"/>
        <v/>
      </c>
      <c r="BB1415" s="62" t="str">
        <f t="shared" si="737"/>
        <v/>
      </c>
    </row>
    <row r="1416" spans="1:54" s="3" customFormat="1" hidden="1" x14ac:dyDescent="0.35">
      <c r="A1416" s="73">
        <f t="shared" ref="A1416:A1421" si="768">A1415</f>
        <v>2019</v>
      </c>
      <c r="B1416" s="73" t="str">
        <f t="shared" ref="B1416:B1421" si="769">IF(C1415-C1416&gt;0, TEXT(DATE(2016,(MONTH(DATEVALUE(B1415&amp;"1"))+1),1),"mmm"), B1415)</f>
        <v>Nov</v>
      </c>
      <c r="C1416" s="74">
        <f t="shared" si="738"/>
        <v>17</v>
      </c>
      <c r="D1416" s="75">
        <f t="shared" ref="D1416:D1421" si="770">IF(IF(E1415=59,D1415+1,D1415)=24,0,IF(E1415=59,D1415+1,D1415))</f>
        <v>14</v>
      </c>
      <c r="E1416" s="76">
        <f t="shared" ref="E1416:E1421" si="771">IF(E1415&lt;59,E1415+1,0)</f>
        <v>3</v>
      </c>
      <c r="F1416" s="80">
        <v>37</v>
      </c>
      <c r="G1416" s="83"/>
      <c r="H1416" s="69" t="str">
        <f t="shared" si="740"/>
        <v>Senbur6_20191117_14_00</v>
      </c>
      <c r="I1416" s="70">
        <f t="shared" si="766"/>
        <v>1</v>
      </c>
      <c r="J1416" s="77" t="str">
        <f t="shared" si="766"/>
        <v>Senecio</v>
      </c>
      <c r="K1416" s="77" t="str">
        <f t="shared" si="766"/>
        <v>burtoni</v>
      </c>
      <c r="L1416" s="78">
        <f t="shared" si="766"/>
        <v>6</v>
      </c>
      <c r="M1416" s="78">
        <f t="shared" si="766"/>
        <v>12</v>
      </c>
      <c r="N1416" s="72">
        <f t="shared" si="766"/>
        <v>0</v>
      </c>
      <c r="O1416" s="45"/>
      <c r="P1416" s="46">
        <f t="shared" ref="P1416:P1446" si="772">IF(F1416="","",1)</f>
        <v>1</v>
      </c>
      <c r="Q1416" s="47" t="str">
        <f t="shared" ref="Q1416:Q1446" si="773">TEXT(IF(P1416=1,CONCATENATE($D1416,":",$E1416,":",(LEFT($F1416,2))),""),"hh:mm:ss")</f>
        <v>14:03:37</v>
      </c>
      <c r="R1416" s="48" t="str">
        <f t="shared" ref="R1416:R1446" si="774">TEXT(Q1416-TIME(0,RIGHT($H1416,2),$G$9)+(Q1416&gt;TIME(0,RIGHT($H1416,2),$G$9)),"mm:ss")</f>
        <v>03:37</v>
      </c>
      <c r="S1416" s="49">
        <f t="shared" si="767"/>
        <v>81</v>
      </c>
      <c r="T1416" s="48" t="str">
        <f t="shared" ref="T1416:T1446" si="775">TEXT(IF(P1416=1,D1416,""),"00")</f>
        <v>14</v>
      </c>
      <c r="U1416" s="50">
        <v>4</v>
      </c>
      <c r="V1416" s="51">
        <v>58</v>
      </c>
      <c r="W1416" s="52" t="str">
        <f t="shared" ref="W1416:W1446" si="776">IF(O1416=0,TEXT(TIME(T1416,U1416,V1416)-TIME(D1416,E1416,RIGHT(F1416,2))+TIME(0,LEFT(R1416,2),RIGHT(R1416,2)),"mm:ss"),TEXT(TIME(T1416,U1416,V1416)-TIME(D1416,E1416,RIGHT(F1416,2))+TIME(0,LEFT(R1416,2),RIGHT(R1416,2))-TIME(0,($G$10*O1416),0),"mm:ss"))</f>
        <v>04:58</v>
      </c>
      <c r="X1416" s="53" t="s">
        <v>61</v>
      </c>
      <c r="Y1416" s="97" t="s">
        <v>84</v>
      </c>
      <c r="Z1416" s="97" t="s">
        <v>80</v>
      </c>
      <c r="AA1416" s="48" t="s">
        <v>60</v>
      </c>
      <c r="AB1416" s="48" t="s">
        <v>64</v>
      </c>
      <c r="AC1416" s="54">
        <f t="shared" ref="AC1416:AC1446" si="777">IF(SUM(AH1416,AJ1416,AL1416,AN1416,AP1416,AR1416,AT1416)=S1416,,"")</f>
        <v>0</v>
      </c>
      <c r="AD1416" s="55">
        <v>2</v>
      </c>
      <c r="AE1416" s="55"/>
      <c r="AF1416" s="55"/>
      <c r="AG1416" s="56" t="str">
        <f t="shared" ref="AG1416:AG1446" si="778">IF(OR(X1416="Something small"),1,"")</f>
        <v/>
      </c>
      <c r="AH1416" s="57" t="str">
        <f t="shared" ref="AH1416:AH1446" si="779">IF(AG1416=1,$S1416,"")</f>
        <v/>
      </c>
      <c r="AI1416" s="56">
        <v>1</v>
      </c>
      <c r="AJ1416" s="57">
        <v>2</v>
      </c>
      <c r="AK1416" s="56">
        <v>1</v>
      </c>
      <c r="AL1416" s="57">
        <v>79</v>
      </c>
      <c r="AM1416" s="56"/>
      <c r="AN1416" s="57" t="str">
        <f t="shared" ref="AN1416:AN1446" si="780">IF(AM1416=1,$S1416,"")</f>
        <v/>
      </c>
      <c r="AO1416" s="56"/>
      <c r="AP1416" s="57" t="str">
        <f t="shared" ref="AP1416:AP1446" si="781">IF(AO1416=1,$S1416,"")</f>
        <v/>
      </c>
      <c r="AQ1416" s="56"/>
      <c r="AR1416" s="57" t="str">
        <f t="shared" ref="AR1416:AR1446" si="782">IF(AQ1416=1,$S1416,"")</f>
        <v/>
      </c>
      <c r="AS1416" s="56"/>
      <c r="AT1416" s="57" t="str">
        <f t="shared" ref="AT1416:AT1446" si="783">IF(AS1416=1,$S1416,"")</f>
        <v/>
      </c>
      <c r="AU1416" s="58"/>
      <c r="AV1416" s="59"/>
      <c r="AW1416" s="59"/>
      <c r="AX1416" s="60"/>
      <c r="AY1416" s="61">
        <v>1</v>
      </c>
      <c r="AZ1416" s="62">
        <f t="shared" ref="AZ1416:AZ1446" si="784">IF(AY1416=1,AD1416,"")</f>
        <v>2</v>
      </c>
      <c r="BA1416" s="61">
        <f t="shared" ref="BA1416:BA1446" si="785">IF(P1416=1,0,"")</f>
        <v>0</v>
      </c>
      <c r="BB1416" s="62" t="str">
        <f t="shared" ref="BB1416:BB1446" si="786">IF(BA1416=1,AD1416,"")</f>
        <v/>
      </c>
    </row>
    <row r="1417" spans="1:54" s="3" customFormat="1" hidden="1" x14ac:dyDescent="0.35">
      <c r="A1417" s="73">
        <f t="shared" si="768"/>
        <v>2019</v>
      </c>
      <c r="B1417" s="73" t="str">
        <f t="shared" si="769"/>
        <v>Nov</v>
      </c>
      <c r="C1417" s="74">
        <f t="shared" ref="C1417:C1444" si="787">IF(AND(D1417=0, E1417=0), IF(TEXT(C1416,"dd")=TEXT(EOMONTH(DATE(A1416,MONTH(DATEVALUE(B1416&amp;"1")),C1416),0), "dd"), 1, C1416+1), C1416)</f>
        <v>17</v>
      </c>
      <c r="D1417" s="75">
        <f t="shared" si="770"/>
        <v>14</v>
      </c>
      <c r="E1417" s="76">
        <f t="shared" si="771"/>
        <v>4</v>
      </c>
      <c r="F1417" s="80">
        <v>41</v>
      </c>
      <c r="G1417" s="83"/>
      <c r="H1417" s="69" t="str">
        <f t="shared" ref="H1417:H1444" si="788">IF(AND(OR(E1416=$G$3,E1416=$G$4,E1416=$G$5,E1416=$G$6,E1416=$G$7,E1416=$G$8),E1416&lt;&gt;RIGHT(H1416,2)),CONCATENATE(LEFT(J1417,3),LEFT(K1417,3),L1417,"_",A1417,TEXT(MONTH(DATEVALUE(B1417&amp;"1")),"00"),TEXT(C1417,"00"),"_",TEXT(D1417,"00"),"_",TEXT(E1416,"00")),IF(AND(OR(E1417=$G$3,E1417=$G$4,E1417=$G$5,E1417=$G$6,E1417=$G$7,E1417=$G$8),OR(F1417="",F1417&gt;$G$9-1)),CONCATENATE(LEFT(J1417,3),LEFT(K1417,3),L1417,"_",A1417,TEXT(MONTH(DATEVALUE(B1417&amp;"1")),"00"),TEXT(C1417,"00"),"_",TEXT(D1417,"00"),"_",TEXT(E1417,"00")),H1416))</f>
        <v>Senbur6_20191117_14_00</v>
      </c>
      <c r="I1417" s="70">
        <f t="shared" ref="I1417:N1432" si="789">I1416</f>
        <v>1</v>
      </c>
      <c r="J1417" s="77" t="str">
        <f t="shared" si="789"/>
        <v>Senecio</v>
      </c>
      <c r="K1417" s="77" t="str">
        <f t="shared" si="789"/>
        <v>burtoni</v>
      </c>
      <c r="L1417" s="78">
        <f t="shared" si="789"/>
        <v>6</v>
      </c>
      <c r="M1417" s="78">
        <f t="shared" si="789"/>
        <v>12</v>
      </c>
      <c r="N1417" s="72">
        <f t="shared" si="789"/>
        <v>0</v>
      </c>
      <c r="O1417" s="45"/>
      <c r="P1417" s="46">
        <f t="shared" si="772"/>
        <v>1</v>
      </c>
      <c r="Q1417" s="47" t="str">
        <f t="shared" si="773"/>
        <v>14:04:41</v>
      </c>
      <c r="R1417" s="48" t="str">
        <f t="shared" si="774"/>
        <v>04:41</v>
      </c>
      <c r="S1417" s="49">
        <f t="shared" si="767"/>
        <v>71</v>
      </c>
      <c r="T1417" s="48" t="str">
        <f t="shared" si="775"/>
        <v>14</v>
      </c>
      <c r="U1417" s="50">
        <v>5</v>
      </c>
      <c r="V1417" s="51">
        <v>52</v>
      </c>
      <c r="W1417" s="52" t="str">
        <f t="shared" si="776"/>
        <v>05:52</v>
      </c>
      <c r="X1417" s="53" t="s">
        <v>61</v>
      </c>
      <c r="Y1417" s="97" t="s">
        <v>84</v>
      </c>
      <c r="Z1417" s="97" t="s">
        <v>80</v>
      </c>
      <c r="AA1417" s="48" t="s">
        <v>60</v>
      </c>
      <c r="AB1417" s="48" t="str">
        <f t="shared" ref="AB1417:AB1446" si="790">IF(AA1417&lt;&gt;0,"NA","")</f>
        <v>NA</v>
      </c>
      <c r="AC1417" s="54">
        <f t="shared" si="777"/>
        <v>0</v>
      </c>
      <c r="AD1417" s="55">
        <v>5</v>
      </c>
      <c r="AE1417" s="55"/>
      <c r="AF1417" s="55"/>
      <c r="AG1417" s="56">
        <v>1</v>
      </c>
      <c r="AH1417" s="57">
        <v>35</v>
      </c>
      <c r="AI1417" s="56">
        <v>1</v>
      </c>
      <c r="AJ1417" s="57">
        <v>3</v>
      </c>
      <c r="AK1417" s="56">
        <v>1</v>
      </c>
      <c r="AL1417" s="57">
        <v>33</v>
      </c>
      <c r="AM1417" s="56"/>
      <c r="AN1417" s="57" t="str">
        <f t="shared" si="780"/>
        <v/>
      </c>
      <c r="AO1417" s="56"/>
      <c r="AP1417" s="57" t="str">
        <f t="shared" si="781"/>
        <v/>
      </c>
      <c r="AQ1417" s="56"/>
      <c r="AR1417" s="57" t="str">
        <f t="shared" si="782"/>
        <v/>
      </c>
      <c r="AS1417" s="56"/>
      <c r="AT1417" s="57" t="str">
        <f t="shared" si="783"/>
        <v/>
      </c>
      <c r="AU1417" s="58"/>
      <c r="AV1417" s="59"/>
      <c r="AW1417" s="59"/>
      <c r="AX1417" s="60"/>
      <c r="AY1417" s="61">
        <v>1</v>
      </c>
      <c r="AZ1417" s="62">
        <f t="shared" si="784"/>
        <v>5</v>
      </c>
      <c r="BA1417" s="61">
        <f t="shared" si="785"/>
        <v>0</v>
      </c>
      <c r="BB1417" s="62" t="str">
        <f t="shared" si="786"/>
        <v/>
      </c>
    </row>
    <row r="1418" spans="1:54" s="3" customFormat="1" hidden="1" x14ac:dyDescent="0.35">
      <c r="A1418" s="73">
        <f t="shared" si="768"/>
        <v>2019</v>
      </c>
      <c r="B1418" s="73" t="str">
        <f t="shared" si="769"/>
        <v>Nov</v>
      </c>
      <c r="C1418" s="74">
        <f t="shared" si="787"/>
        <v>17</v>
      </c>
      <c r="D1418" s="75">
        <f t="shared" si="770"/>
        <v>14</v>
      </c>
      <c r="E1418" s="76">
        <v>4</v>
      </c>
      <c r="F1418" s="80">
        <v>41</v>
      </c>
      <c r="G1418" s="83"/>
      <c r="H1418" s="69" t="str">
        <f t="shared" si="788"/>
        <v>Senbur6_20191117_14_00</v>
      </c>
      <c r="I1418" s="70">
        <f t="shared" si="789"/>
        <v>1</v>
      </c>
      <c r="J1418" s="77" t="str">
        <f t="shared" si="789"/>
        <v>Senecio</v>
      </c>
      <c r="K1418" s="77" t="str">
        <f t="shared" si="789"/>
        <v>burtoni</v>
      </c>
      <c r="L1418" s="78">
        <f t="shared" si="789"/>
        <v>6</v>
      </c>
      <c r="M1418" s="78">
        <f t="shared" si="789"/>
        <v>12</v>
      </c>
      <c r="N1418" s="72">
        <f t="shared" si="789"/>
        <v>0</v>
      </c>
      <c r="O1418" s="45"/>
      <c r="P1418" s="46">
        <f t="shared" si="772"/>
        <v>1</v>
      </c>
      <c r="Q1418" s="47" t="str">
        <f t="shared" si="773"/>
        <v>14:04:41</v>
      </c>
      <c r="R1418" s="48" t="str">
        <f t="shared" si="774"/>
        <v>04:41</v>
      </c>
      <c r="S1418" s="49">
        <f t="shared" si="767"/>
        <v>10</v>
      </c>
      <c r="T1418" s="48" t="str">
        <f t="shared" si="775"/>
        <v>14</v>
      </c>
      <c r="U1418" s="50">
        <v>4</v>
      </c>
      <c r="V1418" s="51">
        <v>51</v>
      </c>
      <c r="W1418" s="52" t="str">
        <f t="shared" si="776"/>
        <v>04:51</v>
      </c>
      <c r="X1418" s="53" t="s">
        <v>61</v>
      </c>
      <c r="Y1418" s="97" t="s">
        <v>78</v>
      </c>
      <c r="Z1418" s="97"/>
      <c r="AA1418" s="48" t="s">
        <v>60</v>
      </c>
      <c r="AB1418" s="48" t="str">
        <f t="shared" si="790"/>
        <v>NA</v>
      </c>
      <c r="AC1418" s="54">
        <f t="shared" si="777"/>
        <v>0</v>
      </c>
      <c r="AD1418" s="55">
        <f t="shared" ref="AD1418:AD1443" si="791">IF(P1418=1,1,"")</f>
        <v>1</v>
      </c>
      <c r="AE1418" s="55"/>
      <c r="AF1418" s="55"/>
      <c r="AG1418" s="56" t="str">
        <f t="shared" si="778"/>
        <v/>
      </c>
      <c r="AH1418" s="57" t="str">
        <f t="shared" si="779"/>
        <v/>
      </c>
      <c r="AI1418" s="56"/>
      <c r="AJ1418" s="57" t="str">
        <f t="shared" ref="AJ1418:AJ1443" si="792">IF(AI1418=1,$S1418,"")</f>
        <v/>
      </c>
      <c r="AK1418" s="56">
        <v>1</v>
      </c>
      <c r="AL1418" s="57">
        <f t="shared" ref="AL1418:AL1443" si="793">IF(AK1418=1,$S1418,"")</f>
        <v>10</v>
      </c>
      <c r="AM1418" s="56"/>
      <c r="AN1418" s="57" t="str">
        <f t="shared" si="780"/>
        <v/>
      </c>
      <c r="AO1418" s="56"/>
      <c r="AP1418" s="57" t="str">
        <f t="shared" si="781"/>
        <v/>
      </c>
      <c r="AQ1418" s="56"/>
      <c r="AR1418" s="57" t="str">
        <f t="shared" si="782"/>
        <v/>
      </c>
      <c r="AS1418" s="56"/>
      <c r="AT1418" s="57" t="str">
        <f t="shared" si="783"/>
        <v/>
      </c>
      <c r="AU1418" s="58"/>
      <c r="AV1418" s="59"/>
      <c r="AW1418" s="59"/>
      <c r="AX1418" s="60"/>
      <c r="AY1418" s="61">
        <v>1</v>
      </c>
      <c r="AZ1418" s="62">
        <f t="shared" si="784"/>
        <v>1</v>
      </c>
      <c r="BA1418" s="61">
        <f t="shared" si="785"/>
        <v>0</v>
      </c>
      <c r="BB1418" s="62" t="str">
        <f t="shared" si="786"/>
        <v/>
      </c>
    </row>
    <row r="1419" spans="1:54" s="3" customFormat="1" hidden="1" x14ac:dyDescent="0.35">
      <c r="A1419" s="73">
        <f t="shared" si="768"/>
        <v>2019</v>
      </c>
      <c r="B1419" s="73" t="str">
        <f t="shared" si="769"/>
        <v>Nov</v>
      </c>
      <c r="C1419" s="74">
        <f t="shared" si="787"/>
        <v>17</v>
      </c>
      <c r="D1419" s="75">
        <f t="shared" si="770"/>
        <v>14</v>
      </c>
      <c r="E1419" s="76">
        <v>4</v>
      </c>
      <c r="F1419" s="80">
        <v>58</v>
      </c>
      <c r="G1419" s="83"/>
      <c r="H1419" s="69" t="str">
        <f t="shared" si="788"/>
        <v>Senbur6_20191117_14_00</v>
      </c>
      <c r="I1419" s="70">
        <f t="shared" si="789"/>
        <v>1</v>
      </c>
      <c r="J1419" s="77" t="str">
        <f t="shared" si="789"/>
        <v>Senecio</v>
      </c>
      <c r="K1419" s="77" t="str">
        <f t="shared" si="789"/>
        <v>burtoni</v>
      </c>
      <c r="L1419" s="78">
        <f t="shared" si="789"/>
        <v>6</v>
      </c>
      <c r="M1419" s="78">
        <f t="shared" si="789"/>
        <v>12</v>
      </c>
      <c r="N1419" s="72">
        <f t="shared" si="789"/>
        <v>0</v>
      </c>
      <c r="O1419" s="45"/>
      <c r="P1419" s="46">
        <f t="shared" si="772"/>
        <v>1</v>
      </c>
      <c r="Q1419" s="47" t="str">
        <f t="shared" si="773"/>
        <v>14:04:58</v>
      </c>
      <c r="R1419" s="48" t="str">
        <f t="shared" si="774"/>
        <v>04:58</v>
      </c>
      <c r="S1419" s="49">
        <f t="shared" si="767"/>
        <v>21</v>
      </c>
      <c r="T1419" s="48" t="str">
        <f t="shared" si="775"/>
        <v>14</v>
      </c>
      <c r="U1419" s="50">
        <v>5</v>
      </c>
      <c r="V1419" s="51">
        <v>19</v>
      </c>
      <c r="W1419" s="52" t="str">
        <f t="shared" si="776"/>
        <v>05:19</v>
      </c>
      <c r="X1419" s="53" t="s">
        <v>61</v>
      </c>
      <c r="Y1419" s="97" t="s">
        <v>84</v>
      </c>
      <c r="Z1419" s="97" t="s">
        <v>80</v>
      </c>
      <c r="AA1419" s="48" t="s">
        <v>60</v>
      </c>
      <c r="AB1419" s="48" t="str">
        <f t="shared" si="790"/>
        <v>NA</v>
      </c>
      <c r="AC1419" s="54">
        <f t="shared" si="777"/>
        <v>0</v>
      </c>
      <c r="AD1419" s="55">
        <v>2</v>
      </c>
      <c r="AE1419" s="55"/>
      <c r="AF1419" s="55"/>
      <c r="AG1419" s="56" t="str">
        <f t="shared" si="778"/>
        <v/>
      </c>
      <c r="AH1419" s="57" t="str">
        <f t="shared" si="779"/>
        <v/>
      </c>
      <c r="AI1419" s="56">
        <v>1</v>
      </c>
      <c r="AJ1419" s="57">
        <v>1</v>
      </c>
      <c r="AK1419" s="56">
        <v>1</v>
      </c>
      <c r="AL1419" s="57">
        <v>20</v>
      </c>
      <c r="AM1419" s="56"/>
      <c r="AN1419" s="57" t="str">
        <f t="shared" si="780"/>
        <v/>
      </c>
      <c r="AO1419" s="56"/>
      <c r="AP1419" s="57" t="str">
        <f t="shared" si="781"/>
        <v/>
      </c>
      <c r="AQ1419" s="56"/>
      <c r="AR1419" s="57" t="str">
        <f t="shared" si="782"/>
        <v/>
      </c>
      <c r="AS1419" s="56"/>
      <c r="AT1419" s="57" t="str">
        <f t="shared" si="783"/>
        <v/>
      </c>
      <c r="AU1419" s="58"/>
      <c r="AV1419" s="59"/>
      <c r="AW1419" s="59"/>
      <c r="AX1419" s="60"/>
      <c r="AY1419" s="61">
        <v>1</v>
      </c>
      <c r="AZ1419" s="62">
        <f t="shared" si="784"/>
        <v>2</v>
      </c>
      <c r="BA1419" s="61">
        <f t="shared" si="785"/>
        <v>0</v>
      </c>
      <c r="BB1419" s="62" t="str">
        <f t="shared" si="786"/>
        <v/>
      </c>
    </row>
    <row r="1420" spans="1:54" s="3" customFormat="1" hidden="1" x14ac:dyDescent="0.35">
      <c r="A1420" s="73">
        <f t="shared" si="768"/>
        <v>2019</v>
      </c>
      <c r="B1420" s="73" t="str">
        <f t="shared" si="769"/>
        <v>Nov</v>
      </c>
      <c r="C1420" s="74">
        <f t="shared" si="787"/>
        <v>17</v>
      </c>
      <c r="D1420" s="75">
        <f t="shared" si="770"/>
        <v>14</v>
      </c>
      <c r="E1420" s="76">
        <f t="shared" si="771"/>
        <v>5</v>
      </c>
      <c r="F1420" s="80">
        <v>47</v>
      </c>
      <c r="G1420" s="83"/>
      <c r="H1420" s="69" t="str">
        <f t="shared" si="788"/>
        <v>Senbur6_20191117_14_00</v>
      </c>
      <c r="I1420" s="70">
        <f t="shared" si="789"/>
        <v>1</v>
      </c>
      <c r="J1420" s="77" t="str">
        <f t="shared" si="789"/>
        <v>Senecio</v>
      </c>
      <c r="K1420" s="77" t="str">
        <f t="shared" si="789"/>
        <v>burtoni</v>
      </c>
      <c r="L1420" s="78">
        <f t="shared" si="789"/>
        <v>6</v>
      </c>
      <c r="M1420" s="78">
        <f t="shared" si="789"/>
        <v>12</v>
      </c>
      <c r="N1420" s="72">
        <f t="shared" si="789"/>
        <v>0</v>
      </c>
      <c r="O1420" s="45"/>
      <c r="P1420" s="46">
        <f t="shared" si="772"/>
        <v>1</v>
      </c>
      <c r="Q1420" s="47" t="str">
        <f t="shared" si="773"/>
        <v>14:05:47</v>
      </c>
      <c r="R1420" s="48" t="str">
        <f t="shared" si="774"/>
        <v>05:47</v>
      </c>
      <c r="S1420" s="49">
        <f t="shared" si="767"/>
        <v>76</v>
      </c>
      <c r="T1420" s="48" t="str">
        <f t="shared" si="775"/>
        <v>14</v>
      </c>
      <c r="U1420" s="50">
        <v>7</v>
      </c>
      <c r="V1420" s="51">
        <v>3</v>
      </c>
      <c r="W1420" s="52" t="str">
        <f t="shared" si="776"/>
        <v>07:03</v>
      </c>
      <c r="X1420" s="53" t="s">
        <v>61</v>
      </c>
      <c r="Y1420" s="97" t="s">
        <v>78</v>
      </c>
      <c r="Z1420" s="97"/>
      <c r="AA1420" s="48" t="s">
        <v>60</v>
      </c>
      <c r="AB1420" s="48" t="str">
        <f t="shared" si="790"/>
        <v>NA</v>
      </c>
      <c r="AC1420" s="54">
        <f t="shared" si="777"/>
        <v>0</v>
      </c>
      <c r="AD1420" s="55">
        <v>3</v>
      </c>
      <c r="AE1420" s="55"/>
      <c r="AF1420" s="55"/>
      <c r="AG1420" s="56">
        <v>1</v>
      </c>
      <c r="AH1420" s="57">
        <v>9</v>
      </c>
      <c r="AI1420" s="56">
        <v>1</v>
      </c>
      <c r="AJ1420" s="57">
        <v>2</v>
      </c>
      <c r="AK1420" s="56">
        <v>1</v>
      </c>
      <c r="AL1420" s="57">
        <v>65</v>
      </c>
      <c r="AM1420" s="56"/>
      <c r="AN1420" s="57" t="str">
        <f t="shared" si="780"/>
        <v/>
      </c>
      <c r="AO1420" s="56"/>
      <c r="AP1420" s="57" t="str">
        <f t="shared" si="781"/>
        <v/>
      </c>
      <c r="AQ1420" s="56"/>
      <c r="AR1420" s="57" t="str">
        <f t="shared" si="782"/>
        <v/>
      </c>
      <c r="AS1420" s="56"/>
      <c r="AT1420" s="57" t="str">
        <f t="shared" si="783"/>
        <v/>
      </c>
      <c r="AU1420" s="58"/>
      <c r="AV1420" s="59"/>
      <c r="AW1420" s="59"/>
      <c r="AX1420" s="60"/>
      <c r="AY1420" s="61">
        <v>1</v>
      </c>
      <c r="AZ1420" s="62">
        <f t="shared" si="784"/>
        <v>3</v>
      </c>
      <c r="BA1420" s="61">
        <f t="shared" si="785"/>
        <v>0</v>
      </c>
      <c r="BB1420" s="62" t="str">
        <f t="shared" si="786"/>
        <v/>
      </c>
    </row>
    <row r="1421" spans="1:54" s="3" customFormat="1" hidden="1" x14ac:dyDescent="0.35">
      <c r="A1421" s="73">
        <f t="shared" si="768"/>
        <v>2019</v>
      </c>
      <c r="B1421" s="73" t="str">
        <f t="shared" si="769"/>
        <v>Nov</v>
      </c>
      <c r="C1421" s="74">
        <f t="shared" si="787"/>
        <v>17</v>
      </c>
      <c r="D1421" s="75">
        <f t="shared" si="770"/>
        <v>14</v>
      </c>
      <c r="E1421" s="76">
        <f t="shared" si="771"/>
        <v>6</v>
      </c>
      <c r="F1421" s="80"/>
      <c r="G1421" s="83"/>
      <c r="H1421" s="69" t="str">
        <f t="shared" si="788"/>
        <v>Senbur6_20191117_14_00</v>
      </c>
      <c r="I1421" s="70">
        <f t="shared" si="789"/>
        <v>1</v>
      </c>
      <c r="J1421" s="77" t="str">
        <f t="shared" si="789"/>
        <v>Senecio</v>
      </c>
      <c r="K1421" s="77" t="str">
        <f t="shared" si="789"/>
        <v>burtoni</v>
      </c>
      <c r="L1421" s="78">
        <f t="shared" si="789"/>
        <v>6</v>
      </c>
      <c r="M1421" s="78">
        <f t="shared" si="789"/>
        <v>12</v>
      </c>
      <c r="N1421" s="72">
        <f t="shared" si="789"/>
        <v>0</v>
      </c>
      <c r="O1421" s="45"/>
      <c r="P1421" s="46" t="str">
        <f t="shared" si="772"/>
        <v/>
      </c>
      <c r="Q1421" s="47" t="str">
        <f t="shared" si="773"/>
        <v/>
      </c>
      <c r="R1421" s="48" t="e">
        <f t="shared" si="774"/>
        <v>#VALUE!</v>
      </c>
      <c r="S1421" s="49" t="e">
        <f t="shared" si="767"/>
        <v>#VALUE!</v>
      </c>
      <c r="T1421" s="48" t="str">
        <f t="shared" si="775"/>
        <v/>
      </c>
      <c r="U1421" s="50"/>
      <c r="V1421" s="51"/>
      <c r="W1421" s="52" t="e">
        <f t="shared" si="776"/>
        <v>#VALUE!</v>
      </c>
      <c r="X1421" s="53"/>
      <c r="Y1421" s="53"/>
      <c r="Z1421" s="53"/>
      <c r="AA1421" s="48" t="e">
        <f>INDEX([1]!VISITORS[INSECT ORDER], MATCH(X1421,[1]!VISITORS[NAME USED],0))</f>
        <v>#REF!</v>
      </c>
      <c r="AB1421" s="48" t="e">
        <f t="shared" si="790"/>
        <v>#REF!</v>
      </c>
      <c r="AC1421" s="54" t="e">
        <f t="shared" si="777"/>
        <v>#VALUE!</v>
      </c>
      <c r="AD1421" s="55" t="str">
        <f t="shared" si="791"/>
        <v/>
      </c>
      <c r="AE1421" s="55"/>
      <c r="AF1421" s="55"/>
      <c r="AG1421" s="56" t="str">
        <f t="shared" si="778"/>
        <v/>
      </c>
      <c r="AH1421" s="57" t="str">
        <f t="shared" si="779"/>
        <v/>
      </c>
      <c r="AI1421" s="56"/>
      <c r="AJ1421" s="57" t="str">
        <f t="shared" si="792"/>
        <v/>
      </c>
      <c r="AK1421" s="56"/>
      <c r="AL1421" s="57" t="str">
        <f t="shared" si="793"/>
        <v/>
      </c>
      <c r="AM1421" s="56"/>
      <c r="AN1421" s="57" t="str">
        <f t="shared" si="780"/>
        <v/>
      </c>
      <c r="AO1421" s="56"/>
      <c r="AP1421" s="57" t="str">
        <f t="shared" si="781"/>
        <v/>
      </c>
      <c r="AQ1421" s="56"/>
      <c r="AR1421" s="57" t="str">
        <f t="shared" si="782"/>
        <v/>
      </c>
      <c r="AS1421" s="56"/>
      <c r="AT1421" s="57" t="str">
        <f t="shared" si="783"/>
        <v/>
      </c>
      <c r="AU1421" s="58"/>
      <c r="AV1421" s="59"/>
      <c r="AW1421" s="59"/>
      <c r="AX1421" s="60"/>
      <c r="AY1421" s="61" t="str">
        <f t="shared" ref="AY1421:AY1443" si="794">IF(P1421=1,0,"")</f>
        <v/>
      </c>
      <c r="AZ1421" s="62" t="str">
        <f t="shared" si="784"/>
        <v/>
      </c>
      <c r="BA1421" s="61" t="str">
        <f t="shared" si="785"/>
        <v/>
      </c>
      <c r="BB1421" s="62" t="str">
        <f t="shared" si="786"/>
        <v/>
      </c>
    </row>
    <row r="1422" spans="1:54" s="3" customFormat="1" hidden="1" x14ac:dyDescent="0.35">
      <c r="A1422" s="73">
        <f>A1421</f>
        <v>2019</v>
      </c>
      <c r="B1422" s="73" t="str">
        <f>IF(C1421-C1422&gt;0, TEXT(DATE(2016,(MONTH(DATEVALUE(B1421&amp;"1"))+1),1),"mmm"), B1421)</f>
        <v>Nov</v>
      </c>
      <c r="C1422" s="74">
        <f t="shared" si="787"/>
        <v>17</v>
      </c>
      <c r="D1422" s="75">
        <f>IF(IF(E1421=59,D1421+1,D1421)=24,0,IF(E1421=59,D1421+1,D1421))</f>
        <v>14</v>
      </c>
      <c r="E1422" s="76">
        <f>IF(E1421&lt;59,E1421+1,0)</f>
        <v>7</v>
      </c>
      <c r="F1422" s="80">
        <v>4</v>
      </c>
      <c r="G1422" s="83"/>
      <c r="H1422" s="69" t="str">
        <f t="shared" si="788"/>
        <v>Senbur6_20191117_14_00</v>
      </c>
      <c r="I1422" s="70">
        <f t="shared" si="789"/>
        <v>1</v>
      </c>
      <c r="J1422" s="77" t="str">
        <f>J1421</f>
        <v>Senecio</v>
      </c>
      <c r="K1422" s="77" t="str">
        <f>K1421</f>
        <v>burtoni</v>
      </c>
      <c r="L1422" s="78">
        <f>L1421</f>
        <v>6</v>
      </c>
      <c r="M1422" s="78">
        <f t="shared" si="789"/>
        <v>12</v>
      </c>
      <c r="N1422" s="72">
        <f>N1421</f>
        <v>0</v>
      </c>
      <c r="O1422" s="45"/>
      <c r="P1422" s="46">
        <f t="shared" si="772"/>
        <v>1</v>
      </c>
      <c r="Q1422" s="47" t="str">
        <f t="shared" si="773"/>
        <v>14:07:04</v>
      </c>
      <c r="R1422" s="48" t="str">
        <f t="shared" si="774"/>
        <v>07:04</v>
      </c>
      <c r="S1422" s="49">
        <f t="shared" si="767"/>
        <v>104</v>
      </c>
      <c r="T1422" s="48" t="str">
        <f t="shared" si="775"/>
        <v>14</v>
      </c>
      <c r="U1422" s="50">
        <v>8</v>
      </c>
      <c r="V1422" s="51">
        <v>48</v>
      </c>
      <c r="W1422" s="52" t="str">
        <f t="shared" si="776"/>
        <v>08:48</v>
      </c>
      <c r="X1422" s="53" t="s">
        <v>61</v>
      </c>
      <c r="Y1422" s="97" t="s">
        <v>84</v>
      </c>
      <c r="Z1422" s="97" t="s">
        <v>80</v>
      </c>
      <c r="AA1422" s="48" t="s">
        <v>60</v>
      </c>
      <c r="AB1422" s="48" t="str">
        <f t="shared" si="790"/>
        <v>NA</v>
      </c>
      <c r="AC1422" s="54">
        <f t="shared" si="777"/>
        <v>0</v>
      </c>
      <c r="AD1422" s="55">
        <v>3</v>
      </c>
      <c r="AE1422" s="55"/>
      <c r="AF1422" s="55"/>
      <c r="AG1422" s="56">
        <v>1</v>
      </c>
      <c r="AH1422" s="57">
        <v>18</v>
      </c>
      <c r="AI1422" s="56">
        <v>1</v>
      </c>
      <c r="AJ1422" s="57">
        <v>2</v>
      </c>
      <c r="AK1422" s="56">
        <v>1</v>
      </c>
      <c r="AL1422" s="57">
        <v>84</v>
      </c>
      <c r="AM1422" s="56"/>
      <c r="AN1422" s="57" t="str">
        <f t="shared" si="780"/>
        <v/>
      </c>
      <c r="AO1422" s="56"/>
      <c r="AP1422" s="57" t="str">
        <f t="shared" si="781"/>
        <v/>
      </c>
      <c r="AQ1422" s="56"/>
      <c r="AR1422" s="57" t="str">
        <f t="shared" si="782"/>
        <v/>
      </c>
      <c r="AS1422" s="56"/>
      <c r="AT1422" s="57" t="str">
        <f t="shared" si="783"/>
        <v/>
      </c>
      <c r="AU1422" s="58"/>
      <c r="AV1422" s="59"/>
      <c r="AW1422" s="59"/>
      <c r="AX1422" s="60"/>
      <c r="AY1422" s="61">
        <v>1</v>
      </c>
      <c r="AZ1422" s="62">
        <f t="shared" si="784"/>
        <v>3</v>
      </c>
      <c r="BA1422" s="61">
        <f t="shared" si="785"/>
        <v>0</v>
      </c>
      <c r="BB1422" s="62" t="str">
        <f t="shared" si="786"/>
        <v/>
      </c>
    </row>
    <row r="1423" spans="1:54" s="3" customFormat="1" hidden="1" x14ac:dyDescent="0.35">
      <c r="A1423" s="73">
        <f t="shared" ref="A1423:A1428" si="795">A1422</f>
        <v>2019</v>
      </c>
      <c r="B1423" s="73" t="str">
        <f t="shared" ref="B1423:B1428" si="796">IF(C1422-C1423&gt;0, TEXT(DATE(2016,(MONTH(DATEVALUE(B1422&amp;"1"))+1),1),"mmm"), B1422)</f>
        <v>Nov</v>
      </c>
      <c r="C1423" s="74">
        <f t="shared" si="787"/>
        <v>17</v>
      </c>
      <c r="D1423" s="75">
        <f t="shared" ref="D1423:D1428" si="797">IF(IF(E1422=59,D1422+1,D1422)=24,0,IF(E1422=59,D1422+1,D1422))</f>
        <v>14</v>
      </c>
      <c r="E1423" s="76">
        <f t="shared" ref="E1423:E1428" si="798">IF(E1422&lt;59,E1422+1,0)</f>
        <v>8</v>
      </c>
      <c r="F1423" s="80"/>
      <c r="G1423" s="83"/>
      <c r="H1423" s="69" t="str">
        <f t="shared" si="788"/>
        <v>Senbur6_20191117_14_00</v>
      </c>
      <c r="I1423" s="70">
        <f t="shared" si="789"/>
        <v>1</v>
      </c>
      <c r="J1423" s="77" t="str">
        <f t="shared" si="789"/>
        <v>Senecio</v>
      </c>
      <c r="K1423" s="77" t="str">
        <f t="shared" si="789"/>
        <v>burtoni</v>
      </c>
      <c r="L1423" s="78">
        <f t="shared" si="789"/>
        <v>6</v>
      </c>
      <c r="M1423" s="78">
        <f t="shared" si="789"/>
        <v>12</v>
      </c>
      <c r="N1423" s="72">
        <f t="shared" si="789"/>
        <v>0</v>
      </c>
      <c r="O1423" s="45"/>
      <c r="P1423" s="46" t="str">
        <f t="shared" si="772"/>
        <v/>
      </c>
      <c r="Q1423" s="47" t="str">
        <f t="shared" si="773"/>
        <v/>
      </c>
      <c r="R1423" s="48" t="e">
        <f t="shared" si="774"/>
        <v>#VALUE!</v>
      </c>
      <c r="S1423" s="49" t="e">
        <f t="shared" si="767"/>
        <v>#VALUE!</v>
      </c>
      <c r="T1423" s="48" t="str">
        <f t="shared" si="775"/>
        <v/>
      </c>
      <c r="U1423" s="50"/>
      <c r="V1423" s="51"/>
      <c r="W1423" s="52" t="e">
        <f t="shared" si="776"/>
        <v>#VALUE!</v>
      </c>
      <c r="X1423" s="53"/>
      <c r="Y1423" s="53"/>
      <c r="Z1423" s="53"/>
      <c r="AA1423" s="48" t="e">
        <f>INDEX([1]!VISITORS[INSECT ORDER], MATCH(X1423,[1]!VISITORS[NAME USED],0))</f>
        <v>#REF!</v>
      </c>
      <c r="AB1423" s="48" t="e">
        <f t="shared" si="790"/>
        <v>#REF!</v>
      </c>
      <c r="AC1423" s="54" t="e">
        <f t="shared" si="777"/>
        <v>#VALUE!</v>
      </c>
      <c r="AD1423" s="55" t="str">
        <f t="shared" si="791"/>
        <v/>
      </c>
      <c r="AE1423" s="55"/>
      <c r="AF1423" s="55"/>
      <c r="AG1423" s="56" t="str">
        <f t="shared" si="778"/>
        <v/>
      </c>
      <c r="AH1423" s="57" t="str">
        <f t="shared" si="779"/>
        <v/>
      </c>
      <c r="AI1423" s="56"/>
      <c r="AJ1423" s="57" t="str">
        <f t="shared" si="792"/>
        <v/>
      </c>
      <c r="AK1423" s="56"/>
      <c r="AL1423" s="57" t="str">
        <f t="shared" si="793"/>
        <v/>
      </c>
      <c r="AM1423" s="56"/>
      <c r="AN1423" s="57" t="str">
        <f t="shared" si="780"/>
        <v/>
      </c>
      <c r="AO1423" s="56"/>
      <c r="AP1423" s="57" t="str">
        <f t="shared" si="781"/>
        <v/>
      </c>
      <c r="AQ1423" s="56"/>
      <c r="AR1423" s="57" t="str">
        <f t="shared" si="782"/>
        <v/>
      </c>
      <c r="AS1423" s="56"/>
      <c r="AT1423" s="57" t="str">
        <f t="shared" si="783"/>
        <v/>
      </c>
      <c r="AU1423" s="58"/>
      <c r="AV1423" s="59"/>
      <c r="AW1423" s="59"/>
      <c r="AX1423" s="60"/>
      <c r="AY1423" s="61" t="str">
        <f t="shared" si="794"/>
        <v/>
      </c>
      <c r="AZ1423" s="62" t="str">
        <f t="shared" si="784"/>
        <v/>
      </c>
      <c r="BA1423" s="61" t="str">
        <f t="shared" si="785"/>
        <v/>
      </c>
      <c r="BB1423" s="62" t="str">
        <f t="shared" si="786"/>
        <v/>
      </c>
    </row>
    <row r="1424" spans="1:54" s="3" customFormat="1" hidden="1" x14ac:dyDescent="0.35">
      <c r="A1424" s="73">
        <f t="shared" si="795"/>
        <v>2019</v>
      </c>
      <c r="B1424" s="73" t="str">
        <f t="shared" si="796"/>
        <v>Nov</v>
      </c>
      <c r="C1424" s="74">
        <f t="shared" si="787"/>
        <v>17</v>
      </c>
      <c r="D1424" s="75">
        <f t="shared" si="797"/>
        <v>14</v>
      </c>
      <c r="E1424" s="76">
        <f t="shared" si="798"/>
        <v>9</v>
      </c>
      <c r="F1424" s="80">
        <v>7</v>
      </c>
      <c r="G1424" s="83"/>
      <c r="H1424" s="69" t="str">
        <f t="shared" si="788"/>
        <v>Senbur6_20191117_14_00</v>
      </c>
      <c r="I1424" s="70">
        <f t="shared" si="789"/>
        <v>1</v>
      </c>
      <c r="J1424" s="77" t="str">
        <f t="shared" si="789"/>
        <v>Senecio</v>
      </c>
      <c r="K1424" s="77" t="str">
        <f t="shared" si="789"/>
        <v>burtoni</v>
      </c>
      <c r="L1424" s="78">
        <f t="shared" si="789"/>
        <v>6</v>
      </c>
      <c r="M1424" s="78">
        <f t="shared" si="789"/>
        <v>12</v>
      </c>
      <c r="N1424" s="72">
        <f t="shared" si="789"/>
        <v>0</v>
      </c>
      <c r="O1424" s="45"/>
      <c r="P1424" s="46">
        <f t="shared" si="772"/>
        <v>1</v>
      </c>
      <c r="Q1424" s="47" t="str">
        <f t="shared" si="773"/>
        <v>14:09:07</v>
      </c>
      <c r="R1424" s="48" t="str">
        <f t="shared" si="774"/>
        <v>09:07</v>
      </c>
      <c r="S1424" s="49">
        <f t="shared" si="767"/>
        <v>22</v>
      </c>
      <c r="T1424" s="48" t="str">
        <f t="shared" si="775"/>
        <v>14</v>
      </c>
      <c r="U1424" s="50">
        <v>9</v>
      </c>
      <c r="V1424" s="51">
        <v>29</v>
      </c>
      <c r="W1424" s="52" t="str">
        <f t="shared" si="776"/>
        <v>09:29</v>
      </c>
      <c r="X1424" s="53" t="s">
        <v>61</v>
      </c>
      <c r="Y1424" s="97" t="s">
        <v>84</v>
      </c>
      <c r="Z1424" s="97" t="s">
        <v>80</v>
      </c>
      <c r="AA1424" s="48" t="s">
        <v>60</v>
      </c>
      <c r="AB1424" s="48" t="str">
        <f t="shared" si="790"/>
        <v>NA</v>
      </c>
      <c r="AC1424" s="54">
        <f t="shared" si="777"/>
        <v>0</v>
      </c>
      <c r="AD1424" s="55">
        <f t="shared" si="791"/>
        <v>1</v>
      </c>
      <c r="AE1424" s="55"/>
      <c r="AF1424" s="55"/>
      <c r="AG1424" s="56">
        <v>1</v>
      </c>
      <c r="AH1424" s="57">
        <v>1</v>
      </c>
      <c r="AI1424" s="56"/>
      <c r="AJ1424" s="57" t="str">
        <f t="shared" si="792"/>
        <v/>
      </c>
      <c r="AK1424" s="56">
        <v>1</v>
      </c>
      <c r="AL1424" s="57">
        <v>21</v>
      </c>
      <c r="AM1424" s="56"/>
      <c r="AN1424" s="57" t="str">
        <f t="shared" si="780"/>
        <v/>
      </c>
      <c r="AO1424" s="56"/>
      <c r="AP1424" s="57" t="str">
        <f t="shared" si="781"/>
        <v/>
      </c>
      <c r="AQ1424" s="56"/>
      <c r="AR1424" s="57" t="str">
        <f t="shared" si="782"/>
        <v/>
      </c>
      <c r="AS1424" s="56"/>
      <c r="AT1424" s="57" t="str">
        <f t="shared" si="783"/>
        <v/>
      </c>
      <c r="AU1424" s="58"/>
      <c r="AV1424" s="59"/>
      <c r="AW1424" s="59"/>
      <c r="AX1424" s="60"/>
      <c r="AY1424" s="61">
        <v>1</v>
      </c>
      <c r="AZ1424" s="62">
        <f t="shared" si="784"/>
        <v>1</v>
      </c>
      <c r="BA1424" s="61">
        <f t="shared" si="785"/>
        <v>0</v>
      </c>
      <c r="BB1424" s="62" t="str">
        <f t="shared" si="786"/>
        <v/>
      </c>
    </row>
    <row r="1425" spans="1:54" s="3" customFormat="1" hidden="1" x14ac:dyDescent="0.35">
      <c r="A1425" s="73">
        <f t="shared" si="795"/>
        <v>2019</v>
      </c>
      <c r="B1425" s="73" t="str">
        <f t="shared" si="796"/>
        <v>Nov</v>
      </c>
      <c r="C1425" s="74">
        <f t="shared" si="787"/>
        <v>17</v>
      </c>
      <c r="D1425" s="75">
        <f t="shared" si="797"/>
        <v>14</v>
      </c>
      <c r="E1425" s="76">
        <v>9</v>
      </c>
      <c r="F1425" s="80">
        <v>9</v>
      </c>
      <c r="G1425" s="83"/>
      <c r="H1425" s="69" t="str">
        <f t="shared" si="788"/>
        <v>Senbur6_20191117_14_00</v>
      </c>
      <c r="I1425" s="70">
        <f t="shared" si="789"/>
        <v>1</v>
      </c>
      <c r="J1425" s="77" t="str">
        <f t="shared" si="789"/>
        <v>Senecio</v>
      </c>
      <c r="K1425" s="77" t="str">
        <f t="shared" si="789"/>
        <v>burtoni</v>
      </c>
      <c r="L1425" s="78">
        <f t="shared" si="789"/>
        <v>6</v>
      </c>
      <c r="M1425" s="78">
        <f t="shared" si="789"/>
        <v>12</v>
      </c>
      <c r="N1425" s="72">
        <f t="shared" si="789"/>
        <v>0</v>
      </c>
      <c r="O1425" s="45"/>
      <c r="P1425" s="46">
        <f t="shared" si="772"/>
        <v>1</v>
      </c>
      <c r="Q1425" s="47" t="str">
        <f t="shared" si="773"/>
        <v>14:09:09</v>
      </c>
      <c r="R1425" s="48" t="str">
        <f t="shared" si="774"/>
        <v>09:09</v>
      </c>
      <c r="S1425" s="49">
        <f t="shared" si="767"/>
        <v>17</v>
      </c>
      <c r="T1425" s="48" t="str">
        <f t="shared" si="775"/>
        <v>14</v>
      </c>
      <c r="U1425" s="50">
        <v>9</v>
      </c>
      <c r="V1425" s="51">
        <v>26</v>
      </c>
      <c r="W1425" s="52" t="str">
        <f t="shared" si="776"/>
        <v>09:26</v>
      </c>
      <c r="X1425" s="53" t="s">
        <v>61</v>
      </c>
      <c r="Y1425" s="97" t="s">
        <v>78</v>
      </c>
      <c r="Z1425" s="97"/>
      <c r="AA1425" s="48" t="s">
        <v>60</v>
      </c>
      <c r="AB1425" s="48" t="str">
        <f t="shared" si="790"/>
        <v>NA</v>
      </c>
      <c r="AC1425" s="54">
        <f t="shared" si="777"/>
        <v>0</v>
      </c>
      <c r="AD1425" s="55">
        <f t="shared" si="791"/>
        <v>1</v>
      </c>
      <c r="AE1425" s="55"/>
      <c r="AF1425" s="55"/>
      <c r="AG1425" s="56" t="str">
        <f t="shared" si="778"/>
        <v/>
      </c>
      <c r="AH1425" s="57" t="str">
        <f t="shared" si="779"/>
        <v/>
      </c>
      <c r="AI1425" s="56"/>
      <c r="AJ1425" s="57" t="str">
        <f t="shared" si="792"/>
        <v/>
      </c>
      <c r="AK1425" s="56">
        <v>1</v>
      </c>
      <c r="AL1425" s="57">
        <f t="shared" si="793"/>
        <v>17</v>
      </c>
      <c r="AM1425" s="56"/>
      <c r="AN1425" s="57" t="str">
        <f t="shared" si="780"/>
        <v/>
      </c>
      <c r="AO1425" s="56"/>
      <c r="AP1425" s="57" t="str">
        <f t="shared" si="781"/>
        <v/>
      </c>
      <c r="AQ1425" s="56"/>
      <c r="AR1425" s="57" t="str">
        <f t="shared" si="782"/>
        <v/>
      </c>
      <c r="AS1425" s="56"/>
      <c r="AT1425" s="57" t="str">
        <f t="shared" si="783"/>
        <v/>
      </c>
      <c r="AU1425" s="58"/>
      <c r="AV1425" s="59"/>
      <c r="AW1425" s="59"/>
      <c r="AX1425" s="60"/>
      <c r="AY1425" s="61">
        <v>1</v>
      </c>
      <c r="AZ1425" s="62">
        <f t="shared" si="784"/>
        <v>1</v>
      </c>
      <c r="BA1425" s="61">
        <f t="shared" si="785"/>
        <v>0</v>
      </c>
      <c r="BB1425" s="62" t="str">
        <f t="shared" si="786"/>
        <v/>
      </c>
    </row>
    <row r="1426" spans="1:54" s="3" customFormat="1" hidden="1" x14ac:dyDescent="0.35">
      <c r="A1426" s="73">
        <f t="shared" si="795"/>
        <v>2019</v>
      </c>
      <c r="B1426" s="73" t="str">
        <f t="shared" si="796"/>
        <v>Nov</v>
      </c>
      <c r="C1426" s="74">
        <f t="shared" si="787"/>
        <v>17</v>
      </c>
      <c r="D1426" s="75">
        <f t="shared" si="797"/>
        <v>14</v>
      </c>
      <c r="E1426" s="76">
        <v>9</v>
      </c>
      <c r="F1426" s="80">
        <v>27</v>
      </c>
      <c r="G1426" s="83"/>
      <c r="H1426" s="69" t="str">
        <f t="shared" si="788"/>
        <v>Senbur6_20191117_14_00</v>
      </c>
      <c r="I1426" s="70">
        <f t="shared" si="789"/>
        <v>1</v>
      </c>
      <c r="J1426" s="77" t="str">
        <f t="shared" si="789"/>
        <v>Senecio</v>
      </c>
      <c r="K1426" s="77" t="str">
        <f t="shared" si="789"/>
        <v>burtoni</v>
      </c>
      <c r="L1426" s="78">
        <f t="shared" si="789"/>
        <v>6</v>
      </c>
      <c r="M1426" s="78">
        <f t="shared" si="789"/>
        <v>12</v>
      </c>
      <c r="N1426" s="72">
        <f t="shared" si="789"/>
        <v>0</v>
      </c>
      <c r="O1426" s="45"/>
      <c r="P1426" s="46">
        <f t="shared" si="772"/>
        <v>1</v>
      </c>
      <c r="Q1426" s="47" t="str">
        <f t="shared" si="773"/>
        <v>14:09:27</v>
      </c>
      <c r="R1426" s="48" t="str">
        <f t="shared" si="774"/>
        <v>09:27</v>
      </c>
      <c r="S1426" s="49">
        <f t="shared" si="767"/>
        <v>180</v>
      </c>
      <c r="T1426" s="48" t="str">
        <f t="shared" si="775"/>
        <v>14</v>
      </c>
      <c r="U1426" s="50">
        <v>12</v>
      </c>
      <c r="V1426" s="51">
        <v>27</v>
      </c>
      <c r="W1426" s="52" t="str">
        <f t="shared" si="776"/>
        <v>12:27</v>
      </c>
      <c r="X1426" s="53" t="s">
        <v>61</v>
      </c>
      <c r="Y1426" s="97" t="s">
        <v>84</v>
      </c>
      <c r="Z1426" s="97" t="s">
        <v>80</v>
      </c>
      <c r="AA1426" s="48" t="s">
        <v>60</v>
      </c>
      <c r="AB1426" s="48" t="str">
        <f t="shared" si="790"/>
        <v>NA</v>
      </c>
      <c r="AC1426" s="54">
        <f t="shared" si="777"/>
        <v>0</v>
      </c>
      <c r="AD1426" s="55">
        <v>4</v>
      </c>
      <c r="AE1426" s="55"/>
      <c r="AF1426" s="55"/>
      <c r="AG1426" s="56">
        <v>1</v>
      </c>
      <c r="AH1426" s="57">
        <v>12</v>
      </c>
      <c r="AI1426" s="56">
        <v>1</v>
      </c>
      <c r="AJ1426" s="57">
        <v>2</v>
      </c>
      <c r="AK1426" s="56">
        <v>1</v>
      </c>
      <c r="AL1426" s="57">
        <v>166</v>
      </c>
      <c r="AM1426" s="56"/>
      <c r="AN1426" s="57" t="str">
        <f t="shared" si="780"/>
        <v/>
      </c>
      <c r="AO1426" s="56"/>
      <c r="AP1426" s="57" t="str">
        <f t="shared" si="781"/>
        <v/>
      </c>
      <c r="AQ1426" s="56"/>
      <c r="AR1426" s="57" t="str">
        <f t="shared" si="782"/>
        <v/>
      </c>
      <c r="AS1426" s="56"/>
      <c r="AT1426" s="57" t="str">
        <f t="shared" si="783"/>
        <v/>
      </c>
      <c r="AU1426" s="58"/>
      <c r="AV1426" s="59"/>
      <c r="AW1426" s="59"/>
      <c r="AX1426" s="60"/>
      <c r="AY1426" s="61">
        <v>1</v>
      </c>
      <c r="AZ1426" s="62">
        <v>4</v>
      </c>
      <c r="BA1426" s="61">
        <f t="shared" si="785"/>
        <v>0</v>
      </c>
      <c r="BB1426" s="62" t="str">
        <f t="shared" si="786"/>
        <v/>
      </c>
    </row>
    <row r="1427" spans="1:54" s="3" customFormat="1" hidden="1" x14ac:dyDescent="0.35">
      <c r="A1427" s="73">
        <f t="shared" si="795"/>
        <v>2019</v>
      </c>
      <c r="B1427" s="73" t="str">
        <f t="shared" si="796"/>
        <v>Nov</v>
      </c>
      <c r="C1427" s="74">
        <f t="shared" si="787"/>
        <v>17</v>
      </c>
      <c r="D1427" s="75">
        <f t="shared" si="797"/>
        <v>14</v>
      </c>
      <c r="E1427" s="76">
        <v>9</v>
      </c>
      <c r="F1427" s="80">
        <v>49</v>
      </c>
      <c r="G1427" s="83"/>
      <c r="H1427" s="69" t="str">
        <f t="shared" si="788"/>
        <v>Senbur6_20191117_14_00</v>
      </c>
      <c r="I1427" s="70">
        <f t="shared" si="789"/>
        <v>1</v>
      </c>
      <c r="J1427" s="77" t="str">
        <f t="shared" si="789"/>
        <v>Senecio</v>
      </c>
      <c r="K1427" s="77" t="str">
        <f t="shared" si="789"/>
        <v>burtoni</v>
      </c>
      <c r="L1427" s="78">
        <f t="shared" si="789"/>
        <v>6</v>
      </c>
      <c r="M1427" s="78">
        <f t="shared" si="789"/>
        <v>12</v>
      </c>
      <c r="N1427" s="72">
        <f t="shared" si="789"/>
        <v>0</v>
      </c>
      <c r="O1427" s="45"/>
      <c r="P1427" s="46">
        <f t="shared" si="772"/>
        <v>1</v>
      </c>
      <c r="Q1427" s="47" t="str">
        <f t="shared" si="773"/>
        <v>14:09:49</v>
      </c>
      <c r="R1427" s="48" t="str">
        <f t="shared" si="774"/>
        <v>09:49</v>
      </c>
      <c r="S1427" s="49">
        <f t="shared" si="767"/>
        <v>88</v>
      </c>
      <c r="T1427" s="48" t="str">
        <f t="shared" si="775"/>
        <v>14</v>
      </c>
      <c r="U1427" s="50">
        <v>11</v>
      </c>
      <c r="V1427" s="51">
        <v>17</v>
      </c>
      <c r="W1427" s="52" t="str">
        <f t="shared" si="776"/>
        <v>11:17</v>
      </c>
      <c r="X1427" s="53" t="s">
        <v>61</v>
      </c>
      <c r="Y1427" s="97" t="s">
        <v>78</v>
      </c>
      <c r="Z1427" s="97"/>
      <c r="AA1427" s="48" t="s">
        <v>60</v>
      </c>
      <c r="AB1427" s="48" t="str">
        <f t="shared" si="790"/>
        <v>NA</v>
      </c>
      <c r="AC1427" s="54">
        <f t="shared" si="777"/>
        <v>0</v>
      </c>
      <c r="AD1427" s="55">
        <v>2</v>
      </c>
      <c r="AE1427" s="55"/>
      <c r="AF1427" s="55"/>
      <c r="AG1427" s="56">
        <v>1</v>
      </c>
      <c r="AH1427" s="57">
        <v>3</v>
      </c>
      <c r="AI1427" s="56"/>
      <c r="AJ1427" s="57"/>
      <c r="AK1427" s="56">
        <v>1</v>
      </c>
      <c r="AL1427" s="57">
        <v>85</v>
      </c>
      <c r="AM1427" s="56"/>
      <c r="AN1427" s="57" t="str">
        <f t="shared" si="780"/>
        <v/>
      </c>
      <c r="AO1427" s="56"/>
      <c r="AP1427" s="57" t="str">
        <f t="shared" si="781"/>
        <v/>
      </c>
      <c r="AQ1427" s="56"/>
      <c r="AR1427" s="57" t="str">
        <f t="shared" si="782"/>
        <v/>
      </c>
      <c r="AS1427" s="56"/>
      <c r="AT1427" s="57" t="str">
        <f t="shared" si="783"/>
        <v/>
      </c>
      <c r="AU1427" s="58"/>
      <c r="AV1427" s="59"/>
      <c r="AW1427" s="59"/>
      <c r="AX1427" s="60"/>
      <c r="AY1427" s="61">
        <v>1</v>
      </c>
      <c r="AZ1427" s="62">
        <f t="shared" si="784"/>
        <v>2</v>
      </c>
      <c r="BA1427" s="61">
        <f t="shared" si="785"/>
        <v>0</v>
      </c>
      <c r="BB1427" s="62" t="str">
        <f t="shared" si="786"/>
        <v/>
      </c>
    </row>
    <row r="1428" spans="1:54" s="3" customFormat="1" hidden="1" x14ac:dyDescent="0.35">
      <c r="A1428" s="73">
        <f t="shared" si="795"/>
        <v>2019</v>
      </c>
      <c r="B1428" s="73" t="str">
        <f t="shared" si="796"/>
        <v>Nov</v>
      </c>
      <c r="C1428" s="74">
        <f t="shared" si="787"/>
        <v>17</v>
      </c>
      <c r="D1428" s="75">
        <f t="shared" si="797"/>
        <v>14</v>
      </c>
      <c r="E1428" s="76">
        <f t="shared" si="798"/>
        <v>10</v>
      </c>
      <c r="F1428" s="80">
        <v>2</v>
      </c>
      <c r="G1428" s="83"/>
      <c r="H1428" s="69" t="str">
        <f t="shared" si="788"/>
        <v>Senbur6_20191117_14_00</v>
      </c>
      <c r="I1428" s="70">
        <f t="shared" si="789"/>
        <v>1</v>
      </c>
      <c r="J1428" s="77" t="str">
        <f t="shared" si="789"/>
        <v>Senecio</v>
      </c>
      <c r="K1428" s="77" t="str">
        <f t="shared" si="789"/>
        <v>burtoni</v>
      </c>
      <c r="L1428" s="78">
        <f t="shared" si="789"/>
        <v>6</v>
      </c>
      <c r="M1428" s="78">
        <f t="shared" si="789"/>
        <v>12</v>
      </c>
      <c r="N1428" s="72">
        <f t="shared" si="789"/>
        <v>0</v>
      </c>
      <c r="O1428" s="45"/>
      <c r="P1428" s="46">
        <f t="shared" si="772"/>
        <v>1</v>
      </c>
      <c r="Q1428" s="47" t="str">
        <f t="shared" si="773"/>
        <v>14:10:02</v>
      </c>
      <c r="R1428" s="48" t="str">
        <f t="shared" si="774"/>
        <v>10:02</v>
      </c>
      <c r="S1428" s="49">
        <f t="shared" si="767"/>
        <v>74</v>
      </c>
      <c r="T1428" s="48" t="str">
        <f t="shared" si="775"/>
        <v>14</v>
      </c>
      <c r="U1428" s="50">
        <v>11</v>
      </c>
      <c r="V1428" s="51">
        <v>16</v>
      </c>
      <c r="W1428" s="52" t="str">
        <f t="shared" si="776"/>
        <v>11:16</v>
      </c>
      <c r="X1428" s="53" t="s">
        <v>61</v>
      </c>
      <c r="Y1428" s="97" t="s">
        <v>84</v>
      </c>
      <c r="Z1428" s="97" t="s">
        <v>80</v>
      </c>
      <c r="AA1428" s="48" t="s">
        <v>60</v>
      </c>
      <c r="AB1428" s="48" t="str">
        <f t="shared" si="790"/>
        <v>NA</v>
      </c>
      <c r="AC1428" s="54">
        <f t="shared" si="777"/>
        <v>0</v>
      </c>
      <c r="AD1428" s="55">
        <v>3</v>
      </c>
      <c r="AE1428" s="55"/>
      <c r="AF1428" s="55"/>
      <c r="AG1428" s="56">
        <v>1</v>
      </c>
      <c r="AH1428" s="57">
        <v>2</v>
      </c>
      <c r="AI1428" s="56">
        <v>1</v>
      </c>
      <c r="AJ1428" s="57">
        <v>1</v>
      </c>
      <c r="AK1428" s="56">
        <v>1</v>
      </c>
      <c r="AL1428" s="57">
        <v>71</v>
      </c>
      <c r="AM1428" s="56"/>
      <c r="AN1428" s="57" t="str">
        <f t="shared" si="780"/>
        <v/>
      </c>
      <c r="AO1428" s="56"/>
      <c r="AP1428" s="57" t="str">
        <f t="shared" si="781"/>
        <v/>
      </c>
      <c r="AQ1428" s="56"/>
      <c r="AR1428" s="57" t="str">
        <f t="shared" si="782"/>
        <v/>
      </c>
      <c r="AS1428" s="56"/>
      <c r="AT1428" s="57" t="str">
        <f t="shared" si="783"/>
        <v/>
      </c>
      <c r="AU1428" s="58"/>
      <c r="AV1428" s="59"/>
      <c r="AW1428" s="59"/>
      <c r="AX1428" s="60"/>
      <c r="AY1428" s="61">
        <v>1</v>
      </c>
      <c r="AZ1428" s="62">
        <f t="shared" si="784"/>
        <v>3</v>
      </c>
      <c r="BA1428" s="61">
        <f t="shared" si="785"/>
        <v>0</v>
      </c>
      <c r="BB1428" s="62" t="str">
        <f t="shared" si="786"/>
        <v/>
      </c>
    </row>
    <row r="1429" spans="1:54" s="3" customFormat="1" hidden="1" x14ac:dyDescent="0.35">
      <c r="A1429" s="73">
        <f>A1428</f>
        <v>2019</v>
      </c>
      <c r="B1429" s="73" t="str">
        <f>IF(C1428-C1429&gt;0, TEXT(DATE(2016,(MONTH(DATEVALUE(B1428&amp;"1"))+1),1),"mmm"), B1428)</f>
        <v>Nov</v>
      </c>
      <c r="C1429" s="74">
        <f t="shared" si="787"/>
        <v>17</v>
      </c>
      <c r="D1429" s="75">
        <f>IF(IF(E1428=59,D1428+1,D1428)=24,0,IF(E1428=59,D1428+1,D1428))</f>
        <v>14</v>
      </c>
      <c r="E1429" s="76">
        <f>IF(E1428&lt;59,E1428+1,0)</f>
        <v>11</v>
      </c>
      <c r="F1429" s="80">
        <v>19</v>
      </c>
      <c r="G1429" s="83"/>
      <c r="H1429" s="69" t="str">
        <f t="shared" si="788"/>
        <v>Senbur6_20191117_14_00</v>
      </c>
      <c r="I1429" s="70">
        <f t="shared" si="789"/>
        <v>1</v>
      </c>
      <c r="J1429" s="77" t="str">
        <f>J1428</f>
        <v>Senecio</v>
      </c>
      <c r="K1429" s="77" t="str">
        <f>K1428</f>
        <v>burtoni</v>
      </c>
      <c r="L1429" s="78">
        <f>L1428</f>
        <v>6</v>
      </c>
      <c r="M1429" s="78">
        <f t="shared" si="789"/>
        <v>12</v>
      </c>
      <c r="N1429" s="72">
        <f>N1428</f>
        <v>0</v>
      </c>
      <c r="O1429" s="45"/>
      <c r="P1429" s="46">
        <f t="shared" si="772"/>
        <v>1</v>
      </c>
      <c r="Q1429" s="47" t="str">
        <f t="shared" si="773"/>
        <v>14:11:19</v>
      </c>
      <c r="R1429" s="48" t="str">
        <f t="shared" si="774"/>
        <v>11:19</v>
      </c>
      <c r="S1429" s="49">
        <f t="shared" si="767"/>
        <v>68</v>
      </c>
      <c r="T1429" s="48" t="str">
        <f t="shared" si="775"/>
        <v>14</v>
      </c>
      <c r="U1429" s="50">
        <v>12</v>
      </c>
      <c r="V1429" s="51">
        <v>27</v>
      </c>
      <c r="W1429" s="52" t="str">
        <f t="shared" si="776"/>
        <v>12:27</v>
      </c>
      <c r="X1429" s="53" t="s">
        <v>61</v>
      </c>
      <c r="Y1429" s="97" t="s">
        <v>84</v>
      </c>
      <c r="Z1429" s="97" t="s">
        <v>80</v>
      </c>
      <c r="AA1429" s="48" t="s">
        <v>60</v>
      </c>
      <c r="AB1429" s="48" t="str">
        <f t="shared" si="790"/>
        <v>NA</v>
      </c>
      <c r="AC1429" s="54">
        <f t="shared" si="777"/>
        <v>0</v>
      </c>
      <c r="AD1429" s="55">
        <v>2</v>
      </c>
      <c r="AE1429" s="55"/>
      <c r="AF1429" s="55"/>
      <c r="AG1429" s="56">
        <v>1</v>
      </c>
      <c r="AH1429" s="57">
        <v>37</v>
      </c>
      <c r="AI1429" s="56">
        <v>1</v>
      </c>
      <c r="AJ1429" s="57">
        <v>1</v>
      </c>
      <c r="AK1429" s="56">
        <v>1</v>
      </c>
      <c r="AL1429" s="57">
        <v>30</v>
      </c>
      <c r="AM1429" s="56"/>
      <c r="AN1429" s="57" t="str">
        <f t="shared" si="780"/>
        <v/>
      </c>
      <c r="AO1429" s="56"/>
      <c r="AP1429" s="57" t="str">
        <f t="shared" si="781"/>
        <v/>
      </c>
      <c r="AQ1429" s="56"/>
      <c r="AR1429" s="57" t="str">
        <f t="shared" si="782"/>
        <v/>
      </c>
      <c r="AS1429" s="56"/>
      <c r="AT1429" s="57" t="str">
        <f t="shared" si="783"/>
        <v/>
      </c>
      <c r="AU1429" s="58"/>
      <c r="AV1429" s="59"/>
      <c r="AW1429" s="59"/>
      <c r="AX1429" s="60"/>
      <c r="AY1429" s="61">
        <v>1</v>
      </c>
      <c r="AZ1429" s="62">
        <f t="shared" si="784"/>
        <v>2</v>
      </c>
      <c r="BA1429" s="61">
        <f t="shared" si="785"/>
        <v>0</v>
      </c>
      <c r="BB1429" s="62" t="str">
        <f t="shared" si="786"/>
        <v/>
      </c>
    </row>
    <row r="1430" spans="1:54" s="3" customFormat="1" hidden="1" x14ac:dyDescent="0.35">
      <c r="A1430" s="73">
        <f t="shared" ref="A1430:A1496" si="799">A1429</f>
        <v>2019</v>
      </c>
      <c r="B1430" s="73" t="str">
        <f t="shared" ref="B1430:B1444" si="800">IF(C1429-C1430&gt;0, TEXT(DATE(2016,(MONTH(DATEVALUE(B1429&amp;"1"))+1),1),"mmm"), B1429)</f>
        <v>Nov</v>
      </c>
      <c r="C1430" s="74">
        <f t="shared" si="787"/>
        <v>17</v>
      </c>
      <c r="D1430" s="75">
        <f t="shared" ref="D1430:D1444" si="801">IF(IF(E1429=59,D1429+1,D1429)=24,0,IF(E1429=59,D1429+1,D1429))</f>
        <v>14</v>
      </c>
      <c r="E1430" s="76">
        <f t="shared" ref="E1430:E1494" si="802">IF(E1429&lt;59,E1429+1,0)</f>
        <v>12</v>
      </c>
      <c r="F1430" s="80">
        <v>25</v>
      </c>
      <c r="G1430" s="83"/>
      <c r="H1430" s="69" t="str">
        <f t="shared" si="788"/>
        <v>Senbur6_20191117_14_00</v>
      </c>
      <c r="I1430" s="70">
        <f t="shared" si="789"/>
        <v>1</v>
      </c>
      <c r="J1430" s="77" t="str">
        <f t="shared" si="789"/>
        <v>Senecio</v>
      </c>
      <c r="K1430" s="77" t="str">
        <f t="shared" si="789"/>
        <v>burtoni</v>
      </c>
      <c r="L1430" s="78">
        <f t="shared" si="789"/>
        <v>6</v>
      </c>
      <c r="M1430" s="78">
        <f t="shared" si="789"/>
        <v>12</v>
      </c>
      <c r="N1430" s="72">
        <f t="shared" si="789"/>
        <v>0</v>
      </c>
      <c r="O1430" s="45"/>
      <c r="P1430" s="46">
        <f t="shared" si="772"/>
        <v>1</v>
      </c>
      <c r="Q1430" s="47" t="str">
        <f t="shared" si="773"/>
        <v>14:12:25</v>
      </c>
      <c r="R1430" s="48" t="str">
        <f t="shared" si="774"/>
        <v>12:25</v>
      </c>
      <c r="S1430" s="49">
        <f t="shared" si="767"/>
        <v>11</v>
      </c>
      <c r="T1430" s="48" t="str">
        <f t="shared" si="775"/>
        <v>14</v>
      </c>
      <c r="U1430" s="50">
        <v>12</v>
      </c>
      <c r="V1430" s="51">
        <v>36</v>
      </c>
      <c r="W1430" s="52" t="str">
        <f t="shared" si="776"/>
        <v>12:36</v>
      </c>
      <c r="X1430" s="53" t="s">
        <v>61</v>
      </c>
      <c r="Y1430" s="97" t="s">
        <v>84</v>
      </c>
      <c r="Z1430" s="97" t="s">
        <v>80</v>
      </c>
      <c r="AA1430" s="48" t="s">
        <v>60</v>
      </c>
      <c r="AB1430" s="48" t="str">
        <f t="shared" si="790"/>
        <v>NA</v>
      </c>
      <c r="AC1430" s="54">
        <f t="shared" si="777"/>
        <v>0</v>
      </c>
      <c r="AD1430" s="55">
        <f t="shared" si="791"/>
        <v>1</v>
      </c>
      <c r="AE1430" s="55"/>
      <c r="AF1430" s="55"/>
      <c r="AG1430" s="56">
        <v>1</v>
      </c>
      <c r="AH1430" s="57">
        <v>2</v>
      </c>
      <c r="AI1430" s="56"/>
      <c r="AJ1430" s="57" t="str">
        <f t="shared" si="792"/>
        <v/>
      </c>
      <c r="AK1430" s="56">
        <v>1</v>
      </c>
      <c r="AL1430" s="57">
        <v>9</v>
      </c>
      <c r="AM1430" s="56"/>
      <c r="AN1430" s="57" t="str">
        <f t="shared" si="780"/>
        <v/>
      </c>
      <c r="AO1430" s="56"/>
      <c r="AP1430" s="57" t="str">
        <f t="shared" si="781"/>
        <v/>
      </c>
      <c r="AQ1430" s="56"/>
      <c r="AR1430" s="57" t="str">
        <f t="shared" si="782"/>
        <v/>
      </c>
      <c r="AS1430" s="56"/>
      <c r="AT1430" s="57" t="str">
        <f t="shared" si="783"/>
        <v/>
      </c>
      <c r="AU1430" s="58"/>
      <c r="AV1430" s="59"/>
      <c r="AW1430" s="59"/>
      <c r="AX1430" s="60"/>
      <c r="AY1430" s="61">
        <v>1</v>
      </c>
      <c r="AZ1430" s="62">
        <f t="shared" si="784"/>
        <v>1</v>
      </c>
      <c r="BA1430" s="61">
        <f t="shared" si="785"/>
        <v>0</v>
      </c>
      <c r="BB1430" s="62" t="str">
        <f t="shared" si="786"/>
        <v/>
      </c>
    </row>
    <row r="1431" spans="1:54" s="3" customFormat="1" hidden="1" x14ac:dyDescent="0.35">
      <c r="A1431" s="73">
        <f t="shared" si="799"/>
        <v>2019</v>
      </c>
      <c r="B1431" s="73" t="str">
        <f t="shared" si="800"/>
        <v>Nov</v>
      </c>
      <c r="C1431" s="74">
        <f t="shared" si="787"/>
        <v>17</v>
      </c>
      <c r="D1431" s="75">
        <f t="shared" si="801"/>
        <v>14</v>
      </c>
      <c r="E1431" s="76">
        <v>12</v>
      </c>
      <c r="F1431" s="80">
        <v>31</v>
      </c>
      <c r="G1431" s="83"/>
      <c r="H1431" s="69" t="str">
        <f t="shared" si="788"/>
        <v>Senbur6_20191117_14_00</v>
      </c>
      <c r="I1431" s="70">
        <f t="shared" si="789"/>
        <v>1</v>
      </c>
      <c r="J1431" s="77" t="str">
        <f t="shared" si="789"/>
        <v>Senecio</v>
      </c>
      <c r="K1431" s="77" t="str">
        <f t="shared" si="789"/>
        <v>burtoni</v>
      </c>
      <c r="L1431" s="78">
        <f t="shared" si="789"/>
        <v>6</v>
      </c>
      <c r="M1431" s="78">
        <f t="shared" si="789"/>
        <v>12</v>
      </c>
      <c r="N1431" s="72">
        <f t="shared" si="789"/>
        <v>0</v>
      </c>
      <c r="O1431" s="45"/>
      <c r="P1431" s="46">
        <f t="shared" si="772"/>
        <v>1</v>
      </c>
      <c r="Q1431" s="47" t="str">
        <f t="shared" si="773"/>
        <v>14:12:31</v>
      </c>
      <c r="R1431" s="48" t="str">
        <f t="shared" si="774"/>
        <v>12:31</v>
      </c>
      <c r="S1431" s="49">
        <f t="shared" si="767"/>
        <v>122</v>
      </c>
      <c r="T1431" s="48" t="str">
        <f t="shared" si="775"/>
        <v>14</v>
      </c>
      <c r="U1431" s="50">
        <v>14</v>
      </c>
      <c r="V1431" s="51">
        <v>33</v>
      </c>
      <c r="W1431" s="52" t="str">
        <f t="shared" si="776"/>
        <v>14:33</v>
      </c>
      <c r="X1431" s="53" t="s">
        <v>61</v>
      </c>
      <c r="Y1431" s="97" t="s">
        <v>84</v>
      </c>
      <c r="Z1431" s="97" t="s">
        <v>80</v>
      </c>
      <c r="AA1431" s="48" t="s">
        <v>60</v>
      </c>
      <c r="AB1431" s="48" t="s">
        <v>64</v>
      </c>
      <c r="AC1431" s="54">
        <f t="shared" si="777"/>
        <v>0</v>
      </c>
      <c r="AD1431" s="55">
        <v>5</v>
      </c>
      <c r="AE1431" s="55"/>
      <c r="AF1431" s="55"/>
      <c r="AG1431" s="56">
        <v>1</v>
      </c>
      <c r="AH1431" s="57">
        <v>5</v>
      </c>
      <c r="AI1431" s="56">
        <v>1</v>
      </c>
      <c r="AJ1431" s="57">
        <v>5</v>
      </c>
      <c r="AK1431" s="56">
        <v>1</v>
      </c>
      <c r="AL1431" s="57">
        <v>112</v>
      </c>
      <c r="AM1431" s="56"/>
      <c r="AN1431" s="57" t="str">
        <f t="shared" si="780"/>
        <v/>
      </c>
      <c r="AO1431" s="56"/>
      <c r="AP1431" s="57" t="str">
        <f t="shared" si="781"/>
        <v/>
      </c>
      <c r="AQ1431" s="56"/>
      <c r="AR1431" s="57" t="str">
        <f t="shared" si="782"/>
        <v/>
      </c>
      <c r="AS1431" s="56"/>
      <c r="AT1431" s="57" t="str">
        <f t="shared" si="783"/>
        <v/>
      </c>
      <c r="AU1431" s="58"/>
      <c r="AV1431" s="59"/>
      <c r="AW1431" s="59"/>
      <c r="AX1431" s="60"/>
      <c r="AY1431" s="61">
        <v>1</v>
      </c>
      <c r="AZ1431" s="62">
        <f t="shared" si="784"/>
        <v>5</v>
      </c>
      <c r="BA1431" s="61">
        <f t="shared" si="785"/>
        <v>0</v>
      </c>
      <c r="BB1431" s="62" t="str">
        <f t="shared" si="786"/>
        <v/>
      </c>
    </row>
    <row r="1432" spans="1:54" s="3" customFormat="1" hidden="1" x14ac:dyDescent="0.35">
      <c r="A1432" s="73">
        <f t="shared" si="799"/>
        <v>2019</v>
      </c>
      <c r="B1432" s="73" t="str">
        <f t="shared" si="800"/>
        <v>Nov</v>
      </c>
      <c r="C1432" s="74">
        <f t="shared" si="787"/>
        <v>17</v>
      </c>
      <c r="D1432" s="75">
        <f t="shared" si="801"/>
        <v>14</v>
      </c>
      <c r="E1432" s="76">
        <v>12</v>
      </c>
      <c r="F1432" s="80">
        <v>46</v>
      </c>
      <c r="G1432" s="83"/>
      <c r="H1432" s="69" t="str">
        <f t="shared" si="788"/>
        <v>Senbur6_20191117_14_00</v>
      </c>
      <c r="I1432" s="70">
        <f t="shared" si="789"/>
        <v>1</v>
      </c>
      <c r="J1432" s="77" t="str">
        <f t="shared" si="789"/>
        <v>Senecio</v>
      </c>
      <c r="K1432" s="77" t="str">
        <f t="shared" si="789"/>
        <v>burtoni</v>
      </c>
      <c r="L1432" s="78">
        <f t="shared" si="789"/>
        <v>6</v>
      </c>
      <c r="M1432" s="78">
        <f t="shared" si="789"/>
        <v>12</v>
      </c>
      <c r="N1432" s="72">
        <f t="shared" si="789"/>
        <v>0</v>
      </c>
      <c r="O1432" s="45"/>
      <c r="P1432" s="46">
        <f t="shared" si="772"/>
        <v>1</v>
      </c>
      <c r="Q1432" s="47" t="str">
        <f t="shared" si="773"/>
        <v>14:12:46</v>
      </c>
      <c r="R1432" s="48" t="str">
        <f t="shared" si="774"/>
        <v>12:46</v>
      </c>
      <c r="S1432" s="49">
        <f t="shared" si="767"/>
        <v>13</v>
      </c>
      <c r="T1432" s="48" t="str">
        <f t="shared" si="775"/>
        <v>14</v>
      </c>
      <c r="U1432" s="50">
        <v>12</v>
      </c>
      <c r="V1432" s="51">
        <v>59</v>
      </c>
      <c r="W1432" s="52" t="str">
        <f t="shared" si="776"/>
        <v>12:59</v>
      </c>
      <c r="X1432" s="53" t="s">
        <v>61</v>
      </c>
      <c r="Y1432" s="97" t="s">
        <v>82</v>
      </c>
      <c r="Z1432" s="97"/>
      <c r="AA1432" s="48" t="s">
        <v>60</v>
      </c>
      <c r="AB1432" s="48" t="str">
        <f t="shared" si="790"/>
        <v>NA</v>
      </c>
      <c r="AC1432" s="54">
        <f t="shared" si="777"/>
        <v>0</v>
      </c>
      <c r="AD1432" s="55">
        <v>2</v>
      </c>
      <c r="AE1432" s="55"/>
      <c r="AF1432" s="55"/>
      <c r="AG1432" s="56">
        <v>1</v>
      </c>
      <c r="AH1432" s="57">
        <v>11</v>
      </c>
      <c r="AI1432" s="56">
        <v>1</v>
      </c>
      <c r="AJ1432" s="57">
        <v>1</v>
      </c>
      <c r="AK1432" s="56">
        <v>1</v>
      </c>
      <c r="AL1432" s="57">
        <v>1</v>
      </c>
      <c r="AM1432" s="56"/>
      <c r="AN1432" s="57" t="str">
        <f t="shared" si="780"/>
        <v/>
      </c>
      <c r="AO1432" s="56"/>
      <c r="AP1432" s="57" t="str">
        <f t="shared" si="781"/>
        <v/>
      </c>
      <c r="AQ1432" s="56"/>
      <c r="AR1432" s="57" t="str">
        <f t="shared" si="782"/>
        <v/>
      </c>
      <c r="AS1432" s="56"/>
      <c r="AT1432" s="57" t="str">
        <f t="shared" si="783"/>
        <v/>
      </c>
      <c r="AU1432" s="58"/>
      <c r="AV1432" s="59"/>
      <c r="AW1432" s="59"/>
      <c r="AX1432" s="60"/>
      <c r="AY1432" s="61">
        <v>1</v>
      </c>
      <c r="AZ1432" s="62">
        <v>1</v>
      </c>
      <c r="BA1432" s="61">
        <f t="shared" si="785"/>
        <v>0</v>
      </c>
      <c r="BB1432" s="62" t="str">
        <f t="shared" si="786"/>
        <v/>
      </c>
    </row>
    <row r="1433" spans="1:54" s="3" customFormat="1" hidden="1" x14ac:dyDescent="0.35">
      <c r="A1433" s="73">
        <f t="shared" si="799"/>
        <v>2019</v>
      </c>
      <c r="B1433" s="73" t="str">
        <f t="shared" si="800"/>
        <v>Nov</v>
      </c>
      <c r="C1433" s="74">
        <f t="shared" si="787"/>
        <v>17</v>
      </c>
      <c r="D1433" s="75">
        <f t="shared" si="801"/>
        <v>14</v>
      </c>
      <c r="E1433" s="76">
        <f t="shared" si="802"/>
        <v>13</v>
      </c>
      <c r="F1433" s="80">
        <v>0</v>
      </c>
      <c r="G1433" s="83"/>
      <c r="H1433" s="69" t="str">
        <f t="shared" si="788"/>
        <v>Senbur6_20191117_14_00</v>
      </c>
      <c r="I1433" s="70">
        <f t="shared" ref="I1433:N1445" si="803">I1432</f>
        <v>1</v>
      </c>
      <c r="J1433" s="77" t="str">
        <f t="shared" si="803"/>
        <v>Senecio</v>
      </c>
      <c r="K1433" s="77" t="str">
        <f t="shared" si="803"/>
        <v>burtoni</v>
      </c>
      <c r="L1433" s="78">
        <f t="shared" si="803"/>
        <v>6</v>
      </c>
      <c r="M1433" s="78">
        <f t="shared" si="803"/>
        <v>12</v>
      </c>
      <c r="N1433" s="72">
        <f t="shared" si="803"/>
        <v>0</v>
      </c>
      <c r="O1433" s="45"/>
      <c r="P1433" s="46">
        <f t="shared" si="772"/>
        <v>1</v>
      </c>
      <c r="Q1433" s="47" t="str">
        <f t="shared" si="773"/>
        <v>14:13:00</v>
      </c>
      <c r="R1433" s="48" t="str">
        <f t="shared" si="774"/>
        <v>13:00</v>
      </c>
      <c r="S1433" s="49">
        <f t="shared" si="767"/>
        <v>569</v>
      </c>
      <c r="T1433" s="48" t="str">
        <f t="shared" si="775"/>
        <v>14</v>
      </c>
      <c r="U1433" s="50">
        <v>22</v>
      </c>
      <c r="V1433" s="51">
        <v>29</v>
      </c>
      <c r="W1433" s="52" t="str">
        <f t="shared" si="776"/>
        <v>22:29</v>
      </c>
      <c r="X1433" s="53" t="s">
        <v>61</v>
      </c>
      <c r="Y1433" s="97" t="s">
        <v>84</v>
      </c>
      <c r="Z1433" s="97" t="s">
        <v>80</v>
      </c>
      <c r="AA1433" s="48" t="s">
        <v>60</v>
      </c>
      <c r="AB1433" s="48" t="str">
        <f t="shared" si="790"/>
        <v>NA</v>
      </c>
      <c r="AC1433" s="54">
        <f t="shared" si="777"/>
        <v>0</v>
      </c>
      <c r="AD1433" s="55">
        <v>13</v>
      </c>
      <c r="AE1433" s="55"/>
      <c r="AF1433" s="55"/>
      <c r="AG1433" s="56">
        <v>1</v>
      </c>
      <c r="AH1433" s="57">
        <v>30</v>
      </c>
      <c r="AI1433" s="56">
        <v>1</v>
      </c>
      <c r="AJ1433" s="57">
        <v>15</v>
      </c>
      <c r="AK1433" s="56">
        <v>1</v>
      </c>
      <c r="AL1433" s="57">
        <v>524</v>
      </c>
      <c r="AM1433" s="56"/>
      <c r="AN1433" s="57" t="str">
        <f t="shared" si="780"/>
        <v/>
      </c>
      <c r="AO1433" s="56"/>
      <c r="AP1433" s="57" t="str">
        <f t="shared" si="781"/>
        <v/>
      </c>
      <c r="AQ1433" s="56"/>
      <c r="AR1433" s="57" t="str">
        <f t="shared" si="782"/>
        <v/>
      </c>
      <c r="AS1433" s="56"/>
      <c r="AT1433" s="57" t="str">
        <f t="shared" si="783"/>
        <v/>
      </c>
      <c r="AU1433" s="58"/>
      <c r="AV1433" s="59"/>
      <c r="AW1433" s="59"/>
      <c r="AX1433" s="60"/>
      <c r="AY1433" s="61">
        <v>1</v>
      </c>
      <c r="AZ1433" s="62">
        <v>12</v>
      </c>
      <c r="BA1433" s="61">
        <f t="shared" si="785"/>
        <v>0</v>
      </c>
      <c r="BB1433" s="62" t="str">
        <f t="shared" si="786"/>
        <v/>
      </c>
    </row>
    <row r="1434" spans="1:54" s="3" customFormat="1" hidden="1" x14ac:dyDescent="0.35">
      <c r="A1434" s="73">
        <f t="shared" si="799"/>
        <v>2019</v>
      </c>
      <c r="B1434" s="73" t="str">
        <f t="shared" si="800"/>
        <v>Nov</v>
      </c>
      <c r="C1434" s="74">
        <f t="shared" si="787"/>
        <v>17</v>
      </c>
      <c r="D1434" s="75">
        <f t="shared" si="801"/>
        <v>14</v>
      </c>
      <c r="E1434" s="76">
        <v>13</v>
      </c>
      <c r="F1434" s="80">
        <v>20</v>
      </c>
      <c r="G1434" s="83"/>
      <c r="H1434" s="69" t="str">
        <f t="shared" si="788"/>
        <v>Senbur6_20191117_14_00</v>
      </c>
      <c r="I1434" s="70">
        <f t="shared" si="803"/>
        <v>1</v>
      </c>
      <c r="J1434" s="77" t="str">
        <f t="shared" si="803"/>
        <v>Senecio</v>
      </c>
      <c r="K1434" s="77" t="str">
        <f t="shared" si="803"/>
        <v>burtoni</v>
      </c>
      <c r="L1434" s="78">
        <f t="shared" si="803"/>
        <v>6</v>
      </c>
      <c r="M1434" s="78">
        <f t="shared" si="803"/>
        <v>12</v>
      </c>
      <c r="N1434" s="72">
        <f t="shared" si="803"/>
        <v>0</v>
      </c>
      <c r="O1434" s="45"/>
      <c r="P1434" s="46">
        <f t="shared" si="772"/>
        <v>1</v>
      </c>
      <c r="Q1434" s="47" t="str">
        <f t="shared" si="773"/>
        <v>14:13:20</v>
      </c>
      <c r="R1434" s="48" t="str">
        <f t="shared" si="774"/>
        <v>13:20</v>
      </c>
      <c r="S1434" s="49">
        <f t="shared" si="767"/>
        <v>74</v>
      </c>
      <c r="T1434" s="48" t="str">
        <f t="shared" si="775"/>
        <v>14</v>
      </c>
      <c r="U1434" s="50">
        <v>14</v>
      </c>
      <c r="V1434" s="51">
        <v>34</v>
      </c>
      <c r="W1434" s="52" t="str">
        <f t="shared" si="776"/>
        <v>14:34</v>
      </c>
      <c r="X1434" s="53" t="s">
        <v>61</v>
      </c>
      <c r="Y1434" s="97" t="s">
        <v>84</v>
      </c>
      <c r="Z1434" s="97" t="s">
        <v>80</v>
      </c>
      <c r="AA1434" s="48" t="s">
        <v>60</v>
      </c>
      <c r="AB1434" s="48" t="str">
        <f t="shared" si="790"/>
        <v>NA</v>
      </c>
      <c r="AC1434" s="54">
        <f t="shared" si="777"/>
        <v>0</v>
      </c>
      <c r="AD1434" s="55">
        <v>2</v>
      </c>
      <c r="AE1434" s="55"/>
      <c r="AF1434" s="55"/>
      <c r="AG1434" s="56">
        <v>1</v>
      </c>
      <c r="AH1434" s="57">
        <v>2</v>
      </c>
      <c r="AI1434" s="56">
        <v>1</v>
      </c>
      <c r="AJ1434" s="57">
        <v>1</v>
      </c>
      <c r="AK1434" s="56">
        <v>1</v>
      </c>
      <c r="AL1434" s="57">
        <v>71</v>
      </c>
      <c r="AM1434" s="56"/>
      <c r="AN1434" s="57" t="str">
        <f t="shared" si="780"/>
        <v/>
      </c>
      <c r="AO1434" s="56"/>
      <c r="AP1434" s="57" t="str">
        <f t="shared" si="781"/>
        <v/>
      </c>
      <c r="AQ1434" s="56"/>
      <c r="AR1434" s="57" t="str">
        <f t="shared" si="782"/>
        <v/>
      </c>
      <c r="AS1434" s="56"/>
      <c r="AT1434" s="57" t="str">
        <f t="shared" si="783"/>
        <v/>
      </c>
      <c r="AU1434" s="58"/>
      <c r="AV1434" s="59"/>
      <c r="AW1434" s="59"/>
      <c r="AX1434" s="60"/>
      <c r="AY1434" s="61">
        <v>1</v>
      </c>
      <c r="AZ1434" s="62">
        <f t="shared" si="784"/>
        <v>2</v>
      </c>
      <c r="BA1434" s="61">
        <f t="shared" si="785"/>
        <v>0</v>
      </c>
      <c r="BB1434" s="62" t="str">
        <f t="shared" si="786"/>
        <v/>
      </c>
    </row>
    <row r="1435" spans="1:54" s="3" customFormat="1" hidden="1" x14ac:dyDescent="0.35">
      <c r="A1435" s="73">
        <f t="shared" si="799"/>
        <v>2019</v>
      </c>
      <c r="B1435" s="73" t="str">
        <f t="shared" si="800"/>
        <v>Nov</v>
      </c>
      <c r="C1435" s="74">
        <f t="shared" si="787"/>
        <v>17</v>
      </c>
      <c r="D1435" s="75">
        <f t="shared" si="801"/>
        <v>14</v>
      </c>
      <c r="E1435" s="76">
        <v>13</v>
      </c>
      <c r="F1435" s="80">
        <v>28</v>
      </c>
      <c r="G1435" s="83"/>
      <c r="H1435" s="69" t="str">
        <f t="shared" si="788"/>
        <v>Senbur6_20191117_14_00</v>
      </c>
      <c r="I1435" s="70">
        <f t="shared" si="803"/>
        <v>1</v>
      </c>
      <c r="J1435" s="77" t="str">
        <f t="shared" si="803"/>
        <v>Senecio</v>
      </c>
      <c r="K1435" s="77" t="str">
        <f t="shared" si="803"/>
        <v>burtoni</v>
      </c>
      <c r="L1435" s="78">
        <f t="shared" si="803"/>
        <v>6</v>
      </c>
      <c r="M1435" s="78">
        <f t="shared" si="803"/>
        <v>12</v>
      </c>
      <c r="N1435" s="72">
        <f t="shared" si="803"/>
        <v>0</v>
      </c>
      <c r="O1435" s="45"/>
      <c r="P1435" s="46">
        <f t="shared" si="772"/>
        <v>1</v>
      </c>
      <c r="Q1435" s="47" t="str">
        <f t="shared" si="773"/>
        <v>14:13:28</v>
      </c>
      <c r="R1435" s="48" t="str">
        <f t="shared" si="774"/>
        <v>13:28</v>
      </c>
      <c r="S1435" s="49">
        <f t="shared" si="767"/>
        <v>7</v>
      </c>
      <c r="T1435" s="48" t="str">
        <f t="shared" si="775"/>
        <v>14</v>
      </c>
      <c r="U1435" s="50">
        <v>13</v>
      </c>
      <c r="V1435" s="51">
        <v>35</v>
      </c>
      <c r="W1435" s="52" t="str">
        <f t="shared" si="776"/>
        <v>13:35</v>
      </c>
      <c r="X1435" s="53" t="s">
        <v>61</v>
      </c>
      <c r="Y1435" s="97" t="s">
        <v>78</v>
      </c>
      <c r="Z1435" s="97"/>
      <c r="AA1435" s="48" t="s">
        <v>60</v>
      </c>
      <c r="AB1435" s="48" t="str">
        <f t="shared" si="790"/>
        <v>NA</v>
      </c>
      <c r="AC1435" s="54">
        <f t="shared" si="777"/>
        <v>0</v>
      </c>
      <c r="AD1435" s="55">
        <v>2</v>
      </c>
      <c r="AE1435" s="55"/>
      <c r="AF1435" s="55"/>
      <c r="AG1435" s="56">
        <v>1</v>
      </c>
      <c r="AH1435" s="57">
        <f t="shared" si="779"/>
        <v>7</v>
      </c>
      <c r="AI1435" s="56"/>
      <c r="AJ1435" s="57" t="str">
        <f t="shared" si="792"/>
        <v/>
      </c>
      <c r="AK1435" s="56"/>
      <c r="AL1435" s="57" t="str">
        <f t="shared" si="793"/>
        <v/>
      </c>
      <c r="AM1435" s="56"/>
      <c r="AN1435" s="57" t="str">
        <f t="shared" si="780"/>
        <v/>
      </c>
      <c r="AO1435" s="56"/>
      <c r="AP1435" s="57" t="str">
        <f t="shared" si="781"/>
        <v/>
      </c>
      <c r="AQ1435" s="56"/>
      <c r="AR1435" s="57" t="str">
        <f t="shared" si="782"/>
        <v/>
      </c>
      <c r="AS1435" s="56"/>
      <c r="AT1435" s="57" t="str">
        <f t="shared" si="783"/>
        <v/>
      </c>
      <c r="AU1435" s="58"/>
      <c r="AV1435" s="59"/>
      <c r="AW1435" s="59"/>
      <c r="AX1435" s="60"/>
      <c r="AY1435" s="61">
        <f t="shared" si="794"/>
        <v>0</v>
      </c>
      <c r="AZ1435" s="62" t="str">
        <f t="shared" si="784"/>
        <v/>
      </c>
      <c r="BA1435" s="61">
        <f t="shared" si="785"/>
        <v>0</v>
      </c>
      <c r="BB1435" s="62" t="str">
        <f t="shared" si="786"/>
        <v/>
      </c>
    </row>
    <row r="1436" spans="1:54" s="3" customFormat="1" hidden="1" x14ac:dyDescent="0.35">
      <c r="A1436" s="73">
        <f t="shared" si="799"/>
        <v>2019</v>
      </c>
      <c r="B1436" s="73" t="str">
        <f t="shared" si="800"/>
        <v>Nov</v>
      </c>
      <c r="C1436" s="74">
        <f t="shared" si="787"/>
        <v>17</v>
      </c>
      <c r="D1436" s="75">
        <f t="shared" si="801"/>
        <v>14</v>
      </c>
      <c r="E1436" s="76">
        <f t="shared" si="802"/>
        <v>14</v>
      </c>
      <c r="F1436" s="80">
        <v>37</v>
      </c>
      <c r="G1436" s="83"/>
      <c r="H1436" s="69" t="str">
        <f t="shared" si="788"/>
        <v>Senbur6_20191117_14_00</v>
      </c>
      <c r="I1436" s="70">
        <f t="shared" si="803"/>
        <v>1</v>
      </c>
      <c r="J1436" s="77" t="str">
        <f t="shared" si="803"/>
        <v>Senecio</v>
      </c>
      <c r="K1436" s="77" t="str">
        <f t="shared" si="803"/>
        <v>burtoni</v>
      </c>
      <c r="L1436" s="78">
        <f t="shared" si="803"/>
        <v>6</v>
      </c>
      <c r="M1436" s="78">
        <f t="shared" si="803"/>
        <v>12</v>
      </c>
      <c r="N1436" s="72">
        <f t="shared" si="803"/>
        <v>0</v>
      </c>
      <c r="O1436" s="45"/>
      <c r="P1436" s="46">
        <f t="shared" si="772"/>
        <v>1</v>
      </c>
      <c r="Q1436" s="47" t="str">
        <f t="shared" si="773"/>
        <v>14:14:37</v>
      </c>
      <c r="R1436" s="48" t="str">
        <f t="shared" si="774"/>
        <v>14:37</v>
      </c>
      <c r="S1436" s="49">
        <f t="shared" si="767"/>
        <v>62</v>
      </c>
      <c r="T1436" s="48" t="str">
        <f t="shared" si="775"/>
        <v>14</v>
      </c>
      <c r="U1436" s="50">
        <v>15</v>
      </c>
      <c r="V1436" s="51">
        <v>39</v>
      </c>
      <c r="W1436" s="52" t="str">
        <f t="shared" si="776"/>
        <v>15:39</v>
      </c>
      <c r="X1436" s="53" t="s">
        <v>61</v>
      </c>
      <c r="Y1436" s="97" t="s">
        <v>78</v>
      </c>
      <c r="Z1436" s="97"/>
      <c r="AA1436" s="48" t="s">
        <v>60</v>
      </c>
      <c r="AB1436" s="48" t="str">
        <f t="shared" si="790"/>
        <v>NA</v>
      </c>
      <c r="AC1436" s="54">
        <f t="shared" si="777"/>
        <v>0</v>
      </c>
      <c r="AD1436" s="55">
        <v>3</v>
      </c>
      <c r="AE1436" s="55"/>
      <c r="AF1436" s="55"/>
      <c r="AG1436" s="56">
        <v>1</v>
      </c>
      <c r="AH1436" s="57">
        <v>1</v>
      </c>
      <c r="AI1436" s="56">
        <v>1</v>
      </c>
      <c r="AJ1436" s="57">
        <v>2</v>
      </c>
      <c r="AK1436" s="56">
        <v>1</v>
      </c>
      <c r="AL1436" s="57">
        <v>59</v>
      </c>
      <c r="AM1436" s="56"/>
      <c r="AN1436" s="57" t="str">
        <f t="shared" si="780"/>
        <v/>
      </c>
      <c r="AO1436" s="56"/>
      <c r="AP1436" s="57" t="str">
        <f t="shared" si="781"/>
        <v/>
      </c>
      <c r="AQ1436" s="56"/>
      <c r="AR1436" s="57" t="str">
        <f t="shared" si="782"/>
        <v/>
      </c>
      <c r="AS1436" s="56"/>
      <c r="AT1436" s="57" t="str">
        <f t="shared" si="783"/>
        <v/>
      </c>
      <c r="AU1436" s="58"/>
      <c r="AV1436" s="59"/>
      <c r="AW1436" s="59"/>
      <c r="AX1436" s="60"/>
      <c r="AY1436" s="61">
        <v>1</v>
      </c>
      <c r="AZ1436" s="62">
        <f t="shared" si="784"/>
        <v>3</v>
      </c>
      <c r="BA1436" s="61">
        <f t="shared" si="785"/>
        <v>0</v>
      </c>
      <c r="BB1436" s="62" t="str">
        <f t="shared" si="786"/>
        <v/>
      </c>
    </row>
    <row r="1437" spans="1:54" s="3" customFormat="1" hidden="1" x14ac:dyDescent="0.35">
      <c r="A1437" s="73">
        <f t="shared" si="799"/>
        <v>2019</v>
      </c>
      <c r="B1437" s="73" t="str">
        <f t="shared" si="800"/>
        <v>Nov</v>
      </c>
      <c r="C1437" s="74">
        <f t="shared" si="787"/>
        <v>17</v>
      </c>
      <c r="D1437" s="75">
        <f t="shared" si="801"/>
        <v>14</v>
      </c>
      <c r="E1437" s="76">
        <f t="shared" si="802"/>
        <v>15</v>
      </c>
      <c r="F1437" s="80">
        <v>31</v>
      </c>
      <c r="G1437" s="83"/>
      <c r="H1437" s="69" t="str">
        <f t="shared" si="788"/>
        <v>Senbur6_20191117_14_00</v>
      </c>
      <c r="I1437" s="70">
        <f t="shared" si="803"/>
        <v>1</v>
      </c>
      <c r="J1437" s="77" t="str">
        <f t="shared" si="803"/>
        <v>Senecio</v>
      </c>
      <c r="K1437" s="77" t="str">
        <f t="shared" si="803"/>
        <v>burtoni</v>
      </c>
      <c r="L1437" s="78">
        <f t="shared" si="803"/>
        <v>6</v>
      </c>
      <c r="M1437" s="78">
        <f t="shared" si="803"/>
        <v>12</v>
      </c>
      <c r="N1437" s="72">
        <f t="shared" si="803"/>
        <v>0</v>
      </c>
      <c r="O1437" s="45"/>
      <c r="P1437" s="46">
        <f t="shared" si="772"/>
        <v>1</v>
      </c>
      <c r="Q1437" s="47" t="str">
        <f t="shared" si="773"/>
        <v>14:15:31</v>
      </c>
      <c r="R1437" s="48" t="str">
        <f t="shared" si="774"/>
        <v>15:31</v>
      </c>
      <c r="S1437" s="49">
        <f t="shared" si="767"/>
        <v>1</v>
      </c>
      <c r="T1437" s="48" t="str">
        <f t="shared" si="775"/>
        <v>14</v>
      </c>
      <c r="U1437" s="50">
        <v>15</v>
      </c>
      <c r="V1437" s="51">
        <v>32</v>
      </c>
      <c r="W1437" s="52" t="str">
        <f t="shared" si="776"/>
        <v>15:32</v>
      </c>
      <c r="X1437" s="53" t="s">
        <v>61</v>
      </c>
      <c r="Y1437" s="97" t="s">
        <v>84</v>
      </c>
      <c r="Z1437" s="97" t="s">
        <v>80</v>
      </c>
      <c r="AA1437" s="48" t="s">
        <v>60</v>
      </c>
      <c r="AB1437" s="48" t="str">
        <f t="shared" si="790"/>
        <v>NA</v>
      </c>
      <c r="AC1437" s="54">
        <f t="shared" si="777"/>
        <v>0</v>
      </c>
      <c r="AD1437" s="55">
        <f t="shared" si="791"/>
        <v>1</v>
      </c>
      <c r="AE1437" s="55"/>
      <c r="AF1437" s="55"/>
      <c r="AG1437" s="56">
        <v>1</v>
      </c>
      <c r="AH1437" s="57">
        <f t="shared" si="779"/>
        <v>1</v>
      </c>
      <c r="AI1437" s="56"/>
      <c r="AJ1437" s="57" t="str">
        <f t="shared" si="792"/>
        <v/>
      </c>
      <c r="AK1437" s="56"/>
      <c r="AL1437" s="57" t="str">
        <f t="shared" si="793"/>
        <v/>
      </c>
      <c r="AM1437" s="56"/>
      <c r="AN1437" s="57" t="str">
        <f t="shared" si="780"/>
        <v/>
      </c>
      <c r="AO1437" s="56"/>
      <c r="AP1437" s="57" t="str">
        <f t="shared" si="781"/>
        <v/>
      </c>
      <c r="AQ1437" s="56"/>
      <c r="AR1437" s="57" t="str">
        <f t="shared" si="782"/>
        <v/>
      </c>
      <c r="AS1437" s="56"/>
      <c r="AT1437" s="57" t="str">
        <f t="shared" si="783"/>
        <v/>
      </c>
      <c r="AU1437" s="58"/>
      <c r="AV1437" s="59"/>
      <c r="AW1437" s="59"/>
      <c r="AX1437" s="60"/>
      <c r="AY1437" s="61">
        <f t="shared" si="794"/>
        <v>0</v>
      </c>
      <c r="AZ1437" s="62" t="str">
        <f t="shared" si="784"/>
        <v/>
      </c>
      <c r="BA1437" s="61">
        <f t="shared" si="785"/>
        <v>0</v>
      </c>
      <c r="BB1437" s="62" t="str">
        <f t="shared" si="786"/>
        <v/>
      </c>
    </row>
    <row r="1438" spans="1:54" s="3" customFormat="1" hidden="1" x14ac:dyDescent="0.35">
      <c r="A1438" s="73">
        <f t="shared" si="799"/>
        <v>2019</v>
      </c>
      <c r="B1438" s="73" t="str">
        <f t="shared" si="800"/>
        <v>Nov</v>
      </c>
      <c r="C1438" s="74">
        <f t="shared" si="787"/>
        <v>17</v>
      </c>
      <c r="D1438" s="75">
        <f t="shared" si="801"/>
        <v>14</v>
      </c>
      <c r="E1438" s="76">
        <f t="shared" si="802"/>
        <v>16</v>
      </c>
      <c r="F1438" s="80">
        <v>45</v>
      </c>
      <c r="G1438" s="83"/>
      <c r="H1438" s="69" t="str">
        <f t="shared" si="788"/>
        <v>Senbur6_20191117_14_00</v>
      </c>
      <c r="I1438" s="70">
        <f t="shared" si="803"/>
        <v>1</v>
      </c>
      <c r="J1438" s="77" t="str">
        <f t="shared" si="803"/>
        <v>Senecio</v>
      </c>
      <c r="K1438" s="77" t="str">
        <f t="shared" si="803"/>
        <v>burtoni</v>
      </c>
      <c r="L1438" s="78">
        <f t="shared" si="803"/>
        <v>6</v>
      </c>
      <c r="M1438" s="78">
        <f t="shared" si="803"/>
        <v>12</v>
      </c>
      <c r="N1438" s="72">
        <f t="shared" si="803"/>
        <v>0</v>
      </c>
      <c r="O1438" s="45"/>
      <c r="P1438" s="46">
        <f t="shared" si="772"/>
        <v>1</v>
      </c>
      <c r="Q1438" s="47" t="str">
        <f t="shared" si="773"/>
        <v>14:16:45</v>
      </c>
      <c r="R1438" s="48" t="str">
        <f t="shared" si="774"/>
        <v>16:45</v>
      </c>
      <c r="S1438" s="49">
        <f t="shared" si="767"/>
        <v>135</v>
      </c>
      <c r="T1438" s="48" t="str">
        <f t="shared" si="775"/>
        <v>14</v>
      </c>
      <c r="U1438" s="50">
        <v>19</v>
      </c>
      <c r="V1438" s="51">
        <v>0</v>
      </c>
      <c r="W1438" s="52" t="str">
        <f t="shared" si="776"/>
        <v>19:00</v>
      </c>
      <c r="X1438" s="53" t="s">
        <v>61</v>
      </c>
      <c r="Y1438" s="97" t="s">
        <v>78</v>
      </c>
      <c r="Z1438" s="97"/>
      <c r="AA1438" s="48" t="s">
        <v>60</v>
      </c>
      <c r="AB1438" s="48" t="str">
        <f t="shared" si="790"/>
        <v>NA</v>
      </c>
      <c r="AC1438" s="54">
        <f t="shared" si="777"/>
        <v>0</v>
      </c>
      <c r="AD1438" s="55">
        <v>2</v>
      </c>
      <c r="AE1438" s="55"/>
      <c r="AF1438" s="55"/>
      <c r="AG1438" s="56">
        <v>1</v>
      </c>
      <c r="AH1438" s="57">
        <v>4</v>
      </c>
      <c r="AI1438" s="56">
        <v>1</v>
      </c>
      <c r="AJ1438" s="57">
        <v>1</v>
      </c>
      <c r="AK1438" s="56">
        <v>1</v>
      </c>
      <c r="AL1438" s="57">
        <v>130</v>
      </c>
      <c r="AM1438" s="56"/>
      <c r="AN1438" s="57" t="str">
        <f t="shared" si="780"/>
        <v/>
      </c>
      <c r="AO1438" s="56"/>
      <c r="AP1438" s="57" t="str">
        <f t="shared" si="781"/>
        <v/>
      </c>
      <c r="AQ1438" s="56"/>
      <c r="AR1438" s="57" t="str">
        <f t="shared" si="782"/>
        <v/>
      </c>
      <c r="AS1438" s="56"/>
      <c r="AT1438" s="57" t="str">
        <f t="shared" si="783"/>
        <v/>
      </c>
      <c r="AU1438" s="58"/>
      <c r="AV1438" s="59"/>
      <c r="AW1438" s="59"/>
      <c r="AX1438" s="60"/>
      <c r="AY1438" s="61">
        <v>1</v>
      </c>
      <c r="AZ1438" s="62">
        <f t="shared" si="784"/>
        <v>2</v>
      </c>
      <c r="BA1438" s="61">
        <f t="shared" si="785"/>
        <v>0</v>
      </c>
      <c r="BB1438" s="62" t="str">
        <f t="shared" si="786"/>
        <v/>
      </c>
    </row>
    <row r="1439" spans="1:54" s="3" customFormat="1" hidden="1" x14ac:dyDescent="0.35">
      <c r="A1439" s="73">
        <f t="shared" si="799"/>
        <v>2019</v>
      </c>
      <c r="B1439" s="73" t="str">
        <f t="shared" si="800"/>
        <v>Nov</v>
      </c>
      <c r="C1439" s="74">
        <f t="shared" si="787"/>
        <v>17</v>
      </c>
      <c r="D1439" s="75">
        <f t="shared" si="801"/>
        <v>14</v>
      </c>
      <c r="E1439" s="76">
        <f t="shared" si="802"/>
        <v>17</v>
      </c>
      <c r="F1439" s="80"/>
      <c r="G1439" s="83"/>
      <c r="H1439" s="69" t="str">
        <f t="shared" si="788"/>
        <v>Senbur6_20191117_14_00</v>
      </c>
      <c r="I1439" s="70">
        <f t="shared" si="803"/>
        <v>1</v>
      </c>
      <c r="J1439" s="77" t="str">
        <f t="shared" si="803"/>
        <v>Senecio</v>
      </c>
      <c r="K1439" s="77" t="str">
        <f t="shared" si="803"/>
        <v>burtoni</v>
      </c>
      <c r="L1439" s="78">
        <f t="shared" si="803"/>
        <v>6</v>
      </c>
      <c r="M1439" s="78">
        <f t="shared" si="803"/>
        <v>12</v>
      </c>
      <c r="N1439" s="72">
        <f t="shared" si="803"/>
        <v>0</v>
      </c>
      <c r="O1439" s="45"/>
      <c r="P1439" s="46" t="str">
        <f t="shared" si="772"/>
        <v/>
      </c>
      <c r="Q1439" s="47" t="str">
        <f t="shared" si="773"/>
        <v/>
      </c>
      <c r="R1439" s="48" t="e">
        <f t="shared" si="774"/>
        <v>#VALUE!</v>
      </c>
      <c r="S1439" s="49" t="e">
        <f t="shared" si="767"/>
        <v>#VALUE!</v>
      </c>
      <c r="T1439" s="48" t="str">
        <f t="shared" si="775"/>
        <v/>
      </c>
      <c r="U1439" s="50"/>
      <c r="V1439" s="51"/>
      <c r="W1439" s="52" t="e">
        <f t="shared" si="776"/>
        <v>#VALUE!</v>
      </c>
      <c r="X1439" s="53"/>
      <c r="Y1439" s="53"/>
      <c r="Z1439" s="53"/>
      <c r="AA1439" s="48" t="e">
        <f>INDEX([1]!VISITORS[INSECT ORDER], MATCH(X1439,[1]!VISITORS[NAME USED],0))</f>
        <v>#REF!</v>
      </c>
      <c r="AB1439" s="48" t="e">
        <f t="shared" si="790"/>
        <v>#REF!</v>
      </c>
      <c r="AC1439" s="54" t="e">
        <f t="shared" si="777"/>
        <v>#VALUE!</v>
      </c>
      <c r="AD1439" s="55" t="str">
        <f t="shared" si="791"/>
        <v/>
      </c>
      <c r="AE1439" s="55"/>
      <c r="AF1439" s="55"/>
      <c r="AG1439" s="56" t="str">
        <f t="shared" si="778"/>
        <v/>
      </c>
      <c r="AH1439" s="57" t="str">
        <f t="shared" si="779"/>
        <v/>
      </c>
      <c r="AI1439" s="56"/>
      <c r="AJ1439" s="57" t="str">
        <f t="shared" si="792"/>
        <v/>
      </c>
      <c r="AK1439" s="56"/>
      <c r="AL1439" s="57" t="str">
        <f t="shared" si="793"/>
        <v/>
      </c>
      <c r="AM1439" s="56"/>
      <c r="AN1439" s="57" t="str">
        <f t="shared" si="780"/>
        <v/>
      </c>
      <c r="AO1439" s="56"/>
      <c r="AP1439" s="57" t="str">
        <f t="shared" si="781"/>
        <v/>
      </c>
      <c r="AQ1439" s="56"/>
      <c r="AR1439" s="57" t="str">
        <f t="shared" si="782"/>
        <v/>
      </c>
      <c r="AS1439" s="56"/>
      <c r="AT1439" s="57" t="str">
        <f t="shared" si="783"/>
        <v/>
      </c>
      <c r="AU1439" s="58"/>
      <c r="AV1439" s="59"/>
      <c r="AW1439" s="59"/>
      <c r="AX1439" s="60"/>
      <c r="AY1439" s="61" t="str">
        <f t="shared" si="794"/>
        <v/>
      </c>
      <c r="AZ1439" s="62" t="str">
        <f t="shared" si="784"/>
        <v/>
      </c>
      <c r="BA1439" s="61" t="str">
        <f t="shared" si="785"/>
        <v/>
      </c>
      <c r="BB1439" s="62" t="str">
        <f t="shared" si="786"/>
        <v/>
      </c>
    </row>
    <row r="1440" spans="1:54" s="3" customFormat="1" hidden="1" x14ac:dyDescent="0.35">
      <c r="A1440" s="73">
        <f t="shared" si="799"/>
        <v>2019</v>
      </c>
      <c r="B1440" s="73" t="str">
        <f t="shared" si="800"/>
        <v>Nov</v>
      </c>
      <c r="C1440" s="74">
        <f t="shared" si="787"/>
        <v>17</v>
      </c>
      <c r="D1440" s="75">
        <f t="shared" si="801"/>
        <v>14</v>
      </c>
      <c r="E1440" s="76">
        <f t="shared" si="802"/>
        <v>18</v>
      </c>
      <c r="F1440" s="80">
        <v>52</v>
      </c>
      <c r="G1440" s="83"/>
      <c r="H1440" s="69" t="str">
        <f t="shared" si="788"/>
        <v>Senbur6_20191117_14_00</v>
      </c>
      <c r="I1440" s="70">
        <f t="shared" si="803"/>
        <v>1</v>
      </c>
      <c r="J1440" s="77" t="str">
        <f t="shared" si="803"/>
        <v>Senecio</v>
      </c>
      <c r="K1440" s="77" t="str">
        <f t="shared" si="803"/>
        <v>burtoni</v>
      </c>
      <c r="L1440" s="78">
        <f t="shared" si="803"/>
        <v>6</v>
      </c>
      <c r="M1440" s="78">
        <f t="shared" si="803"/>
        <v>12</v>
      </c>
      <c r="N1440" s="72">
        <f t="shared" si="803"/>
        <v>0</v>
      </c>
      <c r="O1440" s="45"/>
      <c r="P1440" s="46">
        <f t="shared" si="772"/>
        <v>1</v>
      </c>
      <c r="Q1440" s="47" t="str">
        <f t="shared" si="773"/>
        <v>14:18:52</v>
      </c>
      <c r="R1440" s="48" t="str">
        <f t="shared" si="774"/>
        <v>18:52</v>
      </c>
      <c r="S1440" s="49">
        <f t="shared" si="767"/>
        <v>35</v>
      </c>
      <c r="T1440" s="48" t="str">
        <f t="shared" si="775"/>
        <v>14</v>
      </c>
      <c r="U1440" s="50">
        <v>19</v>
      </c>
      <c r="V1440" s="51">
        <v>27</v>
      </c>
      <c r="W1440" s="52" t="str">
        <f t="shared" si="776"/>
        <v>19:27</v>
      </c>
      <c r="X1440" s="53" t="s">
        <v>61</v>
      </c>
      <c r="Y1440" s="97" t="s">
        <v>78</v>
      </c>
      <c r="Z1440" s="97"/>
      <c r="AA1440" s="48" t="s">
        <v>60</v>
      </c>
      <c r="AB1440" s="48" t="str">
        <f t="shared" si="790"/>
        <v>NA</v>
      </c>
      <c r="AC1440" s="54">
        <f t="shared" si="777"/>
        <v>0</v>
      </c>
      <c r="AD1440" s="55">
        <f t="shared" si="791"/>
        <v>1</v>
      </c>
      <c r="AE1440" s="55"/>
      <c r="AF1440" s="55"/>
      <c r="AG1440" s="56" t="str">
        <f t="shared" si="778"/>
        <v/>
      </c>
      <c r="AH1440" s="57" t="str">
        <f t="shared" si="779"/>
        <v/>
      </c>
      <c r="AI1440" s="56"/>
      <c r="AJ1440" s="57" t="str">
        <f t="shared" si="792"/>
        <v/>
      </c>
      <c r="AK1440" s="56">
        <v>1</v>
      </c>
      <c r="AL1440" s="57">
        <f t="shared" si="793"/>
        <v>35</v>
      </c>
      <c r="AM1440" s="56"/>
      <c r="AN1440" s="57" t="str">
        <f t="shared" si="780"/>
        <v/>
      </c>
      <c r="AO1440" s="56"/>
      <c r="AP1440" s="57" t="str">
        <f t="shared" si="781"/>
        <v/>
      </c>
      <c r="AQ1440" s="56"/>
      <c r="AR1440" s="57" t="str">
        <f t="shared" si="782"/>
        <v/>
      </c>
      <c r="AS1440" s="56"/>
      <c r="AT1440" s="57" t="str">
        <f t="shared" si="783"/>
        <v/>
      </c>
      <c r="AU1440" s="58"/>
      <c r="AV1440" s="59"/>
      <c r="AW1440" s="59"/>
      <c r="AX1440" s="60"/>
      <c r="AY1440" s="61">
        <v>1</v>
      </c>
      <c r="AZ1440" s="62">
        <f t="shared" si="784"/>
        <v>1</v>
      </c>
      <c r="BA1440" s="61">
        <f t="shared" si="785"/>
        <v>0</v>
      </c>
      <c r="BB1440" s="62" t="str">
        <f t="shared" si="786"/>
        <v/>
      </c>
    </row>
    <row r="1441" spans="1:54" s="3" customFormat="1" hidden="1" x14ac:dyDescent="0.35">
      <c r="A1441" s="73">
        <f t="shared" si="799"/>
        <v>2019</v>
      </c>
      <c r="B1441" s="73" t="str">
        <f t="shared" si="800"/>
        <v>Nov</v>
      </c>
      <c r="C1441" s="74">
        <f t="shared" si="787"/>
        <v>17</v>
      </c>
      <c r="D1441" s="75">
        <f t="shared" si="801"/>
        <v>14</v>
      </c>
      <c r="E1441" s="76">
        <f t="shared" si="802"/>
        <v>19</v>
      </c>
      <c r="F1441" s="80">
        <v>1</v>
      </c>
      <c r="G1441" s="83"/>
      <c r="H1441" s="69" t="str">
        <f t="shared" si="788"/>
        <v>Senbur6_20191117_14_00</v>
      </c>
      <c r="I1441" s="70">
        <f t="shared" si="803"/>
        <v>1</v>
      </c>
      <c r="J1441" s="77" t="str">
        <f t="shared" si="803"/>
        <v>Senecio</v>
      </c>
      <c r="K1441" s="77" t="str">
        <f t="shared" si="803"/>
        <v>burtoni</v>
      </c>
      <c r="L1441" s="78">
        <f t="shared" si="803"/>
        <v>6</v>
      </c>
      <c r="M1441" s="78">
        <f t="shared" si="803"/>
        <v>12</v>
      </c>
      <c r="N1441" s="72">
        <f t="shared" si="803"/>
        <v>0</v>
      </c>
      <c r="O1441" s="45"/>
      <c r="P1441" s="46">
        <f t="shared" si="772"/>
        <v>1</v>
      </c>
      <c r="Q1441" s="47" t="str">
        <f t="shared" si="773"/>
        <v>14:19:01</v>
      </c>
      <c r="R1441" s="48" t="str">
        <f t="shared" si="774"/>
        <v>19:01</v>
      </c>
      <c r="S1441" s="49">
        <f t="shared" si="767"/>
        <v>26</v>
      </c>
      <c r="T1441" s="48" t="str">
        <f t="shared" si="775"/>
        <v>14</v>
      </c>
      <c r="U1441" s="50">
        <v>19</v>
      </c>
      <c r="V1441" s="51">
        <v>27</v>
      </c>
      <c r="W1441" s="52" t="str">
        <f t="shared" si="776"/>
        <v>19:27</v>
      </c>
      <c r="X1441" s="53" t="s">
        <v>61</v>
      </c>
      <c r="Y1441" s="97" t="s">
        <v>84</v>
      </c>
      <c r="Z1441" s="97" t="s">
        <v>80</v>
      </c>
      <c r="AA1441" s="48" t="s">
        <v>60</v>
      </c>
      <c r="AB1441" s="48" t="str">
        <f t="shared" si="790"/>
        <v>NA</v>
      </c>
      <c r="AC1441" s="54">
        <f t="shared" si="777"/>
        <v>0</v>
      </c>
      <c r="AD1441" s="55">
        <v>3</v>
      </c>
      <c r="AE1441" s="55"/>
      <c r="AF1441" s="55"/>
      <c r="AG1441" s="56">
        <v>1</v>
      </c>
      <c r="AH1441" s="57">
        <v>3</v>
      </c>
      <c r="AI1441" s="56">
        <v>1</v>
      </c>
      <c r="AJ1441" s="57">
        <v>2</v>
      </c>
      <c r="AK1441" s="56">
        <v>1</v>
      </c>
      <c r="AL1441" s="57">
        <v>21</v>
      </c>
      <c r="AM1441" s="56"/>
      <c r="AN1441" s="57" t="str">
        <f t="shared" si="780"/>
        <v/>
      </c>
      <c r="AO1441" s="56"/>
      <c r="AP1441" s="57" t="str">
        <f t="shared" si="781"/>
        <v/>
      </c>
      <c r="AQ1441" s="56"/>
      <c r="AR1441" s="57" t="str">
        <f t="shared" si="782"/>
        <v/>
      </c>
      <c r="AS1441" s="56"/>
      <c r="AT1441" s="57" t="str">
        <f t="shared" si="783"/>
        <v/>
      </c>
      <c r="AU1441" s="58"/>
      <c r="AV1441" s="59"/>
      <c r="AW1441" s="59"/>
      <c r="AX1441" s="60"/>
      <c r="AY1441" s="61">
        <v>1</v>
      </c>
      <c r="AZ1441" s="62">
        <f t="shared" si="784"/>
        <v>3</v>
      </c>
      <c r="BA1441" s="61">
        <f t="shared" si="785"/>
        <v>0</v>
      </c>
      <c r="BB1441" s="62" t="str">
        <f t="shared" si="786"/>
        <v/>
      </c>
    </row>
    <row r="1442" spans="1:54" s="3" customFormat="1" hidden="1" x14ac:dyDescent="0.35">
      <c r="A1442" s="73">
        <f t="shared" si="799"/>
        <v>2019</v>
      </c>
      <c r="B1442" s="73" t="str">
        <f t="shared" si="800"/>
        <v>Nov</v>
      </c>
      <c r="C1442" s="74">
        <f t="shared" si="787"/>
        <v>17</v>
      </c>
      <c r="D1442" s="75">
        <f t="shared" si="801"/>
        <v>14</v>
      </c>
      <c r="E1442" s="76">
        <v>19</v>
      </c>
      <c r="F1442" s="80">
        <v>12</v>
      </c>
      <c r="G1442" s="83"/>
      <c r="H1442" s="69" t="str">
        <f t="shared" si="788"/>
        <v>Senbur6_20191117_14_00</v>
      </c>
      <c r="I1442" s="70">
        <f t="shared" si="803"/>
        <v>1</v>
      </c>
      <c r="J1442" s="77" t="str">
        <f t="shared" si="803"/>
        <v>Senecio</v>
      </c>
      <c r="K1442" s="77" t="str">
        <f t="shared" si="803"/>
        <v>burtoni</v>
      </c>
      <c r="L1442" s="78">
        <f t="shared" si="803"/>
        <v>6</v>
      </c>
      <c r="M1442" s="78">
        <f t="shared" si="803"/>
        <v>12</v>
      </c>
      <c r="N1442" s="72">
        <f t="shared" si="803"/>
        <v>0</v>
      </c>
      <c r="O1442" s="45"/>
      <c r="P1442" s="46">
        <f t="shared" si="772"/>
        <v>1</v>
      </c>
      <c r="Q1442" s="47" t="str">
        <f t="shared" si="773"/>
        <v>14:19:12</v>
      </c>
      <c r="R1442" s="48" t="str">
        <f t="shared" si="774"/>
        <v>19:12</v>
      </c>
      <c r="S1442" s="49">
        <f t="shared" si="767"/>
        <v>121</v>
      </c>
      <c r="T1442" s="48" t="str">
        <f t="shared" si="775"/>
        <v>14</v>
      </c>
      <c r="U1442" s="50">
        <v>21</v>
      </c>
      <c r="V1442" s="51">
        <v>13</v>
      </c>
      <c r="W1442" s="52" t="str">
        <f t="shared" si="776"/>
        <v>21:13</v>
      </c>
      <c r="X1442" s="53" t="s">
        <v>61</v>
      </c>
      <c r="Y1442" s="97" t="s">
        <v>84</v>
      </c>
      <c r="Z1442" s="97" t="s">
        <v>80</v>
      </c>
      <c r="AA1442" s="48" t="s">
        <v>60</v>
      </c>
      <c r="AB1442" s="48" t="str">
        <f t="shared" si="790"/>
        <v>NA</v>
      </c>
      <c r="AC1442" s="54">
        <f t="shared" si="777"/>
        <v>0</v>
      </c>
      <c r="AD1442" s="55">
        <v>6</v>
      </c>
      <c r="AE1442" s="55"/>
      <c r="AF1442" s="55"/>
      <c r="AG1442" s="56">
        <v>1</v>
      </c>
      <c r="AH1442" s="57">
        <v>1</v>
      </c>
      <c r="AI1442" s="56">
        <v>1</v>
      </c>
      <c r="AJ1442" s="57">
        <v>5</v>
      </c>
      <c r="AK1442" s="56">
        <v>1</v>
      </c>
      <c r="AL1442" s="57">
        <v>115</v>
      </c>
      <c r="AM1442" s="56"/>
      <c r="AN1442" s="57" t="str">
        <f t="shared" si="780"/>
        <v/>
      </c>
      <c r="AO1442" s="56"/>
      <c r="AP1442" s="57" t="str">
        <f t="shared" si="781"/>
        <v/>
      </c>
      <c r="AQ1442" s="56"/>
      <c r="AR1442" s="57" t="str">
        <f t="shared" si="782"/>
        <v/>
      </c>
      <c r="AS1442" s="56"/>
      <c r="AT1442" s="57" t="str">
        <f t="shared" si="783"/>
        <v/>
      </c>
      <c r="AU1442" s="58"/>
      <c r="AV1442" s="59"/>
      <c r="AW1442" s="59"/>
      <c r="AX1442" s="60"/>
      <c r="AY1442" s="61">
        <v>1</v>
      </c>
      <c r="AZ1442" s="62">
        <f t="shared" si="784"/>
        <v>6</v>
      </c>
      <c r="BA1442" s="61">
        <f t="shared" si="785"/>
        <v>0</v>
      </c>
      <c r="BB1442" s="62" t="str">
        <f t="shared" si="786"/>
        <v/>
      </c>
    </row>
    <row r="1443" spans="1:54" s="3" customFormat="1" hidden="1" x14ac:dyDescent="0.35">
      <c r="A1443" s="73">
        <f t="shared" si="799"/>
        <v>2019</v>
      </c>
      <c r="B1443" s="73" t="str">
        <f t="shared" si="800"/>
        <v>Nov</v>
      </c>
      <c r="C1443" s="74">
        <f t="shared" si="787"/>
        <v>17</v>
      </c>
      <c r="D1443" s="75">
        <f t="shared" si="801"/>
        <v>14</v>
      </c>
      <c r="E1443" s="76">
        <f t="shared" si="802"/>
        <v>20</v>
      </c>
      <c r="F1443" s="80"/>
      <c r="G1443" s="83"/>
      <c r="H1443" s="69" t="str">
        <f t="shared" si="788"/>
        <v>Senbur6_20191117_14_00</v>
      </c>
      <c r="I1443" s="70">
        <f t="shared" si="803"/>
        <v>1</v>
      </c>
      <c r="J1443" s="77" t="str">
        <f t="shared" si="803"/>
        <v>Senecio</v>
      </c>
      <c r="K1443" s="77" t="str">
        <f t="shared" si="803"/>
        <v>burtoni</v>
      </c>
      <c r="L1443" s="78">
        <f t="shared" si="803"/>
        <v>6</v>
      </c>
      <c r="M1443" s="78">
        <f t="shared" si="803"/>
        <v>12</v>
      </c>
      <c r="N1443" s="72">
        <f t="shared" si="803"/>
        <v>0</v>
      </c>
      <c r="O1443" s="45"/>
      <c r="P1443" s="46" t="str">
        <f t="shared" si="772"/>
        <v/>
      </c>
      <c r="Q1443" s="47" t="str">
        <f t="shared" si="773"/>
        <v/>
      </c>
      <c r="R1443" s="48" t="e">
        <f t="shared" si="774"/>
        <v>#VALUE!</v>
      </c>
      <c r="S1443" s="49" t="e">
        <f t="shared" si="767"/>
        <v>#VALUE!</v>
      </c>
      <c r="T1443" s="48" t="str">
        <f t="shared" si="775"/>
        <v/>
      </c>
      <c r="U1443" s="50"/>
      <c r="V1443" s="51"/>
      <c r="W1443" s="52" t="e">
        <f t="shared" si="776"/>
        <v>#VALUE!</v>
      </c>
      <c r="X1443" s="53"/>
      <c r="Y1443" s="53"/>
      <c r="Z1443" s="53"/>
      <c r="AA1443" s="48" t="e">
        <f>INDEX([1]!VISITORS[INSECT ORDER], MATCH(X1443,[1]!VISITORS[NAME USED],0))</f>
        <v>#REF!</v>
      </c>
      <c r="AB1443" s="48" t="e">
        <f t="shared" si="790"/>
        <v>#REF!</v>
      </c>
      <c r="AC1443" s="54" t="e">
        <f t="shared" si="777"/>
        <v>#VALUE!</v>
      </c>
      <c r="AD1443" s="55" t="str">
        <f t="shared" si="791"/>
        <v/>
      </c>
      <c r="AE1443" s="55"/>
      <c r="AF1443" s="55"/>
      <c r="AG1443" s="56" t="str">
        <f t="shared" si="778"/>
        <v/>
      </c>
      <c r="AH1443" s="57" t="str">
        <f t="shared" si="779"/>
        <v/>
      </c>
      <c r="AI1443" s="56"/>
      <c r="AJ1443" s="57" t="str">
        <f t="shared" si="792"/>
        <v/>
      </c>
      <c r="AK1443" s="56"/>
      <c r="AL1443" s="57" t="str">
        <f t="shared" si="793"/>
        <v/>
      </c>
      <c r="AM1443" s="56"/>
      <c r="AN1443" s="57" t="str">
        <f t="shared" si="780"/>
        <v/>
      </c>
      <c r="AO1443" s="56"/>
      <c r="AP1443" s="57" t="str">
        <f t="shared" si="781"/>
        <v/>
      </c>
      <c r="AQ1443" s="56"/>
      <c r="AR1443" s="57" t="str">
        <f t="shared" si="782"/>
        <v/>
      </c>
      <c r="AS1443" s="56"/>
      <c r="AT1443" s="57" t="str">
        <f t="shared" si="783"/>
        <v/>
      </c>
      <c r="AU1443" s="58"/>
      <c r="AV1443" s="59"/>
      <c r="AW1443" s="59"/>
      <c r="AX1443" s="60"/>
      <c r="AY1443" s="61" t="str">
        <f t="shared" si="794"/>
        <v/>
      </c>
      <c r="AZ1443" s="62" t="str">
        <f t="shared" si="784"/>
        <v/>
      </c>
      <c r="BA1443" s="61" t="str">
        <f t="shared" si="785"/>
        <v/>
      </c>
      <c r="BB1443" s="62" t="str">
        <f t="shared" si="786"/>
        <v/>
      </c>
    </row>
    <row r="1444" spans="1:54" s="3" customFormat="1" hidden="1" x14ac:dyDescent="0.35">
      <c r="A1444" s="73">
        <f t="shared" si="799"/>
        <v>2019</v>
      </c>
      <c r="B1444" s="73" t="str">
        <f t="shared" si="800"/>
        <v>Nov</v>
      </c>
      <c r="C1444" s="74">
        <f t="shared" si="787"/>
        <v>17</v>
      </c>
      <c r="D1444" s="75">
        <f t="shared" si="801"/>
        <v>14</v>
      </c>
      <c r="E1444" s="76">
        <f t="shared" si="802"/>
        <v>21</v>
      </c>
      <c r="F1444" s="80">
        <v>16</v>
      </c>
      <c r="G1444" s="83"/>
      <c r="H1444" s="69" t="str">
        <f t="shared" si="788"/>
        <v>Senbur6_20191117_14_00</v>
      </c>
      <c r="I1444" s="70">
        <f t="shared" si="803"/>
        <v>1</v>
      </c>
      <c r="J1444" s="77" t="str">
        <f t="shared" si="803"/>
        <v>Senecio</v>
      </c>
      <c r="K1444" s="77" t="str">
        <f t="shared" si="803"/>
        <v>burtoni</v>
      </c>
      <c r="L1444" s="78">
        <f t="shared" si="803"/>
        <v>6</v>
      </c>
      <c r="M1444" s="78">
        <f t="shared" si="803"/>
        <v>12</v>
      </c>
      <c r="N1444" s="72">
        <f t="shared" si="803"/>
        <v>0</v>
      </c>
      <c r="O1444" s="45"/>
      <c r="P1444" s="46">
        <f t="shared" si="772"/>
        <v>1</v>
      </c>
      <c r="Q1444" s="47" t="str">
        <f t="shared" si="773"/>
        <v>14:21:16</v>
      </c>
      <c r="R1444" s="48" t="str">
        <f t="shared" si="774"/>
        <v>21:16</v>
      </c>
      <c r="S1444" s="49">
        <f t="shared" si="767"/>
        <v>186</v>
      </c>
      <c r="T1444" s="48" t="str">
        <f t="shared" si="775"/>
        <v>14</v>
      </c>
      <c r="U1444" s="50">
        <v>24</v>
      </c>
      <c r="V1444" s="51">
        <v>22</v>
      </c>
      <c r="W1444" s="52" t="str">
        <f t="shared" si="776"/>
        <v>24:22</v>
      </c>
      <c r="X1444" s="53" t="s">
        <v>61</v>
      </c>
      <c r="Y1444" s="97" t="s">
        <v>78</v>
      </c>
      <c r="Z1444" s="97"/>
      <c r="AA1444" s="48" t="s">
        <v>60</v>
      </c>
      <c r="AB1444" s="48" t="str">
        <f t="shared" si="790"/>
        <v>NA</v>
      </c>
      <c r="AC1444" s="54">
        <f t="shared" si="777"/>
        <v>0</v>
      </c>
      <c r="AD1444" s="55">
        <v>6</v>
      </c>
      <c r="AE1444" s="55"/>
      <c r="AF1444" s="55"/>
      <c r="AG1444" s="56">
        <v>1</v>
      </c>
      <c r="AH1444" s="57">
        <v>1</v>
      </c>
      <c r="AI1444" s="56">
        <v>1</v>
      </c>
      <c r="AJ1444" s="57">
        <v>6</v>
      </c>
      <c r="AK1444" s="56">
        <v>1</v>
      </c>
      <c r="AL1444" s="57">
        <v>179</v>
      </c>
      <c r="AM1444" s="56"/>
      <c r="AN1444" s="57" t="str">
        <f t="shared" si="780"/>
        <v/>
      </c>
      <c r="AO1444" s="56"/>
      <c r="AP1444" s="57" t="str">
        <f t="shared" si="781"/>
        <v/>
      </c>
      <c r="AQ1444" s="56"/>
      <c r="AR1444" s="57" t="str">
        <f t="shared" si="782"/>
        <v/>
      </c>
      <c r="AS1444" s="56"/>
      <c r="AT1444" s="57" t="str">
        <f t="shared" si="783"/>
        <v/>
      </c>
      <c r="AU1444" s="58"/>
      <c r="AV1444" s="59"/>
      <c r="AW1444" s="59"/>
      <c r="AX1444" s="60"/>
      <c r="AY1444" s="61">
        <v>1</v>
      </c>
      <c r="AZ1444" s="62">
        <f t="shared" si="784"/>
        <v>6</v>
      </c>
      <c r="BA1444" s="61">
        <f t="shared" si="785"/>
        <v>0</v>
      </c>
      <c r="BB1444" s="62" t="str">
        <f t="shared" si="786"/>
        <v/>
      </c>
    </row>
    <row r="1445" spans="1:54" s="3" customFormat="1" hidden="1" x14ac:dyDescent="0.35">
      <c r="A1445" s="73">
        <f t="shared" si="799"/>
        <v>2019</v>
      </c>
      <c r="B1445" s="73" t="str">
        <f t="shared" ref="B1445" si="804">IF(C1444-C1445&gt;0, TEXT(DATE(2016,(MONTH(DATEVALUE(B1444&amp;"1"))+1),1),"mmm"), B1444)</f>
        <v>Nov</v>
      </c>
      <c r="C1445" s="74">
        <f t="shared" ref="C1445" si="805">IF(AND(D1445=0, E1445=0), IF(TEXT(C1444,"dd")=TEXT(EOMONTH(DATE(A1444,MONTH(DATEVALUE(B1444&amp;"1")),C1444),0), "dd"), 1, C1444+1), C1444)</f>
        <v>17</v>
      </c>
      <c r="D1445" s="75">
        <f t="shared" ref="D1445" si="806">IF(IF(E1444=59,D1444+1,D1444)=24,0,IF(E1444=59,D1444+1,D1444))</f>
        <v>14</v>
      </c>
      <c r="E1445" s="76">
        <f t="shared" si="802"/>
        <v>22</v>
      </c>
      <c r="F1445" s="80">
        <v>31</v>
      </c>
      <c r="G1445" s="83"/>
      <c r="H1445" s="69" t="str">
        <f t="shared" ref="H1445" si="807">IF(AND(OR(E1444=$G$3,E1444=$G$4,E1444=$G$5,E1444=$G$6,E1444=$G$7,E1444=$G$8),E1444&lt;&gt;RIGHT(H1444,2)),CONCATENATE(LEFT(J1445,3),LEFT(K1445,3),L1445,"_",A1445,TEXT(MONTH(DATEVALUE(B1445&amp;"1")),"00"),TEXT(C1445,"00"),"_",TEXT(D1445,"00"),"_",TEXT(E1444,"00")),IF(AND(OR(E1445=$G$3,E1445=$G$4,E1445=$G$5,E1445=$G$6,E1445=$G$7,E1445=$G$8),OR(F1445="",F1445&gt;$G$9-1)),CONCATENATE(LEFT(J1445,3),LEFT(K1445,3),L1445,"_",A1445,TEXT(MONTH(DATEVALUE(B1445&amp;"1")),"00"),TEXT(C1445,"00"),"_",TEXT(D1445,"00"),"_",TEXT(E1445,"00")),H1444))</f>
        <v>Senbur6_20191117_14_00</v>
      </c>
      <c r="I1445" s="70">
        <f t="shared" si="803"/>
        <v>1</v>
      </c>
      <c r="J1445" s="77" t="str">
        <f t="shared" si="803"/>
        <v>Senecio</v>
      </c>
      <c r="K1445" s="77" t="str">
        <f t="shared" si="803"/>
        <v>burtoni</v>
      </c>
      <c r="L1445" s="78">
        <f t="shared" si="803"/>
        <v>6</v>
      </c>
      <c r="M1445" s="78">
        <f t="shared" si="803"/>
        <v>12</v>
      </c>
      <c r="N1445" s="72">
        <f t="shared" si="803"/>
        <v>0</v>
      </c>
      <c r="O1445" s="45"/>
      <c r="P1445" s="46">
        <f t="shared" ref="P1445" si="808">IF(F1445="","",1)</f>
        <v>1</v>
      </c>
      <c r="Q1445" s="47" t="str">
        <f t="shared" ref="Q1445" si="809">TEXT(IF(P1445=1,CONCATENATE($D1445,":",$E1445,":",(LEFT($F1445,2))),""),"hh:mm:ss")</f>
        <v>14:22:31</v>
      </c>
      <c r="R1445" s="48" t="str">
        <f t="shared" ref="R1445" si="810">TEXT(Q1445-TIME(0,RIGHT($H1445,2),$G$9)+(Q1445&gt;TIME(0,RIGHT($H1445,2),$G$9)),"mm:ss")</f>
        <v>22:31</v>
      </c>
      <c r="S1445" s="49">
        <f t="shared" ref="S1445" si="811">IF(T1445&lt;D1445, (T1445*3600+U1445*60+V1445)+((23*3600+59*60+60)-(D1445*3600+E1445*60+LEFT(F1445,2))), (T1445*3600+U1445*60+V1445)-(D1445*3600+E1445*60+LEFT(F1445,2)))</f>
        <v>40</v>
      </c>
      <c r="T1445" s="48" t="str">
        <f t="shared" ref="T1445" si="812">TEXT(IF(P1445=1,D1445,""),"00")</f>
        <v>14</v>
      </c>
      <c r="U1445" s="50">
        <v>23</v>
      </c>
      <c r="V1445" s="51">
        <v>11</v>
      </c>
      <c r="W1445" s="52" t="str">
        <f t="shared" ref="W1445" si="813">IF(O1445=0,TEXT(TIME(T1445,U1445,V1445)-TIME(D1445,E1445,RIGHT(F1445,2))+TIME(0,LEFT(R1445,2),RIGHT(R1445,2)),"mm:ss"),TEXT(TIME(T1445,U1445,V1445)-TIME(D1445,E1445,RIGHT(F1445,2))+TIME(0,LEFT(R1445,2),RIGHT(R1445,2))-TIME(0,($G$10*O1445),0),"mm:ss"))</f>
        <v>23:11</v>
      </c>
      <c r="X1445" s="53" t="s">
        <v>61</v>
      </c>
      <c r="Y1445" s="97" t="s">
        <v>84</v>
      </c>
      <c r="Z1445" s="97" t="s">
        <v>80</v>
      </c>
      <c r="AA1445" s="48" t="s">
        <v>60</v>
      </c>
      <c r="AB1445" s="48" t="str">
        <f t="shared" ref="AB1445" si="814">IF(AA1445&lt;&gt;0,"NA","")</f>
        <v>NA</v>
      </c>
      <c r="AC1445" s="54">
        <f t="shared" ref="AC1445" si="815">IF(SUM(AH1445,AJ1445,AL1445,AN1445,AP1445,AR1445,AT1445)=S1445,,"")</f>
        <v>0</v>
      </c>
      <c r="AD1445" s="55">
        <v>3</v>
      </c>
      <c r="AE1445" s="55"/>
      <c r="AF1445" s="55"/>
      <c r="AG1445" s="56">
        <v>1</v>
      </c>
      <c r="AH1445" s="57">
        <v>6</v>
      </c>
      <c r="AI1445" s="56">
        <v>1</v>
      </c>
      <c r="AJ1445" s="57">
        <v>1</v>
      </c>
      <c r="AK1445" s="56">
        <v>1</v>
      </c>
      <c r="AL1445" s="57">
        <v>33</v>
      </c>
      <c r="AM1445" s="56"/>
      <c r="AN1445" s="57" t="str">
        <f t="shared" ref="AN1445" si="816">IF(AM1445=1,$S1445,"")</f>
        <v/>
      </c>
      <c r="AO1445" s="56"/>
      <c r="AP1445" s="57" t="str">
        <f t="shared" ref="AP1445" si="817">IF(AO1445=1,$S1445,"")</f>
        <v/>
      </c>
      <c r="AQ1445" s="56"/>
      <c r="AR1445" s="57" t="str">
        <f t="shared" ref="AR1445" si="818">IF(AQ1445=1,$S1445,"")</f>
        <v/>
      </c>
      <c r="AS1445" s="56"/>
      <c r="AT1445" s="57" t="str">
        <f t="shared" ref="AT1445" si="819">IF(AS1445=1,$S1445,"")</f>
        <v/>
      </c>
      <c r="AU1445" s="58"/>
      <c r="AV1445" s="59"/>
      <c r="AW1445" s="59"/>
      <c r="AX1445" s="60"/>
      <c r="AY1445" s="61">
        <v>1</v>
      </c>
      <c r="AZ1445" s="62">
        <f t="shared" ref="AZ1445" si="820">IF(AY1445=1,AD1445,"")</f>
        <v>3</v>
      </c>
      <c r="BA1445" s="61">
        <f t="shared" ref="BA1445" si="821">IF(P1445=1,0,"")</f>
        <v>0</v>
      </c>
      <c r="BB1445" s="62" t="str">
        <f t="shared" ref="BB1445" si="822">IF(BA1445=1,AD1445,"")</f>
        <v/>
      </c>
    </row>
    <row r="1446" spans="1:54" s="3" customFormat="1" hidden="1" x14ac:dyDescent="0.35">
      <c r="A1446" s="73">
        <f>A1444</f>
        <v>2019</v>
      </c>
      <c r="B1446" s="73" t="str">
        <f>IF(C1444-C1446&gt;0, TEXT(DATE(2016,(MONTH(DATEVALUE(B1444&amp;"1"))+1),1),"mmm"), B1444)</f>
        <v>Nov</v>
      </c>
      <c r="C1446" s="74">
        <f>IF(AND(D1446=0, E1446=0), IF(TEXT(C1444,"dd")=TEXT(EOMONTH(DATE(A1444,MONTH(DATEVALUE(B1444&amp;"1")),C1444),0), "dd"), 1, C1444+1), C1444)</f>
        <v>17</v>
      </c>
      <c r="D1446" s="75">
        <f>IF(IF(E1444=59,D1444+1,D1444)=24,0,IF(E1444=59,D1444+1,D1444))</f>
        <v>14</v>
      </c>
      <c r="E1446" s="76">
        <f>IF(E1444&lt;59,E1444+1,0)</f>
        <v>22</v>
      </c>
      <c r="F1446" s="80">
        <v>31</v>
      </c>
      <c r="G1446" s="83"/>
      <c r="H1446" s="69" t="str">
        <f>IF(AND(OR(E1444=$G$3,E1444=$G$4,E1444=$G$5,E1444=$G$6,E1444=$G$7,E1444=$G$8),E1444&lt;&gt;RIGHT(H1444,2)),CONCATENATE(LEFT(J1446,3),LEFT(K1446,3),L1446,"_",A1446,TEXT(MONTH(DATEVALUE(B1446&amp;"1")),"00"),TEXT(C1446,"00"),"_",TEXT(D1446,"00"),"_",TEXT(E1444,"00")),IF(AND(OR(E1446=$G$3,E1446=$G$4,E1446=$G$5,E1446=$G$6,E1446=$G$7,E1446=$G$8),OR(F1446="",F1446&gt;$G$9-1)),CONCATENATE(LEFT(J1446,3),LEFT(K1446,3),L1446,"_",A1446,TEXT(MONTH(DATEVALUE(B1446&amp;"1")),"00"),TEXT(C1446,"00"),"_",TEXT(D1446,"00"),"_",TEXT(E1446,"00")),H1444))</f>
        <v>Senbur6_20191117_14_00</v>
      </c>
      <c r="I1446" s="70">
        <f t="shared" ref="I1446:N1446" si="823">I1444</f>
        <v>1</v>
      </c>
      <c r="J1446" s="77" t="str">
        <f t="shared" si="823"/>
        <v>Senecio</v>
      </c>
      <c r="K1446" s="77" t="str">
        <f t="shared" si="823"/>
        <v>burtoni</v>
      </c>
      <c r="L1446" s="78">
        <f t="shared" si="823"/>
        <v>6</v>
      </c>
      <c r="M1446" s="78">
        <f t="shared" si="823"/>
        <v>12</v>
      </c>
      <c r="N1446" s="72">
        <f t="shared" si="823"/>
        <v>0</v>
      </c>
      <c r="O1446" s="45"/>
      <c r="P1446" s="46">
        <f t="shared" si="772"/>
        <v>1</v>
      </c>
      <c r="Q1446" s="47" t="str">
        <f t="shared" si="773"/>
        <v>14:22:31</v>
      </c>
      <c r="R1446" s="48" t="str">
        <f t="shared" si="774"/>
        <v>22:31</v>
      </c>
      <c r="S1446" s="49">
        <f t="shared" si="767"/>
        <v>45</v>
      </c>
      <c r="T1446" s="48" t="str">
        <f t="shared" si="775"/>
        <v>14</v>
      </c>
      <c r="U1446" s="50">
        <v>23</v>
      </c>
      <c r="V1446" s="51">
        <v>16</v>
      </c>
      <c r="W1446" s="52" t="str">
        <f t="shared" si="776"/>
        <v>23:16</v>
      </c>
      <c r="X1446" s="53" t="s">
        <v>61</v>
      </c>
      <c r="Y1446" s="97" t="s">
        <v>78</v>
      </c>
      <c r="Z1446" s="97"/>
      <c r="AA1446" s="48" t="s">
        <v>60</v>
      </c>
      <c r="AB1446" s="48" t="str">
        <f t="shared" si="790"/>
        <v>NA</v>
      </c>
      <c r="AC1446" s="54">
        <f t="shared" si="777"/>
        <v>0</v>
      </c>
      <c r="AD1446" s="55">
        <v>2</v>
      </c>
      <c r="AE1446" s="55"/>
      <c r="AF1446" s="55"/>
      <c r="AG1446" s="56" t="str">
        <f t="shared" si="778"/>
        <v/>
      </c>
      <c r="AH1446" s="57" t="str">
        <f t="shared" si="779"/>
        <v/>
      </c>
      <c r="AI1446" s="56">
        <v>1</v>
      </c>
      <c r="AJ1446" s="57">
        <v>2</v>
      </c>
      <c r="AK1446" s="56">
        <v>1</v>
      </c>
      <c r="AL1446" s="57">
        <v>43</v>
      </c>
      <c r="AM1446" s="56"/>
      <c r="AN1446" s="57" t="str">
        <f t="shared" si="780"/>
        <v/>
      </c>
      <c r="AO1446" s="56"/>
      <c r="AP1446" s="57" t="str">
        <f t="shared" si="781"/>
        <v/>
      </c>
      <c r="AQ1446" s="56"/>
      <c r="AR1446" s="57" t="str">
        <f t="shared" si="782"/>
        <v/>
      </c>
      <c r="AS1446" s="56"/>
      <c r="AT1446" s="57" t="str">
        <f t="shared" si="783"/>
        <v/>
      </c>
      <c r="AU1446" s="58"/>
      <c r="AV1446" s="59"/>
      <c r="AW1446" s="59"/>
      <c r="AX1446" s="60"/>
      <c r="AY1446" s="61">
        <v>1</v>
      </c>
      <c r="AZ1446" s="62">
        <f t="shared" si="784"/>
        <v>2</v>
      </c>
      <c r="BA1446" s="61">
        <f t="shared" si="785"/>
        <v>0</v>
      </c>
      <c r="BB1446" s="62" t="str">
        <f t="shared" si="786"/>
        <v/>
      </c>
    </row>
    <row r="1447" spans="1:54" s="3" customFormat="1" hidden="1" x14ac:dyDescent="0.35">
      <c r="A1447" s="73">
        <f t="shared" si="799"/>
        <v>2019</v>
      </c>
      <c r="B1447" s="73" t="str">
        <f t="shared" ref="B1447:B1512" si="824">IF(C1446-C1447&gt;0, TEXT(DATE(2016,(MONTH(DATEVALUE(B1446&amp;"1"))+1),1),"mmm"), B1446)</f>
        <v>Nov</v>
      </c>
      <c r="C1447" s="74">
        <f t="shared" ref="C1447:C1512" si="825">IF(AND(D1447=0, E1447=0), IF(TEXT(C1446,"dd")=TEXT(EOMONTH(DATE(A1446,MONTH(DATEVALUE(B1446&amp;"1")),C1446),0), "dd"), 1, C1446+1), C1446)</f>
        <v>17</v>
      </c>
      <c r="D1447" s="75">
        <f t="shared" ref="D1447:D1512" si="826">IF(IF(E1446=59,D1446+1,D1446)=24,0,IF(E1446=59,D1446+1,D1446))</f>
        <v>14</v>
      </c>
      <c r="E1447" s="76">
        <v>22</v>
      </c>
      <c r="F1447" s="80">
        <v>40</v>
      </c>
      <c r="G1447" s="83"/>
      <c r="H1447" s="69" t="str">
        <f t="shared" ref="H1447:H1512" si="827">IF(AND(OR(E1446=$G$3,E1446=$G$4,E1446=$G$5,E1446=$G$6,E1446=$G$7,E1446=$G$8),E1446&lt;&gt;RIGHT(H1446,2)),CONCATENATE(LEFT(J1447,3),LEFT(K1447,3),L1447,"_",A1447,TEXT(MONTH(DATEVALUE(B1447&amp;"1")),"00"),TEXT(C1447,"00"),"_",TEXT(D1447,"00"),"_",TEXT(E1446,"00")),IF(AND(OR(E1447=$G$3,E1447=$G$4,E1447=$G$5,E1447=$G$6,E1447=$G$7,E1447=$G$8),OR(F1447="",F1447&gt;$G$9-1)),CONCATENATE(LEFT(J1447,3),LEFT(K1447,3),L1447,"_",A1447,TEXT(MONTH(DATEVALUE(B1447&amp;"1")),"00"),TEXT(C1447,"00"),"_",TEXT(D1447,"00"),"_",TEXT(E1447,"00")),H1446))</f>
        <v>Senbur6_20191117_14_00</v>
      </c>
      <c r="I1447" s="70">
        <f t="shared" ref="I1447:N1447" si="828">I1446</f>
        <v>1</v>
      </c>
      <c r="J1447" s="77" t="str">
        <f t="shared" si="828"/>
        <v>Senecio</v>
      </c>
      <c r="K1447" s="77" t="str">
        <f t="shared" si="828"/>
        <v>burtoni</v>
      </c>
      <c r="L1447" s="78">
        <f t="shared" si="828"/>
        <v>6</v>
      </c>
      <c r="M1447" s="78">
        <f t="shared" si="828"/>
        <v>12</v>
      </c>
      <c r="N1447" s="72">
        <f t="shared" si="828"/>
        <v>0</v>
      </c>
      <c r="O1447" s="45"/>
      <c r="P1447" s="46">
        <f t="shared" ref="P1447:P1512" si="829">IF(F1447="","",1)</f>
        <v>1</v>
      </c>
      <c r="Q1447" s="47" t="str">
        <f t="shared" ref="Q1447:Q1512" si="830">TEXT(IF(P1447=1,CONCATENATE($D1447,":",$E1447,":",(LEFT($F1447,2))),""),"hh:mm:ss")</f>
        <v>14:22:40</v>
      </c>
      <c r="R1447" s="48" t="str">
        <f t="shared" ref="R1447:R1512" si="831">TEXT(Q1447-TIME(0,RIGHT($H1447,2),$G$9)+(Q1447&gt;TIME(0,RIGHT($H1447,2),$G$9)),"mm:ss")</f>
        <v>22:40</v>
      </c>
      <c r="S1447" s="49">
        <f t="shared" ref="S1447:S1512" si="832">IF(T1447&lt;D1447, (T1447*3600+U1447*60+V1447)+((23*3600+59*60+60)-(D1447*3600+E1447*60+LEFT(F1447,2))), (T1447*3600+U1447*60+V1447)-(D1447*3600+E1447*60+LEFT(F1447,2)))</f>
        <v>4</v>
      </c>
      <c r="T1447" s="48" t="str">
        <f t="shared" ref="T1447:T1512" si="833">TEXT(IF(P1447=1,D1447,""),"00")</f>
        <v>14</v>
      </c>
      <c r="U1447" s="50">
        <v>22</v>
      </c>
      <c r="V1447" s="51">
        <v>44</v>
      </c>
      <c r="W1447" s="52" t="str">
        <f t="shared" ref="W1447:W1512" si="834">IF(O1447=0,TEXT(TIME(T1447,U1447,V1447)-TIME(D1447,E1447,RIGHT(F1447,2))+TIME(0,LEFT(R1447,2),RIGHT(R1447,2)),"mm:ss"),TEXT(TIME(T1447,U1447,V1447)-TIME(D1447,E1447,RIGHT(F1447,2))+TIME(0,LEFT(R1447,2),RIGHT(R1447,2))-TIME(0,($G$10*O1447),0),"mm:ss"))</f>
        <v>22:44</v>
      </c>
      <c r="X1447" s="53" t="s">
        <v>61</v>
      </c>
      <c r="Y1447" s="97" t="s">
        <v>78</v>
      </c>
      <c r="Z1447" s="97"/>
      <c r="AA1447" s="48" t="s">
        <v>60</v>
      </c>
      <c r="AB1447" s="48" t="str">
        <f t="shared" ref="AB1447:AB1512" si="835">IF(AA1447&lt;&gt;0,"NA","")</f>
        <v>NA</v>
      </c>
      <c r="AC1447" s="54">
        <f t="shared" ref="AC1447:AC1512" si="836">IF(SUM(AH1447,AJ1447,AL1447,AN1447,AP1447,AR1447,AT1447)=S1447,,"")</f>
        <v>0</v>
      </c>
      <c r="AD1447" s="55">
        <f t="shared" ref="AD1447:AD1512" si="837">IF(P1447=1,1,"")</f>
        <v>1</v>
      </c>
      <c r="AE1447" s="55"/>
      <c r="AF1447" s="55"/>
      <c r="AG1447" s="56">
        <v>1</v>
      </c>
      <c r="AH1447" s="57">
        <f t="shared" ref="AH1447:AH1512" si="838">IF(AG1447=1,$S1447,"")</f>
        <v>4</v>
      </c>
      <c r="AI1447" s="56"/>
      <c r="AJ1447" s="57" t="str">
        <f t="shared" ref="AJ1447:AJ1512" si="839">IF(AI1447=1,$S1447,"")</f>
        <v/>
      </c>
      <c r="AK1447" s="56"/>
      <c r="AL1447" s="57" t="str">
        <f t="shared" ref="AL1447:AL1512" si="840">IF(AK1447=1,$S1447,"")</f>
        <v/>
      </c>
      <c r="AM1447" s="56"/>
      <c r="AN1447" s="57" t="str">
        <f t="shared" ref="AN1447:AN1512" si="841">IF(AM1447=1,$S1447,"")</f>
        <v/>
      </c>
      <c r="AO1447" s="56"/>
      <c r="AP1447" s="57" t="str">
        <f t="shared" ref="AP1447:AP1512" si="842">IF(AO1447=1,$S1447,"")</f>
        <v/>
      </c>
      <c r="AQ1447" s="56"/>
      <c r="AR1447" s="57" t="str">
        <f t="shared" ref="AR1447:AR1512" si="843">IF(AQ1447=1,$S1447,"")</f>
        <v/>
      </c>
      <c r="AS1447" s="56"/>
      <c r="AT1447" s="57" t="str">
        <f t="shared" ref="AT1447:AT1512" si="844">IF(AS1447=1,$S1447,"")</f>
        <v/>
      </c>
      <c r="AU1447" s="58"/>
      <c r="AV1447" s="59"/>
      <c r="AW1447" s="59"/>
      <c r="AX1447" s="60"/>
      <c r="AY1447" s="61">
        <f t="shared" ref="AY1447:AY1506" si="845">IF(P1447=1,0,"")</f>
        <v>0</v>
      </c>
      <c r="AZ1447" s="62" t="str">
        <f t="shared" ref="AZ1447:AZ1512" si="846">IF(AY1447=1,AD1447,"")</f>
        <v/>
      </c>
      <c r="BA1447" s="61">
        <f t="shared" ref="BA1447:BA1512" si="847">IF(P1447=1,0,"")</f>
        <v>0</v>
      </c>
      <c r="BB1447" s="62" t="str">
        <f t="shared" ref="BB1447:BB1512" si="848">IF(BA1447=1,AD1447,"")</f>
        <v/>
      </c>
    </row>
    <row r="1448" spans="1:54" hidden="1" x14ac:dyDescent="0.35">
      <c r="A1448" s="73">
        <f t="shared" si="799"/>
        <v>2019</v>
      </c>
      <c r="B1448" s="73" t="str">
        <f t="shared" si="824"/>
        <v>Nov</v>
      </c>
      <c r="C1448" s="74">
        <f t="shared" si="825"/>
        <v>17</v>
      </c>
      <c r="D1448" s="75">
        <f t="shared" si="826"/>
        <v>14</v>
      </c>
      <c r="E1448" s="76">
        <f t="shared" si="802"/>
        <v>23</v>
      </c>
      <c r="F1448" s="80">
        <v>13</v>
      </c>
      <c r="G1448" s="83"/>
      <c r="H1448" s="69" t="str">
        <f t="shared" si="827"/>
        <v>Senbur6_20191117_14_00</v>
      </c>
      <c r="I1448" s="70">
        <f t="shared" ref="I1448:N1448" si="849">I1447</f>
        <v>1</v>
      </c>
      <c r="J1448" s="77" t="str">
        <f t="shared" si="849"/>
        <v>Senecio</v>
      </c>
      <c r="K1448" s="77" t="str">
        <f t="shared" si="849"/>
        <v>burtoni</v>
      </c>
      <c r="L1448" s="78">
        <f t="shared" si="849"/>
        <v>6</v>
      </c>
      <c r="M1448" s="78">
        <f t="shared" si="849"/>
        <v>12</v>
      </c>
      <c r="N1448" s="72">
        <f t="shared" si="849"/>
        <v>0</v>
      </c>
      <c r="O1448" s="45"/>
      <c r="P1448" s="46">
        <f t="shared" si="829"/>
        <v>1</v>
      </c>
      <c r="Q1448" s="47" t="str">
        <f t="shared" si="830"/>
        <v>14:23:13</v>
      </c>
      <c r="R1448" s="48" t="str">
        <f t="shared" si="831"/>
        <v>23:13</v>
      </c>
      <c r="S1448" s="49">
        <f t="shared" si="832"/>
        <v>21</v>
      </c>
      <c r="T1448" s="48" t="str">
        <f t="shared" si="833"/>
        <v>14</v>
      </c>
      <c r="U1448" s="50">
        <v>23</v>
      </c>
      <c r="V1448" s="51">
        <v>34</v>
      </c>
      <c r="W1448" s="52" t="str">
        <f t="shared" si="834"/>
        <v>23:34</v>
      </c>
      <c r="X1448" s="53" t="s">
        <v>61</v>
      </c>
      <c r="Y1448" s="97" t="s">
        <v>84</v>
      </c>
      <c r="Z1448" s="97" t="s">
        <v>80</v>
      </c>
      <c r="AA1448" s="48" t="s">
        <v>60</v>
      </c>
      <c r="AB1448" s="48" t="str">
        <f t="shared" si="835"/>
        <v>NA</v>
      </c>
      <c r="AC1448" s="54">
        <f t="shared" si="836"/>
        <v>0</v>
      </c>
      <c r="AD1448" s="55">
        <f t="shared" si="837"/>
        <v>1</v>
      </c>
      <c r="AE1448" s="55"/>
      <c r="AF1448" s="55"/>
      <c r="AG1448" s="56">
        <v>1</v>
      </c>
      <c r="AH1448" s="57">
        <v>3</v>
      </c>
      <c r="AI1448" s="56"/>
      <c r="AJ1448" s="57" t="str">
        <f t="shared" si="839"/>
        <v/>
      </c>
      <c r="AK1448" s="56">
        <v>1</v>
      </c>
      <c r="AL1448" s="57">
        <v>18</v>
      </c>
      <c r="AM1448" s="56"/>
      <c r="AN1448" s="57" t="str">
        <f t="shared" si="841"/>
        <v/>
      </c>
      <c r="AO1448" s="56"/>
      <c r="AP1448" s="57" t="str">
        <f t="shared" si="842"/>
        <v/>
      </c>
      <c r="AQ1448" s="56"/>
      <c r="AR1448" s="57" t="str">
        <f t="shared" si="843"/>
        <v/>
      </c>
      <c r="AS1448" s="56"/>
      <c r="AT1448" s="57" t="str">
        <f t="shared" si="844"/>
        <v/>
      </c>
      <c r="AU1448" s="58"/>
      <c r="AV1448" s="59"/>
      <c r="AW1448" s="59"/>
      <c r="AX1448" s="60"/>
      <c r="AY1448" s="61">
        <v>1</v>
      </c>
      <c r="AZ1448" s="62">
        <f t="shared" si="846"/>
        <v>1</v>
      </c>
      <c r="BA1448" s="61">
        <f t="shared" si="847"/>
        <v>0</v>
      </c>
      <c r="BB1448" s="62" t="str">
        <f t="shared" si="848"/>
        <v/>
      </c>
    </row>
    <row r="1449" spans="1:54" hidden="1" x14ac:dyDescent="0.35">
      <c r="A1449" s="73">
        <f t="shared" si="799"/>
        <v>2019</v>
      </c>
      <c r="B1449" s="73" t="str">
        <f t="shared" si="824"/>
        <v>Nov</v>
      </c>
      <c r="C1449" s="74">
        <f t="shared" si="825"/>
        <v>17</v>
      </c>
      <c r="D1449" s="75">
        <f t="shared" si="826"/>
        <v>14</v>
      </c>
      <c r="E1449" s="76">
        <v>23</v>
      </c>
      <c r="F1449" s="80">
        <v>33</v>
      </c>
      <c r="G1449" s="83"/>
      <c r="H1449" s="69" t="str">
        <f t="shared" si="827"/>
        <v>Senbur6_20191117_14_00</v>
      </c>
      <c r="I1449" s="70">
        <f t="shared" ref="I1449:N1449" si="850">I1448</f>
        <v>1</v>
      </c>
      <c r="J1449" s="77" t="str">
        <f t="shared" si="850"/>
        <v>Senecio</v>
      </c>
      <c r="K1449" s="77" t="str">
        <f t="shared" si="850"/>
        <v>burtoni</v>
      </c>
      <c r="L1449" s="78">
        <f t="shared" si="850"/>
        <v>6</v>
      </c>
      <c r="M1449" s="78">
        <f t="shared" si="850"/>
        <v>12</v>
      </c>
      <c r="N1449" s="72">
        <f t="shared" si="850"/>
        <v>0</v>
      </c>
      <c r="O1449" s="45"/>
      <c r="P1449" s="46">
        <f t="shared" si="829"/>
        <v>1</v>
      </c>
      <c r="Q1449" s="47" t="str">
        <f t="shared" si="830"/>
        <v>14:23:33</v>
      </c>
      <c r="R1449" s="48" t="str">
        <f t="shared" si="831"/>
        <v>23:33</v>
      </c>
      <c r="S1449" s="49">
        <f t="shared" si="832"/>
        <v>6</v>
      </c>
      <c r="T1449" s="48" t="str">
        <f t="shared" si="833"/>
        <v>14</v>
      </c>
      <c r="U1449" s="50">
        <v>23</v>
      </c>
      <c r="V1449" s="51">
        <v>39</v>
      </c>
      <c r="W1449" s="52" t="str">
        <f t="shared" si="834"/>
        <v>23:39</v>
      </c>
      <c r="X1449" s="53" t="s">
        <v>73</v>
      </c>
      <c r="Y1449" s="97" t="s">
        <v>90</v>
      </c>
      <c r="Z1449" s="97"/>
      <c r="AA1449" s="48" t="s">
        <v>63</v>
      </c>
      <c r="AB1449" s="48" t="str">
        <f t="shared" si="835"/>
        <v>NA</v>
      </c>
      <c r="AC1449" s="54">
        <f t="shared" si="836"/>
        <v>0</v>
      </c>
      <c r="AD1449" s="55">
        <f t="shared" si="837"/>
        <v>1</v>
      </c>
      <c r="AE1449" s="55"/>
      <c r="AF1449" s="55"/>
      <c r="AG1449" s="56" t="str">
        <f t="shared" ref="AG1449:AG1512" si="851">IF(OR(X1449="Something small"),1,"")</f>
        <v/>
      </c>
      <c r="AH1449" s="57" t="str">
        <f t="shared" si="838"/>
        <v/>
      </c>
      <c r="AI1449" s="56"/>
      <c r="AJ1449" s="57" t="str">
        <f t="shared" si="839"/>
        <v/>
      </c>
      <c r="AK1449" s="56">
        <v>1</v>
      </c>
      <c r="AL1449" s="57">
        <v>6</v>
      </c>
      <c r="AM1449" s="56"/>
      <c r="AN1449" s="57" t="str">
        <f t="shared" si="841"/>
        <v/>
      </c>
      <c r="AO1449" s="56"/>
      <c r="AP1449" s="57" t="str">
        <f t="shared" si="842"/>
        <v/>
      </c>
      <c r="AQ1449" s="56"/>
      <c r="AR1449" s="57" t="str">
        <f t="shared" si="843"/>
        <v/>
      </c>
      <c r="AS1449" s="56"/>
      <c r="AT1449" s="57" t="str">
        <f t="shared" si="844"/>
        <v/>
      </c>
      <c r="AU1449" s="58"/>
      <c r="AV1449" s="59"/>
      <c r="AW1449" s="59"/>
      <c r="AX1449" s="60"/>
      <c r="AY1449" s="61">
        <v>1</v>
      </c>
      <c r="AZ1449" s="62">
        <f t="shared" si="846"/>
        <v>1</v>
      </c>
      <c r="BA1449" s="61">
        <f t="shared" si="847"/>
        <v>0</v>
      </c>
      <c r="BB1449" s="62" t="str">
        <f t="shared" si="848"/>
        <v/>
      </c>
    </row>
    <row r="1450" spans="1:54" hidden="1" x14ac:dyDescent="0.35">
      <c r="A1450" s="73">
        <f t="shared" si="799"/>
        <v>2019</v>
      </c>
      <c r="B1450" s="73" t="str">
        <f t="shared" si="824"/>
        <v>Nov</v>
      </c>
      <c r="C1450" s="74">
        <f t="shared" si="825"/>
        <v>17</v>
      </c>
      <c r="D1450" s="75">
        <f t="shared" si="826"/>
        <v>14</v>
      </c>
      <c r="E1450" s="76">
        <f t="shared" si="802"/>
        <v>24</v>
      </c>
      <c r="F1450" s="80"/>
      <c r="G1450" s="83"/>
      <c r="H1450" s="69" t="str">
        <f t="shared" si="827"/>
        <v>Senbur6_20191117_14_00</v>
      </c>
      <c r="I1450" s="70">
        <f t="shared" ref="I1450:N1450" si="852">I1449</f>
        <v>1</v>
      </c>
      <c r="J1450" s="77" t="str">
        <f t="shared" si="852"/>
        <v>Senecio</v>
      </c>
      <c r="K1450" s="77" t="str">
        <f t="shared" si="852"/>
        <v>burtoni</v>
      </c>
      <c r="L1450" s="78">
        <f t="shared" si="852"/>
        <v>6</v>
      </c>
      <c r="M1450" s="78">
        <f t="shared" si="852"/>
        <v>12</v>
      </c>
      <c r="N1450" s="72">
        <f t="shared" si="852"/>
        <v>0</v>
      </c>
      <c r="O1450" s="45"/>
      <c r="P1450" s="46" t="str">
        <f t="shared" si="829"/>
        <v/>
      </c>
      <c r="Q1450" s="47" t="str">
        <f t="shared" si="830"/>
        <v/>
      </c>
      <c r="R1450" s="48" t="e">
        <f t="shared" si="831"/>
        <v>#VALUE!</v>
      </c>
      <c r="S1450" s="49" t="e">
        <f t="shared" si="832"/>
        <v>#VALUE!</v>
      </c>
      <c r="T1450" s="48" t="str">
        <f t="shared" si="833"/>
        <v/>
      </c>
      <c r="U1450" s="50"/>
      <c r="V1450" s="51"/>
      <c r="W1450" s="52" t="e">
        <f t="shared" si="834"/>
        <v>#VALUE!</v>
      </c>
      <c r="X1450" s="53"/>
      <c r="Y1450" s="53"/>
      <c r="Z1450" s="53"/>
      <c r="AA1450" s="48" t="e">
        <f>INDEX([1]!VISITORS[INSECT ORDER], MATCH(X1450,[1]!VISITORS[NAME USED],0))</f>
        <v>#REF!</v>
      </c>
      <c r="AB1450" s="48" t="e">
        <f t="shared" si="835"/>
        <v>#REF!</v>
      </c>
      <c r="AC1450" s="54" t="e">
        <f t="shared" si="836"/>
        <v>#VALUE!</v>
      </c>
      <c r="AD1450" s="55" t="str">
        <f t="shared" si="837"/>
        <v/>
      </c>
      <c r="AE1450" s="55"/>
      <c r="AF1450" s="55"/>
      <c r="AG1450" s="56" t="str">
        <f t="shared" si="851"/>
        <v/>
      </c>
      <c r="AH1450" s="57" t="str">
        <f t="shared" si="838"/>
        <v/>
      </c>
      <c r="AI1450" s="56"/>
      <c r="AJ1450" s="57" t="str">
        <f t="shared" si="839"/>
        <v/>
      </c>
      <c r="AK1450" s="56"/>
      <c r="AL1450" s="57" t="str">
        <f t="shared" si="840"/>
        <v/>
      </c>
      <c r="AM1450" s="56"/>
      <c r="AN1450" s="57" t="str">
        <f t="shared" si="841"/>
        <v/>
      </c>
      <c r="AO1450" s="56"/>
      <c r="AP1450" s="57" t="str">
        <f t="shared" si="842"/>
        <v/>
      </c>
      <c r="AQ1450" s="56"/>
      <c r="AR1450" s="57" t="str">
        <f t="shared" si="843"/>
        <v/>
      </c>
      <c r="AS1450" s="56"/>
      <c r="AT1450" s="57" t="str">
        <f t="shared" si="844"/>
        <v/>
      </c>
      <c r="AU1450" s="58"/>
      <c r="AV1450" s="59"/>
      <c r="AW1450" s="59"/>
      <c r="AX1450" s="60"/>
      <c r="AY1450" s="61" t="str">
        <f t="shared" si="845"/>
        <v/>
      </c>
      <c r="AZ1450" s="62" t="str">
        <f t="shared" si="846"/>
        <v/>
      </c>
      <c r="BA1450" s="61" t="str">
        <f t="shared" si="847"/>
        <v/>
      </c>
      <c r="BB1450" s="62" t="str">
        <f t="shared" si="848"/>
        <v/>
      </c>
    </row>
    <row r="1451" spans="1:54" hidden="1" x14ac:dyDescent="0.35">
      <c r="A1451" s="73">
        <f t="shared" si="799"/>
        <v>2019</v>
      </c>
      <c r="B1451" s="73" t="str">
        <f t="shared" si="824"/>
        <v>Nov</v>
      </c>
      <c r="C1451" s="74">
        <f t="shared" si="825"/>
        <v>17</v>
      </c>
      <c r="D1451" s="75">
        <f t="shared" si="826"/>
        <v>14</v>
      </c>
      <c r="E1451" s="76">
        <f t="shared" si="802"/>
        <v>25</v>
      </c>
      <c r="F1451" s="80">
        <v>11</v>
      </c>
      <c r="G1451" s="83"/>
      <c r="H1451" s="69" t="str">
        <f t="shared" si="827"/>
        <v>Senbur6_20191117_14_00</v>
      </c>
      <c r="I1451" s="70">
        <f t="shared" ref="I1451:N1451" si="853">I1450</f>
        <v>1</v>
      </c>
      <c r="J1451" s="77" t="str">
        <f t="shared" si="853"/>
        <v>Senecio</v>
      </c>
      <c r="K1451" s="77" t="str">
        <f t="shared" si="853"/>
        <v>burtoni</v>
      </c>
      <c r="L1451" s="78">
        <f t="shared" si="853"/>
        <v>6</v>
      </c>
      <c r="M1451" s="78">
        <f t="shared" si="853"/>
        <v>12</v>
      </c>
      <c r="N1451" s="72">
        <f t="shared" si="853"/>
        <v>0</v>
      </c>
      <c r="O1451" s="45"/>
      <c r="P1451" s="46">
        <f t="shared" si="829"/>
        <v>1</v>
      </c>
      <c r="Q1451" s="47" t="str">
        <f t="shared" si="830"/>
        <v>14:25:11</v>
      </c>
      <c r="R1451" s="48" t="str">
        <f t="shared" si="831"/>
        <v>25:11</v>
      </c>
      <c r="S1451" s="49">
        <f t="shared" si="832"/>
        <v>29</v>
      </c>
      <c r="T1451" s="48" t="str">
        <f t="shared" si="833"/>
        <v>14</v>
      </c>
      <c r="U1451" s="50">
        <v>25</v>
      </c>
      <c r="V1451" s="51">
        <v>40</v>
      </c>
      <c r="W1451" s="52" t="str">
        <f t="shared" si="834"/>
        <v>25:40</v>
      </c>
      <c r="X1451" s="53" t="s">
        <v>61</v>
      </c>
      <c r="Y1451" s="97" t="s">
        <v>78</v>
      </c>
      <c r="Z1451" s="97"/>
      <c r="AA1451" s="48" t="s">
        <v>60</v>
      </c>
      <c r="AB1451" s="48" t="str">
        <f t="shared" si="835"/>
        <v>NA</v>
      </c>
      <c r="AC1451" s="54">
        <f t="shared" si="836"/>
        <v>0</v>
      </c>
      <c r="AD1451" s="55">
        <v>2</v>
      </c>
      <c r="AE1451" s="55"/>
      <c r="AF1451" s="55"/>
      <c r="AG1451" s="56" t="str">
        <f t="shared" si="851"/>
        <v/>
      </c>
      <c r="AH1451" s="57" t="str">
        <f t="shared" si="838"/>
        <v/>
      </c>
      <c r="AI1451" s="56">
        <v>1</v>
      </c>
      <c r="AJ1451" s="57">
        <v>1</v>
      </c>
      <c r="AK1451" s="56">
        <v>1</v>
      </c>
      <c r="AL1451" s="57">
        <v>28</v>
      </c>
      <c r="AM1451" s="56"/>
      <c r="AN1451" s="57" t="str">
        <f t="shared" si="841"/>
        <v/>
      </c>
      <c r="AO1451" s="56"/>
      <c r="AP1451" s="57" t="str">
        <f t="shared" si="842"/>
        <v/>
      </c>
      <c r="AQ1451" s="56"/>
      <c r="AR1451" s="57" t="str">
        <f t="shared" si="843"/>
        <v/>
      </c>
      <c r="AS1451" s="56"/>
      <c r="AT1451" s="57" t="str">
        <f t="shared" si="844"/>
        <v/>
      </c>
      <c r="AU1451" s="58"/>
      <c r="AV1451" s="59"/>
      <c r="AW1451" s="59"/>
      <c r="AX1451" s="60"/>
      <c r="AY1451" s="61">
        <v>1</v>
      </c>
      <c r="AZ1451" s="62">
        <f t="shared" si="846"/>
        <v>2</v>
      </c>
      <c r="BA1451" s="61">
        <f t="shared" si="847"/>
        <v>0</v>
      </c>
      <c r="BB1451" s="62" t="str">
        <f t="shared" si="848"/>
        <v/>
      </c>
    </row>
    <row r="1452" spans="1:54" hidden="1" x14ac:dyDescent="0.35">
      <c r="A1452" s="73">
        <f t="shared" si="799"/>
        <v>2019</v>
      </c>
      <c r="B1452" s="73" t="str">
        <f t="shared" si="824"/>
        <v>Nov</v>
      </c>
      <c r="C1452" s="74">
        <f t="shared" si="825"/>
        <v>17</v>
      </c>
      <c r="D1452" s="75">
        <f t="shared" si="826"/>
        <v>14</v>
      </c>
      <c r="E1452" s="76">
        <f t="shared" si="802"/>
        <v>26</v>
      </c>
      <c r="F1452" s="80"/>
      <c r="G1452" s="83"/>
      <c r="H1452" s="69" t="str">
        <f t="shared" si="827"/>
        <v>Senbur6_20191117_14_00</v>
      </c>
      <c r="I1452" s="70">
        <f t="shared" ref="I1452:N1452" si="854">I1451</f>
        <v>1</v>
      </c>
      <c r="J1452" s="77" t="str">
        <f t="shared" si="854"/>
        <v>Senecio</v>
      </c>
      <c r="K1452" s="77" t="str">
        <f t="shared" si="854"/>
        <v>burtoni</v>
      </c>
      <c r="L1452" s="78">
        <f t="shared" si="854"/>
        <v>6</v>
      </c>
      <c r="M1452" s="78">
        <f t="shared" si="854"/>
        <v>12</v>
      </c>
      <c r="N1452" s="72">
        <f t="shared" si="854"/>
        <v>0</v>
      </c>
      <c r="O1452" s="45"/>
      <c r="P1452" s="46" t="str">
        <f t="shared" si="829"/>
        <v/>
      </c>
      <c r="Q1452" s="47" t="str">
        <f t="shared" si="830"/>
        <v/>
      </c>
      <c r="R1452" s="48" t="e">
        <f t="shared" si="831"/>
        <v>#VALUE!</v>
      </c>
      <c r="S1452" s="49" t="e">
        <f t="shared" si="832"/>
        <v>#VALUE!</v>
      </c>
      <c r="T1452" s="48" t="str">
        <f t="shared" si="833"/>
        <v/>
      </c>
      <c r="U1452" s="50"/>
      <c r="V1452" s="51"/>
      <c r="W1452" s="52" t="e">
        <f t="shared" si="834"/>
        <v>#VALUE!</v>
      </c>
      <c r="X1452" s="53"/>
      <c r="Y1452" s="53"/>
      <c r="Z1452" s="53"/>
      <c r="AA1452" s="48" t="e">
        <f>INDEX([1]!VISITORS[INSECT ORDER], MATCH(X1452,[1]!VISITORS[NAME USED],0))</f>
        <v>#REF!</v>
      </c>
      <c r="AB1452" s="48" t="e">
        <f t="shared" si="835"/>
        <v>#REF!</v>
      </c>
      <c r="AC1452" s="54" t="e">
        <f t="shared" si="836"/>
        <v>#VALUE!</v>
      </c>
      <c r="AD1452" s="55" t="str">
        <f t="shared" si="837"/>
        <v/>
      </c>
      <c r="AE1452" s="55"/>
      <c r="AF1452" s="55"/>
      <c r="AG1452" s="56" t="str">
        <f t="shared" si="851"/>
        <v/>
      </c>
      <c r="AH1452" s="57" t="str">
        <f t="shared" si="838"/>
        <v/>
      </c>
      <c r="AI1452" s="56"/>
      <c r="AJ1452" s="57" t="str">
        <f t="shared" si="839"/>
        <v/>
      </c>
      <c r="AK1452" s="56"/>
      <c r="AL1452" s="57" t="str">
        <f t="shared" si="840"/>
        <v/>
      </c>
      <c r="AM1452" s="56"/>
      <c r="AN1452" s="57" t="str">
        <f t="shared" si="841"/>
        <v/>
      </c>
      <c r="AO1452" s="56"/>
      <c r="AP1452" s="57" t="str">
        <f t="shared" si="842"/>
        <v/>
      </c>
      <c r="AQ1452" s="56"/>
      <c r="AR1452" s="57" t="str">
        <f t="shared" si="843"/>
        <v/>
      </c>
      <c r="AS1452" s="56"/>
      <c r="AT1452" s="57" t="str">
        <f t="shared" si="844"/>
        <v/>
      </c>
      <c r="AU1452" s="58"/>
      <c r="AV1452" s="59"/>
      <c r="AW1452" s="59"/>
      <c r="AX1452" s="60"/>
      <c r="AY1452" s="61" t="str">
        <f t="shared" si="845"/>
        <v/>
      </c>
      <c r="AZ1452" s="62" t="str">
        <f t="shared" si="846"/>
        <v/>
      </c>
      <c r="BA1452" s="61" t="str">
        <f t="shared" si="847"/>
        <v/>
      </c>
      <c r="BB1452" s="62" t="str">
        <f t="shared" si="848"/>
        <v/>
      </c>
    </row>
    <row r="1453" spans="1:54" hidden="1" x14ac:dyDescent="0.35">
      <c r="A1453" s="73">
        <f t="shared" si="799"/>
        <v>2019</v>
      </c>
      <c r="B1453" s="73" t="str">
        <f t="shared" si="824"/>
        <v>Nov</v>
      </c>
      <c r="C1453" s="74">
        <f t="shared" si="825"/>
        <v>17</v>
      </c>
      <c r="D1453" s="75">
        <f t="shared" si="826"/>
        <v>14</v>
      </c>
      <c r="E1453" s="76">
        <f t="shared" si="802"/>
        <v>27</v>
      </c>
      <c r="F1453" s="80">
        <v>43</v>
      </c>
      <c r="G1453" s="83"/>
      <c r="H1453" s="69" t="str">
        <f t="shared" si="827"/>
        <v>Senbur6_20191117_14_00</v>
      </c>
      <c r="I1453" s="70">
        <f t="shared" ref="I1453:N1453" si="855">I1452</f>
        <v>1</v>
      </c>
      <c r="J1453" s="77" t="str">
        <f t="shared" si="855"/>
        <v>Senecio</v>
      </c>
      <c r="K1453" s="77" t="str">
        <f t="shared" si="855"/>
        <v>burtoni</v>
      </c>
      <c r="L1453" s="78">
        <f t="shared" si="855"/>
        <v>6</v>
      </c>
      <c r="M1453" s="78">
        <f t="shared" si="855"/>
        <v>12</v>
      </c>
      <c r="N1453" s="72">
        <f t="shared" si="855"/>
        <v>0</v>
      </c>
      <c r="O1453" s="45"/>
      <c r="P1453" s="46">
        <f t="shared" si="829"/>
        <v>1</v>
      </c>
      <c r="Q1453" s="47" t="str">
        <f t="shared" si="830"/>
        <v>14:27:43</v>
      </c>
      <c r="R1453" s="48" t="str">
        <f t="shared" si="831"/>
        <v>27:43</v>
      </c>
      <c r="S1453" s="49">
        <f t="shared" si="832"/>
        <v>11</v>
      </c>
      <c r="T1453" s="48" t="str">
        <f t="shared" si="833"/>
        <v>14</v>
      </c>
      <c r="U1453" s="50">
        <v>27</v>
      </c>
      <c r="V1453" s="51">
        <v>54</v>
      </c>
      <c r="W1453" s="52" t="str">
        <f t="shared" si="834"/>
        <v>27:54</v>
      </c>
      <c r="X1453" s="53" t="s">
        <v>61</v>
      </c>
      <c r="Y1453" s="97" t="s">
        <v>96</v>
      </c>
      <c r="Z1453" s="97" t="s">
        <v>80</v>
      </c>
      <c r="AA1453" s="48" t="s">
        <v>60</v>
      </c>
      <c r="AB1453" s="48" t="str">
        <f t="shared" si="835"/>
        <v>NA</v>
      </c>
      <c r="AC1453" s="54">
        <f t="shared" si="836"/>
        <v>0</v>
      </c>
      <c r="AD1453" s="55">
        <f t="shared" si="837"/>
        <v>1</v>
      </c>
      <c r="AE1453" s="55"/>
      <c r="AF1453" s="55"/>
      <c r="AG1453" s="56" t="str">
        <f t="shared" si="851"/>
        <v/>
      </c>
      <c r="AH1453" s="57" t="str">
        <f t="shared" si="838"/>
        <v/>
      </c>
      <c r="AI1453" s="56"/>
      <c r="AJ1453" s="57" t="str">
        <f t="shared" si="839"/>
        <v/>
      </c>
      <c r="AK1453" s="56">
        <v>1</v>
      </c>
      <c r="AL1453" s="57">
        <f t="shared" si="840"/>
        <v>11</v>
      </c>
      <c r="AM1453" s="56"/>
      <c r="AN1453" s="57" t="str">
        <f t="shared" si="841"/>
        <v/>
      </c>
      <c r="AO1453" s="56"/>
      <c r="AP1453" s="57" t="str">
        <f t="shared" si="842"/>
        <v/>
      </c>
      <c r="AQ1453" s="56"/>
      <c r="AR1453" s="57" t="str">
        <f t="shared" si="843"/>
        <v/>
      </c>
      <c r="AS1453" s="56"/>
      <c r="AT1453" s="57" t="str">
        <f t="shared" si="844"/>
        <v/>
      </c>
      <c r="AU1453" s="58"/>
      <c r="AV1453" s="59"/>
      <c r="AW1453" s="59"/>
      <c r="AX1453" s="60"/>
      <c r="AY1453" s="61">
        <v>1</v>
      </c>
      <c r="AZ1453" s="62">
        <f t="shared" si="846"/>
        <v>1</v>
      </c>
      <c r="BA1453" s="61">
        <f t="shared" si="847"/>
        <v>0</v>
      </c>
      <c r="BB1453" s="62" t="str">
        <f t="shared" si="848"/>
        <v/>
      </c>
    </row>
    <row r="1454" spans="1:54" hidden="1" x14ac:dyDescent="0.35">
      <c r="A1454" s="73">
        <f t="shared" si="799"/>
        <v>2019</v>
      </c>
      <c r="B1454" s="73" t="str">
        <f t="shared" si="824"/>
        <v>Nov</v>
      </c>
      <c r="C1454" s="74">
        <f t="shared" si="825"/>
        <v>17</v>
      </c>
      <c r="D1454" s="75">
        <f t="shared" si="826"/>
        <v>14</v>
      </c>
      <c r="E1454" s="76">
        <v>27</v>
      </c>
      <c r="F1454" s="80">
        <v>54</v>
      </c>
      <c r="G1454" s="83"/>
      <c r="H1454" s="69" t="str">
        <f t="shared" si="827"/>
        <v>Senbur6_20191117_14_00</v>
      </c>
      <c r="I1454" s="70">
        <f t="shared" ref="I1454:N1454" si="856">I1453</f>
        <v>1</v>
      </c>
      <c r="J1454" s="77" t="str">
        <f t="shared" si="856"/>
        <v>Senecio</v>
      </c>
      <c r="K1454" s="77" t="str">
        <f t="shared" si="856"/>
        <v>burtoni</v>
      </c>
      <c r="L1454" s="78">
        <f t="shared" si="856"/>
        <v>6</v>
      </c>
      <c r="M1454" s="78">
        <f t="shared" si="856"/>
        <v>12</v>
      </c>
      <c r="N1454" s="72">
        <f t="shared" si="856"/>
        <v>0</v>
      </c>
      <c r="O1454" s="45"/>
      <c r="P1454" s="46">
        <f t="shared" si="829"/>
        <v>1</v>
      </c>
      <c r="Q1454" s="47" t="str">
        <f t="shared" si="830"/>
        <v>14:27:54</v>
      </c>
      <c r="R1454" s="48" t="str">
        <f t="shared" si="831"/>
        <v>27:54</v>
      </c>
      <c r="S1454" s="49">
        <f t="shared" si="832"/>
        <v>288</v>
      </c>
      <c r="T1454" s="48" t="str">
        <f t="shared" si="833"/>
        <v>14</v>
      </c>
      <c r="U1454" s="50">
        <v>32</v>
      </c>
      <c r="V1454" s="51">
        <v>42</v>
      </c>
      <c r="W1454" s="52" t="str">
        <f t="shared" si="834"/>
        <v>32:42</v>
      </c>
      <c r="X1454" s="53" t="s">
        <v>61</v>
      </c>
      <c r="Y1454" s="97" t="s">
        <v>84</v>
      </c>
      <c r="Z1454" s="97" t="s">
        <v>80</v>
      </c>
      <c r="AA1454" s="48" t="s">
        <v>60</v>
      </c>
      <c r="AB1454" s="48" t="str">
        <f t="shared" si="835"/>
        <v>NA</v>
      </c>
      <c r="AC1454" s="54">
        <f t="shared" si="836"/>
        <v>0</v>
      </c>
      <c r="AD1454" s="55">
        <v>2</v>
      </c>
      <c r="AE1454" s="55"/>
      <c r="AF1454" s="55"/>
      <c r="AG1454" s="56">
        <v>1</v>
      </c>
      <c r="AH1454" s="57">
        <v>3</v>
      </c>
      <c r="AI1454" s="56">
        <v>1</v>
      </c>
      <c r="AJ1454" s="57">
        <v>2</v>
      </c>
      <c r="AK1454" s="56">
        <v>1</v>
      </c>
      <c r="AL1454" s="57">
        <v>283</v>
      </c>
      <c r="AM1454" s="56"/>
      <c r="AN1454" s="57" t="str">
        <f t="shared" si="841"/>
        <v/>
      </c>
      <c r="AO1454" s="56"/>
      <c r="AP1454" s="57" t="str">
        <f t="shared" si="842"/>
        <v/>
      </c>
      <c r="AQ1454" s="56"/>
      <c r="AR1454" s="57" t="str">
        <f t="shared" si="843"/>
        <v/>
      </c>
      <c r="AS1454" s="56"/>
      <c r="AT1454" s="57" t="str">
        <f t="shared" si="844"/>
        <v/>
      </c>
      <c r="AU1454" s="58"/>
      <c r="AV1454" s="59"/>
      <c r="AW1454" s="59"/>
      <c r="AX1454" s="60"/>
      <c r="AY1454" s="61">
        <v>1</v>
      </c>
      <c r="AZ1454" s="62">
        <f t="shared" si="846"/>
        <v>2</v>
      </c>
      <c r="BA1454" s="61">
        <f t="shared" si="847"/>
        <v>0</v>
      </c>
      <c r="BB1454" s="62" t="str">
        <f t="shared" si="848"/>
        <v/>
      </c>
    </row>
    <row r="1455" spans="1:54" hidden="1" x14ac:dyDescent="0.35">
      <c r="A1455" s="73">
        <f t="shared" si="799"/>
        <v>2019</v>
      </c>
      <c r="B1455" s="73" t="str">
        <f t="shared" si="824"/>
        <v>Nov</v>
      </c>
      <c r="C1455" s="74">
        <f t="shared" si="825"/>
        <v>17</v>
      </c>
      <c r="D1455" s="75">
        <f t="shared" si="826"/>
        <v>14</v>
      </c>
      <c r="E1455" s="76">
        <v>27</v>
      </c>
      <c r="F1455" s="80">
        <v>55</v>
      </c>
      <c r="G1455" s="83"/>
      <c r="H1455" s="69" t="str">
        <f t="shared" si="827"/>
        <v>Senbur6_20191117_14_00</v>
      </c>
      <c r="I1455" s="70">
        <f t="shared" ref="I1455:N1455" si="857">I1454</f>
        <v>1</v>
      </c>
      <c r="J1455" s="77" t="str">
        <f t="shared" si="857"/>
        <v>Senecio</v>
      </c>
      <c r="K1455" s="77" t="str">
        <f t="shared" si="857"/>
        <v>burtoni</v>
      </c>
      <c r="L1455" s="78">
        <f t="shared" si="857"/>
        <v>6</v>
      </c>
      <c r="M1455" s="78">
        <f t="shared" si="857"/>
        <v>12</v>
      </c>
      <c r="N1455" s="72">
        <f t="shared" si="857"/>
        <v>0</v>
      </c>
      <c r="O1455" s="45"/>
      <c r="P1455" s="46">
        <f t="shared" si="829"/>
        <v>1</v>
      </c>
      <c r="Q1455" s="47" t="str">
        <f t="shared" si="830"/>
        <v>14:27:55</v>
      </c>
      <c r="R1455" s="48" t="str">
        <f t="shared" si="831"/>
        <v>27:55</v>
      </c>
      <c r="S1455" s="49">
        <f t="shared" si="832"/>
        <v>12</v>
      </c>
      <c r="T1455" s="48" t="str">
        <f t="shared" si="833"/>
        <v>14</v>
      </c>
      <c r="U1455" s="50">
        <v>28</v>
      </c>
      <c r="V1455" s="51">
        <v>7</v>
      </c>
      <c r="W1455" s="52" t="str">
        <f t="shared" si="834"/>
        <v>28:07</v>
      </c>
      <c r="X1455" s="53" t="s">
        <v>61</v>
      </c>
      <c r="Y1455" s="97" t="s">
        <v>84</v>
      </c>
      <c r="Z1455" s="97" t="s">
        <v>80</v>
      </c>
      <c r="AA1455" s="48" t="s">
        <v>60</v>
      </c>
      <c r="AB1455" s="48" t="str">
        <f t="shared" si="835"/>
        <v>NA</v>
      </c>
      <c r="AC1455" s="54">
        <f t="shared" si="836"/>
        <v>0</v>
      </c>
      <c r="AD1455" s="55">
        <v>3</v>
      </c>
      <c r="AE1455" s="55"/>
      <c r="AF1455" s="55"/>
      <c r="AG1455" s="56" t="str">
        <f t="shared" si="851"/>
        <v/>
      </c>
      <c r="AH1455" s="57" t="str">
        <f t="shared" si="838"/>
        <v/>
      </c>
      <c r="AI1455" s="56">
        <v>1</v>
      </c>
      <c r="AJ1455" s="57">
        <v>2</v>
      </c>
      <c r="AK1455" s="56">
        <v>1</v>
      </c>
      <c r="AL1455" s="57">
        <v>10</v>
      </c>
      <c r="AM1455" s="56"/>
      <c r="AN1455" s="57" t="str">
        <f t="shared" si="841"/>
        <v/>
      </c>
      <c r="AO1455" s="56"/>
      <c r="AP1455" s="57" t="str">
        <f t="shared" si="842"/>
        <v/>
      </c>
      <c r="AQ1455" s="56"/>
      <c r="AR1455" s="57" t="str">
        <f t="shared" si="843"/>
        <v/>
      </c>
      <c r="AS1455" s="56"/>
      <c r="AT1455" s="57" t="str">
        <f t="shared" si="844"/>
        <v/>
      </c>
      <c r="AU1455" s="58"/>
      <c r="AV1455" s="59"/>
      <c r="AW1455" s="59"/>
      <c r="AX1455" s="60"/>
      <c r="AY1455" s="61">
        <v>1</v>
      </c>
      <c r="AZ1455" s="62">
        <f t="shared" si="846"/>
        <v>3</v>
      </c>
      <c r="BA1455" s="61">
        <f t="shared" si="847"/>
        <v>0</v>
      </c>
      <c r="BB1455" s="62" t="str">
        <f t="shared" si="848"/>
        <v/>
      </c>
    </row>
    <row r="1456" spans="1:54" hidden="1" x14ac:dyDescent="0.35">
      <c r="A1456" s="73">
        <f t="shared" si="799"/>
        <v>2019</v>
      </c>
      <c r="B1456" s="73" t="str">
        <f t="shared" si="824"/>
        <v>Nov</v>
      </c>
      <c r="C1456" s="74">
        <f t="shared" si="825"/>
        <v>17</v>
      </c>
      <c r="D1456" s="75">
        <f t="shared" si="826"/>
        <v>14</v>
      </c>
      <c r="E1456" s="76">
        <f t="shared" si="802"/>
        <v>28</v>
      </c>
      <c r="F1456" s="80"/>
      <c r="G1456" s="83"/>
      <c r="H1456" s="69" t="str">
        <f t="shared" si="827"/>
        <v>Senbur6_20191117_14_00</v>
      </c>
      <c r="I1456" s="70">
        <f t="shared" ref="I1456:N1456" si="858">I1455</f>
        <v>1</v>
      </c>
      <c r="J1456" s="77" t="str">
        <f t="shared" si="858"/>
        <v>Senecio</v>
      </c>
      <c r="K1456" s="77" t="str">
        <f t="shared" si="858"/>
        <v>burtoni</v>
      </c>
      <c r="L1456" s="78">
        <f t="shared" si="858"/>
        <v>6</v>
      </c>
      <c r="M1456" s="78">
        <f t="shared" si="858"/>
        <v>12</v>
      </c>
      <c r="N1456" s="72">
        <f t="shared" si="858"/>
        <v>0</v>
      </c>
      <c r="O1456" s="45"/>
      <c r="P1456" s="46" t="str">
        <f t="shared" si="829"/>
        <v/>
      </c>
      <c r="Q1456" s="47" t="str">
        <f t="shared" si="830"/>
        <v/>
      </c>
      <c r="R1456" s="48" t="e">
        <f t="shared" si="831"/>
        <v>#VALUE!</v>
      </c>
      <c r="S1456" s="49" t="e">
        <f t="shared" si="832"/>
        <v>#VALUE!</v>
      </c>
      <c r="T1456" s="48" t="str">
        <f t="shared" si="833"/>
        <v/>
      </c>
      <c r="U1456" s="50"/>
      <c r="V1456" s="51"/>
      <c r="W1456" s="52" t="e">
        <f t="shared" si="834"/>
        <v>#VALUE!</v>
      </c>
      <c r="X1456" s="53"/>
      <c r="Y1456" s="53"/>
      <c r="Z1456" s="53"/>
      <c r="AA1456" s="48" t="e">
        <f>INDEX([1]!VISITORS[INSECT ORDER], MATCH(X1456,[1]!VISITORS[NAME USED],0))</f>
        <v>#REF!</v>
      </c>
      <c r="AB1456" s="48" t="e">
        <f t="shared" si="835"/>
        <v>#REF!</v>
      </c>
      <c r="AC1456" s="54" t="e">
        <f t="shared" si="836"/>
        <v>#VALUE!</v>
      </c>
      <c r="AD1456" s="55" t="str">
        <f t="shared" si="837"/>
        <v/>
      </c>
      <c r="AE1456" s="55"/>
      <c r="AF1456" s="55"/>
      <c r="AG1456" s="56" t="str">
        <f t="shared" si="851"/>
        <v/>
      </c>
      <c r="AH1456" s="57" t="str">
        <f t="shared" si="838"/>
        <v/>
      </c>
      <c r="AI1456" s="56"/>
      <c r="AJ1456" s="57" t="str">
        <f t="shared" si="839"/>
        <v/>
      </c>
      <c r="AK1456" s="56"/>
      <c r="AL1456" s="57" t="str">
        <f t="shared" si="840"/>
        <v/>
      </c>
      <c r="AM1456" s="56"/>
      <c r="AN1456" s="57" t="str">
        <f t="shared" si="841"/>
        <v/>
      </c>
      <c r="AO1456" s="56"/>
      <c r="AP1456" s="57" t="str">
        <f t="shared" si="842"/>
        <v/>
      </c>
      <c r="AQ1456" s="56"/>
      <c r="AR1456" s="57" t="str">
        <f t="shared" si="843"/>
        <v/>
      </c>
      <c r="AS1456" s="56"/>
      <c r="AT1456" s="57" t="str">
        <f t="shared" si="844"/>
        <v/>
      </c>
      <c r="AU1456" s="58"/>
      <c r="AV1456" s="59"/>
      <c r="AW1456" s="59"/>
      <c r="AX1456" s="60"/>
      <c r="AY1456" s="61" t="str">
        <f t="shared" si="845"/>
        <v/>
      </c>
      <c r="AZ1456" s="62" t="str">
        <f t="shared" si="846"/>
        <v/>
      </c>
      <c r="BA1456" s="61" t="str">
        <f t="shared" si="847"/>
        <v/>
      </c>
      <c r="BB1456" s="62" t="str">
        <f t="shared" si="848"/>
        <v/>
      </c>
    </row>
    <row r="1457" spans="1:54" hidden="1" x14ac:dyDescent="0.35">
      <c r="A1457" s="73">
        <f t="shared" si="799"/>
        <v>2019</v>
      </c>
      <c r="B1457" s="73" t="str">
        <f t="shared" si="824"/>
        <v>Nov</v>
      </c>
      <c r="C1457" s="74">
        <f t="shared" si="825"/>
        <v>17</v>
      </c>
      <c r="D1457" s="75">
        <f t="shared" si="826"/>
        <v>14</v>
      </c>
      <c r="E1457" s="76">
        <f t="shared" si="802"/>
        <v>29</v>
      </c>
      <c r="F1457" s="80">
        <v>20</v>
      </c>
      <c r="G1457" s="83"/>
      <c r="H1457" s="69" t="str">
        <f t="shared" si="827"/>
        <v>Senbur6_20191117_14_00</v>
      </c>
      <c r="I1457" s="70">
        <f t="shared" ref="I1457:N1457" si="859">I1456</f>
        <v>1</v>
      </c>
      <c r="J1457" s="77" t="str">
        <f t="shared" si="859"/>
        <v>Senecio</v>
      </c>
      <c r="K1457" s="77" t="str">
        <f t="shared" si="859"/>
        <v>burtoni</v>
      </c>
      <c r="L1457" s="78">
        <f t="shared" si="859"/>
        <v>6</v>
      </c>
      <c r="M1457" s="78">
        <f t="shared" si="859"/>
        <v>12</v>
      </c>
      <c r="N1457" s="72">
        <f t="shared" si="859"/>
        <v>0</v>
      </c>
      <c r="O1457" s="45"/>
      <c r="P1457" s="46">
        <f t="shared" si="829"/>
        <v>1</v>
      </c>
      <c r="Q1457" s="47" t="str">
        <f t="shared" si="830"/>
        <v>14:29:20</v>
      </c>
      <c r="R1457" s="48" t="str">
        <f t="shared" si="831"/>
        <v>29:20</v>
      </c>
      <c r="S1457" s="49">
        <f t="shared" si="832"/>
        <v>5</v>
      </c>
      <c r="T1457" s="48" t="str">
        <f t="shared" si="833"/>
        <v>14</v>
      </c>
      <c r="U1457" s="50">
        <v>29</v>
      </c>
      <c r="V1457" s="51">
        <v>25</v>
      </c>
      <c r="W1457" s="52" t="str">
        <f t="shared" si="834"/>
        <v>29:25</v>
      </c>
      <c r="X1457" s="53" t="s">
        <v>61</v>
      </c>
      <c r="Y1457" s="97" t="s">
        <v>78</v>
      </c>
      <c r="Z1457" s="97"/>
      <c r="AA1457" s="48" t="s">
        <v>60</v>
      </c>
      <c r="AB1457" s="48" t="str">
        <f t="shared" si="835"/>
        <v>NA</v>
      </c>
      <c r="AC1457" s="54">
        <f t="shared" si="836"/>
        <v>0</v>
      </c>
      <c r="AD1457" s="55">
        <f t="shared" si="837"/>
        <v>1</v>
      </c>
      <c r="AE1457" s="55"/>
      <c r="AF1457" s="55"/>
      <c r="AG1457" s="56">
        <v>1</v>
      </c>
      <c r="AH1457" s="57">
        <v>1</v>
      </c>
      <c r="AI1457" s="56"/>
      <c r="AJ1457" s="57" t="str">
        <f t="shared" si="839"/>
        <v/>
      </c>
      <c r="AK1457" s="56">
        <v>1</v>
      </c>
      <c r="AL1457" s="57">
        <v>4</v>
      </c>
      <c r="AM1457" s="56"/>
      <c r="AN1457" s="57" t="str">
        <f t="shared" si="841"/>
        <v/>
      </c>
      <c r="AO1457" s="56"/>
      <c r="AP1457" s="57" t="str">
        <f t="shared" si="842"/>
        <v/>
      </c>
      <c r="AQ1457" s="56"/>
      <c r="AR1457" s="57" t="str">
        <f t="shared" si="843"/>
        <v/>
      </c>
      <c r="AS1457" s="56"/>
      <c r="AT1457" s="57" t="str">
        <f t="shared" si="844"/>
        <v/>
      </c>
      <c r="AU1457" s="58"/>
      <c r="AV1457" s="59"/>
      <c r="AW1457" s="59"/>
      <c r="AX1457" s="60"/>
      <c r="AY1457" s="61">
        <v>1</v>
      </c>
      <c r="AZ1457" s="62">
        <f t="shared" si="846"/>
        <v>1</v>
      </c>
      <c r="BA1457" s="61">
        <f t="shared" si="847"/>
        <v>0</v>
      </c>
      <c r="BB1457" s="62" t="str">
        <f t="shared" si="848"/>
        <v/>
      </c>
    </row>
    <row r="1458" spans="1:54" hidden="1" x14ac:dyDescent="0.35">
      <c r="A1458" s="73">
        <f t="shared" si="799"/>
        <v>2019</v>
      </c>
      <c r="B1458" s="73" t="str">
        <f t="shared" si="824"/>
        <v>Nov</v>
      </c>
      <c r="C1458" s="74">
        <f t="shared" si="825"/>
        <v>17</v>
      </c>
      <c r="D1458" s="75">
        <f t="shared" si="826"/>
        <v>14</v>
      </c>
      <c r="E1458" s="76">
        <f t="shared" si="802"/>
        <v>30</v>
      </c>
      <c r="F1458" s="80">
        <v>13</v>
      </c>
      <c r="G1458" s="83"/>
      <c r="H1458" s="69" t="str">
        <f t="shared" si="827"/>
        <v>Senbur6_20191117_14_00</v>
      </c>
      <c r="I1458" s="70">
        <f t="shared" ref="I1458:N1458" si="860">I1457</f>
        <v>1</v>
      </c>
      <c r="J1458" s="77" t="str">
        <f t="shared" si="860"/>
        <v>Senecio</v>
      </c>
      <c r="K1458" s="77" t="str">
        <f t="shared" si="860"/>
        <v>burtoni</v>
      </c>
      <c r="L1458" s="78">
        <f t="shared" si="860"/>
        <v>6</v>
      </c>
      <c r="M1458" s="78">
        <f t="shared" si="860"/>
        <v>12</v>
      </c>
      <c r="N1458" s="72">
        <f t="shared" si="860"/>
        <v>0</v>
      </c>
      <c r="O1458" s="45"/>
      <c r="P1458" s="46">
        <f t="shared" si="829"/>
        <v>1</v>
      </c>
      <c r="Q1458" s="47" t="str">
        <f t="shared" si="830"/>
        <v>14:30:13</v>
      </c>
      <c r="R1458" s="48" t="str">
        <f t="shared" si="831"/>
        <v>30:13</v>
      </c>
      <c r="S1458" s="49">
        <f t="shared" si="832"/>
        <v>29</v>
      </c>
      <c r="T1458" s="48" t="str">
        <f t="shared" si="833"/>
        <v>14</v>
      </c>
      <c r="U1458" s="50">
        <v>30</v>
      </c>
      <c r="V1458" s="51">
        <v>42</v>
      </c>
      <c r="W1458" s="52" t="str">
        <f t="shared" si="834"/>
        <v>30:42</v>
      </c>
      <c r="X1458" s="53" t="s">
        <v>73</v>
      </c>
      <c r="Y1458" s="97" t="s">
        <v>89</v>
      </c>
      <c r="Z1458" s="97" t="s">
        <v>80</v>
      </c>
      <c r="AA1458" s="48" t="s">
        <v>63</v>
      </c>
      <c r="AB1458" s="48" t="str">
        <f t="shared" si="835"/>
        <v>NA</v>
      </c>
      <c r="AC1458" s="54">
        <f t="shared" si="836"/>
        <v>0</v>
      </c>
      <c r="AD1458" s="55">
        <f t="shared" si="837"/>
        <v>1</v>
      </c>
      <c r="AE1458" s="55"/>
      <c r="AF1458" s="55"/>
      <c r="AG1458" s="56">
        <v>1</v>
      </c>
      <c r="AH1458" s="57">
        <v>2</v>
      </c>
      <c r="AI1458" s="56"/>
      <c r="AJ1458" s="57" t="str">
        <f t="shared" si="839"/>
        <v/>
      </c>
      <c r="AK1458" s="56">
        <v>1</v>
      </c>
      <c r="AL1458" s="57">
        <v>27</v>
      </c>
      <c r="AM1458" s="56"/>
      <c r="AN1458" s="57" t="str">
        <f t="shared" si="841"/>
        <v/>
      </c>
      <c r="AO1458" s="56"/>
      <c r="AP1458" s="57" t="str">
        <f t="shared" si="842"/>
        <v/>
      </c>
      <c r="AQ1458" s="56"/>
      <c r="AR1458" s="57" t="str">
        <f t="shared" si="843"/>
        <v/>
      </c>
      <c r="AS1458" s="56"/>
      <c r="AT1458" s="57" t="str">
        <f t="shared" si="844"/>
        <v/>
      </c>
      <c r="AU1458" s="58"/>
      <c r="AV1458" s="59"/>
      <c r="AW1458" s="59"/>
      <c r="AX1458" s="60"/>
      <c r="AY1458" s="61">
        <v>1</v>
      </c>
      <c r="AZ1458" s="62">
        <f t="shared" si="846"/>
        <v>1</v>
      </c>
      <c r="BA1458" s="61">
        <f t="shared" si="847"/>
        <v>0</v>
      </c>
      <c r="BB1458" s="62" t="str">
        <f t="shared" si="848"/>
        <v/>
      </c>
    </row>
    <row r="1459" spans="1:54" hidden="1" x14ac:dyDescent="0.35">
      <c r="A1459" s="73">
        <f t="shared" si="799"/>
        <v>2019</v>
      </c>
      <c r="B1459" s="73" t="str">
        <f t="shared" si="824"/>
        <v>Nov</v>
      </c>
      <c r="C1459" s="74">
        <f t="shared" si="825"/>
        <v>17</v>
      </c>
      <c r="D1459" s="75">
        <f t="shared" si="826"/>
        <v>14</v>
      </c>
      <c r="E1459" s="76">
        <f t="shared" si="802"/>
        <v>31</v>
      </c>
      <c r="F1459" s="80">
        <v>13</v>
      </c>
      <c r="G1459" s="83"/>
      <c r="H1459" s="69" t="str">
        <f t="shared" si="827"/>
        <v>Senbur6_20191117_14_00</v>
      </c>
      <c r="I1459" s="70">
        <f t="shared" ref="I1459:N1459" si="861">I1458</f>
        <v>1</v>
      </c>
      <c r="J1459" s="77" t="str">
        <f t="shared" si="861"/>
        <v>Senecio</v>
      </c>
      <c r="K1459" s="77" t="str">
        <f t="shared" si="861"/>
        <v>burtoni</v>
      </c>
      <c r="L1459" s="78">
        <f t="shared" si="861"/>
        <v>6</v>
      </c>
      <c r="M1459" s="78">
        <f t="shared" si="861"/>
        <v>12</v>
      </c>
      <c r="N1459" s="72">
        <f t="shared" si="861"/>
        <v>0</v>
      </c>
      <c r="O1459" s="45"/>
      <c r="P1459" s="46">
        <f t="shared" si="829"/>
        <v>1</v>
      </c>
      <c r="Q1459" s="47" t="str">
        <f t="shared" si="830"/>
        <v>14:31:13</v>
      </c>
      <c r="R1459" s="48" t="str">
        <f t="shared" si="831"/>
        <v>31:13</v>
      </c>
      <c r="S1459" s="49">
        <f t="shared" si="832"/>
        <v>10</v>
      </c>
      <c r="T1459" s="48" t="str">
        <f t="shared" si="833"/>
        <v>14</v>
      </c>
      <c r="U1459" s="50">
        <v>31</v>
      </c>
      <c r="V1459" s="51">
        <v>23</v>
      </c>
      <c r="W1459" s="52" t="str">
        <f t="shared" si="834"/>
        <v>31:23</v>
      </c>
      <c r="X1459" s="53" t="s">
        <v>73</v>
      </c>
      <c r="Y1459" s="97" t="s">
        <v>89</v>
      </c>
      <c r="Z1459" s="97" t="s">
        <v>80</v>
      </c>
      <c r="AA1459" s="48" t="s">
        <v>63</v>
      </c>
      <c r="AB1459" s="48" t="str">
        <f t="shared" si="835"/>
        <v>NA</v>
      </c>
      <c r="AC1459" s="54">
        <f t="shared" si="836"/>
        <v>0</v>
      </c>
      <c r="AD1459" s="55">
        <f t="shared" si="837"/>
        <v>1</v>
      </c>
      <c r="AE1459" s="55"/>
      <c r="AF1459" s="55"/>
      <c r="AG1459" s="56" t="str">
        <f t="shared" si="851"/>
        <v/>
      </c>
      <c r="AH1459" s="57" t="str">
        <f t="shared" si="838"/>
        <v/>
      </c>
      <c r="AI1459" s="56"/>
      <c r="AJ1459" s="57" t="str">
        <f t="shared" si="839"/>
        <v/>
      </c>
      <c r="AK1459" s="56">
        <v>1</v>
      </c>
      <c r="AL1459" s="57">
        <f t="shared" si="840"/>
        <v>10</v>
      </c>
      <c r="AM1459" s="56"/>
      <c r="AN1459" s="57" t="str">
        <f t="shared" si="841"/>
        <v/>
      </c>
      <c r="AO1459" s="56"/>
      <c r="AP1459" s="57" t="str">
        <f t="shared" si="842"/>
        <v/>
      </c>
      <c r="AQ1459" s="56"/>
      <c r="AR1459" s="57" t="str">
        <f t="shared" si="843"/>
        <v/>
      </c>
      <c r="AS1459" s="56"/>
      <c r="AT1459" s="57" t="str">
        <f t="shared" si="844"/>
        <v/>
      </c>
      <c r="AU1459" s="58"/>
      <c r="AV1459" s="59"/>
      <c r="AW1459" s="59"/>
      <c r="AX1459" s="60"/>
      <c r="AY1459" s="61">
        <v>1</v>
      </c>
      <c r="AZ1459" s="62">
        <f t="shared" si="846"/>
        <v>1</v>
      </c>
      <c r="BA1459" s="61">
        <f t="shared" si="847"/>
        <v>0</v>
      </c>
      <c r="BB1459" s="62" t="str">
        <f t="shared" si="848"/>
        <v/>
      </c>
    </row>
    <row r="1460" spans="1:54" hidden="1" x14ac:dyDescent="0.35">
      <c r="A1460" s="73">
        <f t="shared" si="799"/>
        <v>2019</v>
      </c>
      <c r="B1460" s="73" t="str">
        <f t="shared" si="824"/>
        <v>Nov</v>
      </c>
      <c r="C1460" s="74">
        <f t="shared" si="825"/>
        <v>17</v>
      </c>
      <c r="D1460" s="75">
        <f t="shared" si="826"/>
        <v>14</v>
      </c>
      <c r="E1460" s="76">
        <v>31</v>
      </c>
      <c r="F1460" s="80">
        <v>32</v>
      </c>
      <c r="G1460" s="83"/>
      <c r="H1460" s="69" t="str">
        <f t="shared" si="827"/>
        <v>Senbur6_20191117_14_00</v>
      </c>
      <c r="I1460" s="70">
        <f t="shared" ref="I1460:N1460" si="862">I1459</f>
        <v>1</v>
      </c>
      <c r="J1460" s="77" t="str">
        <f t="shared" si="862"/>
        <v>Senecio</v>
      </c>
      <c r="K1460" s="77" t="str">
        <f t="shared" si="862"/>
        <v>burtoni</v>
      </c>
      <c r="L1460" s="78">
        <f t="shared" si="862"/>
        <v>6</v>
      </c>
      <c r="M1460" s="78">
        <f t="shared" si="862"/>
        <v>12</v>
      </c>
      <c r="N1460" s="72">
        <f t="shared" si="862"/>
        <v>0</v>
      </c>
      <c r="O1460" s="45"/>
      <c r="P1460" s="46">
        <f t="shared" si="829"/>
        <v>1</v>
      </c>
      <c r="Q1460" s="47" t="str">
        <f t="shared" si="830"/>
        <v>14:31:32</v>
      </c>
      <c r="R1460" s="48" t="str">
        <f t="shared" si="831"/>
        <v>31:32</v>
      </c>
      <c r="S1460" s="49">
        <f t="shared" si="832"/>
        <v>75</v>
      </c>
      <c r="T1460" s="48" t="str">
        <f t="shared" si="833"/>
        <v>14</v>
      </c>
      <c r="U1460" s="50">
        <v>32</v>
      </c>
      <c r="V1460" s="51">
        <v>47</v>
      </c>
      <c r="W1460" s="52" t="str">
        <f t="shared" si="834"/>
        <v>32:47</v>
      </c>
      <c r="X1460" s="53" t="s">
        <v>61</v>
      </c>
      <c r="Y1460" s="97" t="s">
        <v>84</v>
      </c>
      <c r="Z1460" s="97" t="s">
        <v>80</v>
      </c>
      <c r="AA1460" s="48" t="s">
        <v>60</v>
      </c>
      <c r="AB1460" s="48" t="str">
        <f t="shared" si="835"/>
        <v>NA</v>
      </c>
      <c r="AC1460" s="54">
        <f t="shared" si="836"/>
        <v>0</v>
      </c>
      <c r="AD1460" s="55">
        <v>2</v>
      </c>
      <c r="AE1460" s="55"/>
      <c r="AF1460" s="55"/>
      <c r="AG1460" s="56">
        <v>1</v>
      </c>
      <c r="AH1460" s="57">
        <v>8</v>
      </c>
      <c r="AI1460" s="56">
        <v>1</v>
      </c>
      <c r="AJ1460" s="57">
        <v>1</v>
      </c>
      <c r="AK1460" s="56">
        <v>1</v>
      </c>
      <c r="AL1460" s="57">
        <v>66</v>
      </c>
      <c r="AM1460" s="56"/>
      <c r="AN1460" s="57" t="str">
        <f t="shared" si="841"/>
        <v/>
      </c>
      <c r="AO1460" s="56"/>
      <c r="AP1460" s="57" t="str">
        <f t="shared" si="842"/>
        <v/>
      </c>
      <c r="AQ1460" s="56"/>
      <c r="AR1460" s="57" t="str">
        <f t="shared" si="843"/>
        <v/>
      </c>
      <c r="AS1460" s="56"/>
      <c r="AT1460" s="57" t="str">
        <f t="shared" si="844"/>
        <v/>
      </c>
      <c r="AU1460" s="58"/>
      <c r="AV1460" s="59"/>
      <c r="AW1460" s="59"/>
      <c r="AX1460" s="60"/>
      <c r="AY1460" s="61">
        <v>1</v>
      </c>
      <c r="AZ1460" s="62">
        <f t="shared" si="846"/>
        <v>2</v>
      </c>
      <c r="BA1460" s="61">
        <f t="shared" si="847"/>
        <v>0</v>
      </c>
      <c r="BB1460" s="62" t="str">
        <f t="shared" si="848"/>
        <v/>
      </c>
    </row>
    <row r="1461" spans="1:54" hidden="1" x14ac:dyDescent="0.35">
      <c r="A1461" s="73">
        <f t="shared" si="799"/>
        <v>2019</v>
      </c>
      <c r="B1461" s="73" t="str">
        <f t="shared" si="824"/>
        <v>Nov</v>
      </c>
      <c r="C1461" s="74">
        <f t="shared" si="825"/>
        <v>17</v>
      </c>
      <c r="D1461" s="75">
        <f t="shared" si="826"/>
        <v>14</v>
      </c>
      <c r="E1461" s="76">
        <v>31</v>
      </c>
      <c r="F1461" s="80">
        <v>33</v>
      </c>
      <c r="G1461" s="83"/>
      <c r="H1461" s="69" t="str">
        <f t="shared" si="827"/>
        <v>Senbur6_20191117_14_00</v>
      </c>
      <c r="I1461" s="70">
        <f t="shared" ref="I1461:N1461" si="863">I1460</f>
        <v>1</v>
      </c>
      <c r="J1461" s="77" t="str">
        <f t="shared" si="863"/>
        <v>Senecio</v>
      </c>
      <c r="K1461" s="77" t="str">
        <f t="shared" si="863"/>
        <v>burtoni</v>
      </c>
      <c r="L1461" s="78">
        <f t="shared" si="863"/>
        <v>6</v>
      </c>
      <c r="M1461" s="78">
        <f t="shared" si="863"/>
        <v>12</v>
      </c>
      <c r="N1461" s="72">
        <f t="shared" si="863"/>
        <v>0</v>
      </c>
      <c r="O1461" s="45"/>
      <c r="P1461" s="46">
        <f t="shared" si="829"/>
        <v>1</v>
      </c>
      <c r="Q1461" s="47" t="str">
        <f t="shared" si="830"/>
        <v>14:31:33</v>
      </c>
      <c r="R1461" s="48" t="str">
        <f t="shared" si="831"/>
        <v>31:33</v>
      </c>
      <c r="S1461" s="49">
        <f t="shared" si="832"/>
        <v>117</v>
      </c>
      <c r="T1461" s="48" t="str">
        <f t="shared" si="833"/>
        <v>14</v>
      </c>
      <c r="U1461" s="50">
        <v>33</v>
      </c>
      <c r="V1461" s="51">
        <v>30</v>
      </c>
      <c r="W1461" s="52" t="str">
        <f t="shared" si="834"/>
        <v>33:30</v>
      </c>
      <c r="X1461" s="53" t="s">
        <v>61</v>
      </c>
      <c r="Y1461" s="97" t="s">
        <v>84</v>
      </c>
      <c r="Z1461" s="97" t="s">
        <v>80</v>
      </c>
      <c r="AA1461" s="48" t="s">
        <v>60</v>
      </c>
      <c r="AB1461" s="48" t="str">
        <f t="shared" si="835"/>
        <v>NA</v>
      </c>
      <c r="AC1461" s="54">
        <f t="shared" si="836"/>
        <v>0</v>
      </c>
      <c r="AD1461" s="55">
        <v>2</v>
      </c>
      <c r="AE1461" s="55"/>
      <c r="AF1461" s="55"/>
      <c r="AG1461" s="56">
        <v>1</v>
      </c>
      <c r="AH1461" s="57">
        <v>2</v>
      </c>
      <c r="AI1461" s="56"/>
      <c r="AJ1461" s="57" t="str">
        <f t="shared" si="839"/>
        <v/>
      </c>
      <c r="AK1461" s="56">
        <v>1</v>
      </c>
      <c r="AL1461" s="57">
        <v>115</v>
      </c>
      <c r="AM1461" s="56"/>
      <c r="AN1461" s="57" t="str">
        <f t="shared" si="841"/>
        <v/>
      </c>
      <c r="AO1461" s="56"/>
      <c r="AP1461" s="57" t="str">
        <f t="shared" si="842"/>
        <v/>
      </c>
      <c r="AQ1461" s="56"/>
      <c r="AR1461" s="57" t="str">
        <f t="shared" si="843"/>
        <v/>
      </c>
      <c r="AS1461" s="56"/>
      <c r="AT1461" s="57" t="str">
        <f t="shared" si="844"/>
        <v/>
      </c>
      <c r="AU1461" s="58"/>
      <c r="AV1461" s="59"/>
      <c r="AW1461" s="59"/>
      <c r="AX1461" s="60"/>
      <c r="AY1461" s="61">
        <v>1</v>
      </c>
      <c r="AZ1461" s="62">
        <f t="shared" si="846"/>
        <v>2</v>
      </c>
      <c r="BA1461" s="61">
        <f t="shared" si="847"/>
        <v>0</v>
      </c>
      <c r="BB1461" s="62" t="str">
        <f t="shared" si="848"/>
        <v/>
      </c>
    </row>
    <row r="1462" spans="1:54" hidden="1" x14ac:dyDescent="0.35">
      <c r="A1462" s="73">
        <f t="shared" si="799"/>
        <v>2019</v>
      </c>
      <c r="B1462" s="73" t="str">
        <f t="shared" si="824"/>
        <v>Nov</v>
      </c>
      <c r="C1462" s="74">
        <f t="shared" si="825"/>
        <v>17</v>
      </c>
      <c r="D1462" s="75">
        <f t="shared" si="826"/>
        <v>14</v>
      </c>
      <c r="E1462" s="76">
        <f t="shared" si="802"/>
        <v>32</v>
      </c>
      <c r="F1462" s="80">
        <v>47</v>
      </c>
      <c r="G1462" s="83"/>
      <c r="H1462" s="69" t="str">
        <f t="shared" si="827"/>
        <v>Senbur6_20191117_14_00</v>
      </c>
      <c r="I1462" s="70">
        <f t="shared" ref="I1462:N1462" si="864">I1461</f>
        <v>1</v>
      </c>
      <c r="J1462" s="77" t="str">
        <f t="shared" si="864"/>
        <v>Senecio</v>
      </c>
      <c r="K1462" s="77" t="str">
        <f t="shared" si="864"/>
        <v>burtoni</v>
      </c>
      <c r="L1462" s="78">
        <f t="shared" si="864"/>
        <v>6</v>
      </c>
      <c r="M1462" s="78">
        <f t="shared" si="864"/>
        <v>12</v>
      </c>
      <c r="N1462" s="72">
        <f t="shared" si="864"/>
        <v>0</v>
      </c>
      <c r="O1462" s="45"/>
      <c r="P1462" s="46">
        <f t="shared" si="829"/>
        <v>1</v>
      </c>
      <c r="Q1462" s="47" t="str">
        <f t="shared" si="830"/>
        <v>14:32:47</v>
      </c>
      <c r="R1462" s="48" t="str">
        <f t="shared" si="831"/>
        <v>32:47</v>
      </c>
      <c r="S1462" s="49">
        <f t="shared" si="832"/>
        <v>16</v>
      </c>
      <c r="T1462" s="48" t="str">
        <f t="shared" si="833"/>
        <v>14</v>
      </c>
      <c r="U1462" s="50">
        <v>33</v>
      </c>
      <c r="V1462" s="51">
        <v>3</v>
      </c>
      <c r="W1462" s="52" t="str">
        <f t="shared" si="834"/>
        <v>33:03</v>
      </c>
      <c r="X1462" s="53" t="s">
        <v>61</v>
      </c>
      <c r="Y1462" s="97" t="s">
        <v>78</v>
      </c>
      <c r="Z1462" s="97"/>
      <c r="AA1462" s="48" t="s">
        <v>60</v>
      </c>
      <c r="AB1462" s="48" t="str">
        <f t="shared" si="835"/>
        <v>NA</v>
      </c>
      <c r="AC1462" s="54">
        <f t="shared" si="836"/>
        <v>0</v>
      </c>
      <c r="AD1462" s="55">
        <f t="shared" si="837"/>
        <v>1</v>
      </c>
      <c r="AE1462" s="55"/>
      <c r="AF1462" s="55"/>
      <c r="AG1462" s="56" t="str">
        <f t="shared" si="851"/>
        <v/>
      </c>
      <c r="AH1462" s="57" t="str">
        <f t="shared" si="838"/>
        <v/>
      </c>
      <c r="AI1462" s="56"/>
      <c r="AJ1462" s="57" t="str">
        <f t="shared" si="839"/>
        <v/>
      </c>
      <c r="AK1462" s="56">
        <v>1</v>
      </c>
      <c r="AL1462" s="57">
        <f t="shared" si="840"/>
        <v>16</v>
      </c>
      <c r="AM1462" s="56"/>
      <c r="AN1462" s="57" t="str">
        <f t="shared" si="841"/>
        <v/>
      </c>
      <c r="AO1462" s="56"/>
      <c r="AP1462" s="57" t="str">
        <f t="shared" si="842"/>
        <v/>
      </c>
      <c r="AQ1462" s="56"/>
      <c r="AR1462" s="57" t="str">
        <f t="shared" si="843"/>
        <v/>
      </c>
      <c r="AS1462" s="56"/>
      <c r="AT1462" s="57" t="str">
        <f t="shared" si="844"/>
        <v/>
      </c>
      <c r="AU1462" s="58"/>
      <c r="AV1462" s="59"/>
      <c r="AW1462" s="59"/>
      <c r="AX1462" s="60"/>
      <c r="AY1462" s="61">
        <v>1</v>
      </c>
      <c r="AZ1462" s="62">
        <f t="shared" si="846"/>
        <v>1</v>
      </c>
      <c r="BA1462" s="61">
        <f t="shared" si="847"/>
        <v>0</v>
      </c>
      <c r="BB1462" s="62" t="str">
        <f t="shared" si="848"/>
        <v/>
      </c>
    </row>
    <row r="1463" spans="1:54" hidden="1" x14ac:dyDescent="0.35">
      <c r="A1463" s="73">
        <f t="shared" si="799"/>
        <v>2019</v>
      </c>
      <c r="B1463" s="73" t="str">
        <f t="shared" si="824"/>
        <v>Nov</v>
      </c>
      <c r="C1463" s="74">
        <f t="shared" si="825"/>
        <v>17</v>
      </c>
      <c r="D1463" s="75">
        <f t="shared" si="826"/>
        <v>14</v>
      </c>
      <c r="E1463" s="76">
        <v>32</v>
      </c>
      <c r="F1463" s="80">
        <v>53</v>
      </c>
      <c r="G1463" s="83"/>
      <c r="H1463" s="69" t="str">
        <f t="shared" si="827"/>
        <v>Senbur6_20191117_14_00</v>
      </c>
      <c r="I1463" s="70">
        <f t="shared" ref="I1463:N1463" si="865">I1462</f>
        <v>1</v>
      </c>
      <c r="J1463" s="77" t="str">
        <f t="shared" si="865"/>
        <v>Senecio</v>
      </c>
      <c r="K1463" s="77" t="str">
        <f t="shared" si="865"/>
        <v>burtoni</v>
      </c>
      <c r="L1463" s="78">
        <f t="shared" si="865"/>
        <v>6</v>
      </c>
      <c r="M1463" s="78">
        <f t="shared" si="865"/>
        <v>12</v>
      </c>
      <c r="N1463" s="72">
        <f t="shared" si="865"/>
        <v>0</v>
      </c>
      <c r="O1463" s="45"/>
      <c r="P1463" s="46">
        <f t="shared" si="829"/>
        <v>1</v>
      </c>
      <c r="Q1463" s="47" t="str">
        <f t="shared" si="830"/>
        <v>14:32:53</v>
      </c>
      <c r="R1463" s="48" t="str">
        <f t="shared" si="831"/>
        <v>32:53</v>
      </c>
      <c r="S1463" s="49">
        <f t="shared" si="832"/>
        <v>48</v>
      </c>
      <c r="T1463" s="48" t="str">
        <f t="shared" si="833"/>
        <v>14</v>
      </c>
      <c r="U1463" s="50">
        <v>33</v>
      </c>
      <c r="V1463" s="51">
        <v>41</v>
      </c>
      <c r="W1463" s="52" t="str">
        <f t="shared" si="834"/>
        <v>33:41</v>
      </c>
      <c r="X1463" s="53" t="s">
        <v>61</v>
      </c>
      <c r="Y1463" s="97" t="s">
        <v>78</v>
      </c>
      <c r="Z1463" s="97"/>
      <c r="AA1463" s="48" t="s">
        <v>60</v>
      </c>
      <c r="AB1463" s="48" t="str">
        <f t="shared" si="835"/>
        <v>NA</v>
      </c>
      <c r="AC1463" s="54">
        <f t="shared" si="836"/>
        <v>0</v>
      </c>
      <c r="AD1463" s="55">
        <v>3</v>
      </c>
      <c r="AE1463" s="55"/>
      <c r="AF1463" s="55"/>
      <c r="AG1463" s="56">
        <v>1</v>
      </c>
      <c r="AH1463" s="57">
        <v>4</v>
      </c>
      <c r="AI1463" s="56">
        <v>1</v>
      </c>
      <c r="AJ1463" s="57">
        <v>1</v>
      </c>
      <c r="AK1463" s="56">
        <v>1</v>
      </c>
      <c r="AL1463" s="57">
        <v>43</v>
      </c>
      <c r="AM1463" s="56"/>
      <c r="AN1463" s="57" t="str">
        <f t="shared" si="841"/>
        <v/>
      </c>
      <c r="AO1463" s="56"/>
      <c r="AP1463" s="57" t="str">
        <f t="shared" si="842"/>
        <v/>
      </c>
      <c r="AQ1463" s="56"/>
      <c r="AR1463" s="57" t="str">
        <f t="shared" si="843"/>
        <v/>
      </c>
      <c r="AS1463" s="56"/>
      <c r="AT1463" s="57" t="str">
        <f t="shared" si="844"/>
        <v/>
      </c>
      <c r="AU1463" s="58"/>
      <c r="AV1463" s="59"/>
      <c r="AW1463" s="59"/>
      <c r="AX1463" s="60"/>
      <c r="AY1463" s="61">
        <v>1</v>
      </c>
      <c r="AZ1463" s="62">
        <f t="shared" si="846"/>
        <v>3</v>
      </c>
      <c r="BA1463" s="61">
        <f t="shared" si="847"/>
        <v>0</v>
      </c>
      <c r="BB1463" s="62" t="str">
        <f t="shared" si="848"/>
        <v/>
      </c>
    </row>
    <row r="1464" spans="1:54" hidden="1" x14ac:dyDescent="0.35">
      <c r="A1464" s="73">
        <f t="shared" si="799"/>
        <v>2019</v>
      </c>
      <c r="B1464" s="73" t="str">
        <f t="shared" si="824"/>
        <v>Nov</v>
      </c>
      <c r="C1464" s="74">
        <f t="shared" si="825"/>
        <v>17</v>
      </c>
      <c r="D1464" s="75">
        <f t="shared" si="826"/>
        <v>14</v>
      </c>
      <c r="E1464" s="76">
        <f t="shared" si="802"/>
        <v>33</v>
      </c>
      <c r="F1464" s="80">
        <v>4</v>
      </c>
      <c r="G1464" s="83"/>
      <c r="H1464" s="69" t="str">
        <f t="shared" si="827"/>
        <v>Senbur6_20191117_14_00</v>
      </c>
      <c r="I1464" s="70">
        <f t="shared" ref="I1464:N1464" si="866">I1463</f>
        <v>1</v>
      </c>
      <c r="J1464" s="77" t="str">
        <f t="shared" si="866"/>
        <v>Senecio</v>
      </c>
      <c r="K1464" s="77" t="str">
        <f t="shared" si="866"/>
        <v>burtoni</v>
      </c>
      <c r="L1464" s="78">
        <f t="shared" si="866"/>
        <v>6</v>
      </c>
      <c r="M1464" s="78">
        <f t="shared" si="866"/>
        <v>12</v>
      </c>
      <c r="N1464" s="72">
        <f t="shared" si="866"/>
        <v>0</v>
      </c>
      <c r="O1464" s="45"/>
      <c r="P1464" s="46">
        <f t="shared" si="829"/>
        <v>1</v>
      </c>
      <c r="Q1464" s="47" t="str">
        <f t="shared" si="830"/>
        <v>14:33:04</v>
      </c>
      <c r="R1464" s="48" t="str">
        <f t="shared" si="831"/>
        <v>33:04</v>
      </c>
      <c r="S1464" s="49">
        <f t="shared" si="832"/>
        <v>114</v>
      </c>
      <c r="T1464" s="48" t="str">
        <f t="shared" si="833"/>
        <v>14</v>
      </c>
      <c r="U1464" s="50">
        <v>34</v>
      </c>
      <c r="V1464" s="51">
        <v>58</v>
      </c>
      <c r="W1464" s="52" t="str">
        <f t="shared" si="834"/>
        <v>34:58</v>
      </c>
      <c r="X1464" s="53" t="s">
        <v>61</v>
      </c>
      <c r="Y1464" s="97" t="s">
        <v>84</v>
      </c>
      <c r="Z1464" s="97" t="s">
        <v>80</v>
      </c>
      <c r="AA1464" s="48" t="s">
        <v>60</v>
      </c>
      <c r="AB1464" s="48" t="str">
        <f t="shared" si="835"/>
        <v>NA</v>
      </c>
      <c r="AC1464" s="54">
        <f t="shared" si="836"/>
        <v>0</v>
      </c>
      <c r="AD1464" s="55">
        <v>3</v>
      </c>
      <c r="AE1464" s="55"/>
      <c r="AF1464" s="55"/>
      <c r="AG1464" s="56">
        <v>1</v>
      </c>
      <c r="AH1464" s="57">
        <v>1</v>
      </c>
      <c r="AI1464" s="56">
        <v>1</v>
      </c>
      <c r="AJ1464" s="57">
        <v>2</v>
      </c>
      <c r="AK1464" s="56">
        <v>1</v>
      </c>
      <c r="AL1464" s="57">
        <v>111</v>
      </c>
      <c r="AM1464" s="56"/>
      <c r="AN1464" s="57" t="str">
        <f t="shared" si="841"/>
        <v/>
      </c>
      <c r="AO1464" s="56"/>
      <c r="AP1464" s="57" t="str">
        <f t="shared" si="842"/>
        <v/>
      </c>
      <c r="AQ1464" s="56"/>
      <c r="AR1464" s="57" t="str">
        <f t="shared" si="843"/>
        <v/>
      </c>
      <c r="AS1464" s="56"/>
      <c r="AT1464" s="57" t="str">
        <f t="shared" si="844"/>
        <v/>
      </c>
      <c r="AU1464" s="58"/>
      <c r="AV1464" s="59"/>
      <c r="AW1464" s="59"/>
      <c r="AX1464" s="60"/>
      <c r="AY1464" s="61">
        <v>1</v>
      </c>
      <c r="AZ1464" s="62">
        <f t="shared" si="846"/>
        <v>3</v>
      </c>
      <c r="BA1464" s="61">
        <f t="shared" si="847"/>
        <v>0</v>
      </c>
      <c r="BB1464" s="62" t="str">
        <f t="shared" si="848"/>
        <v/>
      </c>
    </row>
    <row r="1465" spans="1:54" hidden="1" x14ac:dyDescent="0.35">
      <c r="A1465" s="73">
        <f t="shared" si="799"/>
        <v>2019</v>
      </c>
      <c r="B1465" s="73" t="str">
        <f t="shared" si="824"/>
        <v>Nov</v>
      </c>
      <c r="C1465" s="74">
        <f t="shared" si="825"/>
        <v>17</v>
      </c>
      <c r="D1465" s="75">
        <f t="shared" si="826"/>
        <v>14</v>
      </c>
      <c r="E1465" s="76">
        <v>33</v>
      </c>
      <c r="F1465" s="80">
        <v>7</v>
      </c>
      <c r="G1465" s="83"/>
      <c r="H1465" s="69" t="str">
        <f t="shared" si="827"/>
        <v>Senbur6_20191117_14_00</v>
      </c>
      <c r="I1465" s="70">
        <f t="shared" ref="I1465:N1465" si="867">I1464</f>
        <v>1</v>
      </c>
      <c r="J1465" s="77" t="str">
        <f t="shared" si="867"/>
        <v>Senecio</v>
      </c>
      <c r="K1465" s="77" t="str">
        <f t="shared" si="867"/>
        <v>burtoni</v>
      </c>
      <c r="L1465" s="78">
        <f t="shared" si="867"/>
        <v>6</v>
      </c>
      <c r="M1465" s="78">
        <f t="shared" si="867"/>
        <v>12</v>
      </c>
      <c r="N1465" s="72">
        <f t="shared" si="867"/>
        <v>0</v>
      </c>
      <c r="O1465" s="45"/>
      <c r="P1465" s="46">
        <f t="shared" si="829"/>
        <v>1</v>
      </c>
      <c r="Q1465" s="47" t="str">
        <f t="shared" si="830"/>
        <v>14:33:07</v>
      </c>
      <c r="R1465" s="48" t="str">
        <f t="shared" si="831"/>
        <v>33:07</v>
      </c>
      <c r="S1465" s="49">
        <f t="shared" si="832"/>
        <v>105</v>
      </c>
      <c r="T1465" s="48" t="str">
        <f t="shared" si="833"/>
        <v>14</v>
      </c>
      <c r="U1465" s="50">
        <v>34</v>
      </c>
      <c r="V1465" s="51">
        <v>52</v>
      </c>
      <c r="W1465" s="52" t="str">
        <f t="shared" si="834"/>
        <v>34:52</v>
      </c>
      <c r="X1465" s="53" t="s">
        <v>61</v>
      </c>
      <c r="Y1465" s="97" t="s">
        <v>84</v>
      </c>
      <c r="Z1465" s="97" t="s">
        <v>80</v>
      </c>
      <c r="AA1465" s="48" t="s">
        <v>60</v>
      </c>
      <c r="AB1465" s="48" t="str">
        <f t="shared" si="835"/>
        <v>NA</v>
      </c>
      <c r="AC1465" s="54">
        <f t="shared" si="836"/>
        <v>0</v>
      </c>
      <c r="AD1465" s="55">
        <v>2</v>
      </c>
      <c r="AE1465" s="55"/>
      <c r="AF1465" s="55"/>
      <c r="AG1465" s="56">
        <v>1</v>
      </c>
      <c r="AH1465" s="57">
        <v>1</v>
      </c>
      <c r="AI1465" s="56"/>
      <c r="AJ1465" s="57" t="str">
        <f t="shared" si="839"/>
        <v/>
      </c>
      <c r="AK1465" s="56">
        <v>1</v>
      </c>
      <c r="AL1465" s="57">
        <v>104</v>
      </c>
      <c r="AM1465" s="56"/>
      <c r="AN1465" s="57" t="str">
        <f t="shared" si="841"/>
        <v/>
      </c>
      <c r="AO1465" s="56"/>
      <c r="AP1465" s="57" t="str">
        <f t="shared" si="842"/>
        <v/>
      </c>
      <c r="AQ1465" s="56"/>
      <c r="AR1465" s="57" t="str">
        <f t="shared" si="843"/>
        <v/>
      </c>
      <c r="AS1465" s="56"/>
      <c r="AT1465" s="57" t="str">
        <f t="shared" si="844"/>
        <v/>
      </c>
      <c r="AU1465" s="58"/>
      <c r="AV1465" s="59"/>
      <c r="AW1465" s="59"/>
      <c r="AX1465" s="60"/>
      <c r="AY1465" s="61">
        <v>1</v>
      </c>
      <c r="AZ1465" s="62">
        <f t="shared" si="846"/>
        <v>2</v>
      </c>
      <c r="BA1465" s="61">
        <f t="shared" si="847"/>
        <v>0</v>
      </c>
      <c r="BB1465" s="62" t="str">
        <f t="shared" si="848"/>
        <v/>
      </c>
    </row>
    <row r="1466" spans="1:54" hidden="1" x14ac:dyDescent="0.35">
      <c r="A1466" s="73">
        <f t="shared" si="799"/>
        <v>2019</v>
      </c>
      <c r="B1466" s="73" t="str">
        <f t="shared" si="824"/>
        <v>Nov</v>
      </c>
      <c r="C1466" s="74">
        <f t="shared" si="825"/>
        <v>17</v>
      </c>
      <c r="D1466" s="75">
        <f t="shared" si="826"/>
        <v>14</v>
      </c>
      <c r="E1466" s="76">
        <f t="shared" si="802"/>
        <v>34</v>
      </c>
      <c r="F1466" s="80">
        <v>20</v>
      </c>
      <c r="G1466" s="83"/>
      <c r="H1466" s="69" t="str">
        <f t="shared" si="827"/>
        <v>Senbur6_20191117_14_00</v>
      </c>
      <c r="I1466" s="70">
        <f t="shared" ref="I1466:N1466" si="868">I1465</f>
        <v>1</v>
      </c>
      <c r="J1466" s="77" t="str">
        <f t="shared" si="868"/>
        <v>Senecio</v>
      </c>
      <c r="K1466" s="77" t="str">
        <f t="shared" si="868"/>
        <v>burtoni</v>
      </c>
      <c r="L1466" s="78">
        <f t="shared" si="868"/>
        <v>6</v>
      </c>
      <c r="M1466" s="78">
        <f t="shared" si="868"/>
        <v>12</v>
      </c>
      <c r="N1466" s="72">
        <f t="shared" si="868"/>
        <v>0</v>
      </c>
      <c r="O1466" s="45"/>
      <c r="P1466" s="46">
        <f t="shared" si="829"/>
        <v>1</v>
      </c>
      <c r="Q1466" s="47" t="str">
        <f t="shared" si="830"/>
        <v>14:34:20</v>
      </c>
      <c r="R1466" s="48" t="str">
        <f t="shared" si="831"/>
        <v>34:20</v>
      </c>
      <c r="S1466" s="49">
        <f t="shared" si="832"/>
        <v>37</v>
      </c>
      <c r="T1466" s="48" t="str">
        <f t="shared" si="833"/>
        <v>14</v>
      </c>
      <c r="U1466" s="50">
        <v>34</v>
      </c>
      <c r="V1466" s="51">
        <v>57</v>
      </c>
      <c r="W1466" s="52" t="str">
        <f t="shared" si="834"/>
        <v>34:57</v>
      </c>
      <c r="X1466" s="53" t="s">
        <v>61</v>
      </c>
      <c r="Y1466" s="97" t="s">
        <v>78</v>
      </c>
      <c r="Z1466" s="97"/>
      <c r="AA1466" s="48" t="s">
        <v>60</v>
      </c>
      <c r="AB1466" s="48" t="str">
        <f t="shared" si="835"/>
        <v>NA</v>
      </c>
      <c r="AC1466" s="54">
        <f t="shared" si="836"/>
        <v>0</v>
      </c>
      <c r="AD1466" s="55">
        <f t="shared" si="837"/>
        <v>1</v>
      </c>
      <c r="AE1466" s="55"/>
      <c r="AF1466" s="55"/>
      <c r="AG1466" s="56">
        <v>1</v>
      </c>
      <c r="AH1466" s="57">
        <v>6</v>
      </c>
      <c r="AI1466" s="56"/>
      <c r="AJ1466" s="57" t="str">
        <f t="shared" si="839"/>
        <v/>
      </c>
      <c r="AK1466" s="56">
        <v>1</v>
      </c>
      <c r="AL1466" s="57">
        <v>31</v>
      </c>
      <c r="AM1466" s="56"/>
      <c r="AN1466" s="57" t="str">
        <f t="shared" si="841"/>
        <v/>
      </c>
      <c r="AO1466" s="56"/>
      <c r="AP1466" s="57" t="str">
        <f t="shared" si="842"/>
        <v/>
      </c>
      <c r="AQ1466" s="56"/>
      <c r="AR1466" s="57" t="str">
        <f t="shared" si="843"/>
        <v/>
      </c>
      <c r="AS1466" s="56"/>
      <c r="AT1466" s="57" t="str">
        <f t="shared" si="844"/>
        <v/>
      </c>
      <c r="AU1466" s="58" t="s">
        <v>75</v>
      </c>
      <c r="AV1466" s="59"/>
      <c r="AW1466" s="59"/>
      <c r="AX1466" s="60"/>
      <c r="AY1466" s="61">
        <v>1</v>
      </c>
      <c r="AZ1466" s="62">
        <f t="shared" si="846"/>
        <v>1</v>
      </c>
      <c r="BA1466" s="61">
        <f t="shared" si="847"/>
        <v>0</v>
      </c>
      <c r="BB1466" s="62" t="str">
        <f t="shared" si="848"/>
        <v/>
      </c>
    </row>
    <row r="1467" spans="1:54" hidden="1" x14ac:dyDescent="0.35">
      <c r="A1467" s="73">
        <f t="shared" si="799"/>
        <v>2019</v>
      </c>
      <c r="B1467" s="73" t="str">
        <f t="shared" si="824"/>
        <v>Nov</v>
      </c>
      <c r="C1467" s="74">
        <f t="shared" si="825"/>
        <v>17</v>
      </c>
      <c r="D1467" s="75">
        <f t="shared" si="826"/>
        <v>14</v>
      </c>
      <c r="E1467" s="76">
        <v>34</v>
      </c>
      <c r="F1467" s="80">
        <v>35</v>
      </c>
      <c r="G1467" s="83"/>
      <c r="H1467" s="69" t="str">
        <f t="shared" si="827"/>
        <v>Senbur6_20191117_14_00</v>
      </c>
      <c r="I1467" s="70">
        <f t="shared" ref="I1467:N1468" si="869">I1466</f>
        <v>1</v>
      </c>
      <c r="J1467" s="77" t="str">
        <f t="shared" si="869"/>
        <v>Senecio</v>
      </c>
      <c r="K1467" s="77" t="str">
        <f t="shared" si="869"/>
        <v>burtoni</v>
      </c>
      <c r="L1467" s="78">
        <f t="shared" si="869"/>
        <v>6</v>
      </c>
      <c r="M1467" s="78">
        <f t="shared" si="869"/>
        <v>12</v>
      </c>
      <c r="N1467" s="72">
        <f t="shared" si="869"/>
        <v>0</v>
      </c>
      <c r="O1467" s="45"/>
      <c r="P1467" s="46">
        <f t="shared" si="829"/>
        <v>1</v>
      </c>
      <c r="Q1467" s="47" t="str">
        <f t="shared" si="830"/>
        <v>14:34:35</v>
      </c>
      <c r="R1467" s="48" t="str">
        <f t="shared" si="831"/>
        <v>34:35</v>
      </c>
      <c r="S1467" s="49">
        <f t="shared" si="832"/>
        <v>17</v>
      </c>
      <c r="T1467" s="48" t="str">
        <f t="shared" si="833"/>
        <v>14</v>
      </c>
      <c r="U1467" s="50">
        <v>34</v>
      </c>
      <c r="V1467" s="51">
        <v>52</v>
      </c>
      <c r="W1467" s="52" t="str">
        <f t="shared" si="834"/>
        <v>34:52</v>
      </c>
      <c r="X1467" s="53" t="s">
        <v>61</v>
      </c>
      <c r="Y1467" s="97" t="s">
        <v>78</v>
      </c>
      <c r="Z1467" s="97"/>
      <c r="AA1467" s="48" t="s">
        <v>60</v>
      </c>
      <c r="AB1467" s="48" t="str">
        <f t="shared" si="835"/>
        <v>NA</v>
      </c>
      <c r="AC1467" s="54">
        <f t="shared" si="836"/>
        <v>0</v>
      </c>
      <c r="AD1467" s="55">
        <f t="shared" si="837"/>
        <v>1</v>
      </c>
      <c r="AE1467" s="55"/>
      <c r="AF1467" s="55"/>
      <c r="AG1467" s="56" t="str">
        <f t="shared" si="851"/>
        <v/>
      </c>
      <c r="AH1467" s="57" t="str">
        <f t="shared" si="838"/>
        <v/>
      </c>
      <c r="AI1467" s="56"/>
      <c r="AJ1467" s="57" t="str">
        <f t="shared" si="839"/>
        <v/>
      </c>
      <c r="AK1467" s="56">
        <v>1</v>
      </c>
      <c r="AL1467" s="57">
        <f t="shared" si="840"/>
        <v>17</v>
      </c>
      <c r="AM1467" s="56"/>
      <c r="AN1467" s="57" t="str">
        <f t="shared" si="841"/>
        <v/>
      </c>
      <c r="AO1467" s="56"/>
      <c r="AP1467" s="57" t="str">
        <f t="shared" si="842"/>
        <v/>
      </c>
      <c r="AQ1467" s="56"/>
      <c r="AR1467" s="57" t="str">
        <f t="shared" si="843"/>
        <v/>
      </c>
      <c r="AS1467" s="56"/>
      <c r="AT1467" s="57" t="str">
        <f t="shared" si="844"/>
        <v/>
      </c>
      <c r="AU1467" s="58"/>
      <c r="AV1467" s="59"/>
      <c r="AW1467" s="59"/>
      <c r="AX1467" s="60"/>
      <c r="AY1467" s="61">
        <v>1</v>
      </c>
      <c r="AZ1467" s="62">
        <f t="shared" si="846"/>
        <v>1</v>
      </c>
      <c r="BA1467" s="61">
        <f t="shared" si="847"/>
        <v>0</v>
      </c>
      <c r="BB1467" s="62" t="str">
        <f t="shared" si="848"/>
        <v/>
      </c>
    </row>
    <row r="1468" spans="1:54" hidden="1" x14ac:dyDescent="0.35">
      <c r="A1468" s="73">
        <f t="shared" si="799"/>
        <v>2019</v>
      </c>
      <c r="B1468" s="73" t="str">
        <f t="shared" ref="B1468" si="870">IF(C1467-C1468&gt;0, TEXT(DATE(2016,(MONTH(DATEVALUE(B1467&amp;"1"))+1),1),"mmm"), B1467)</f>
        <v>Nov</v>
      </c>
      <c r="C1468" s="74">
        <f t="shared" ref="C1468" si="871">IF(AND(D1468=0, E1468=0), IF(TEXT(C1467,"dd")=TEXT(EOMONTH(DATE(A1467,MONTH(DATEVALUE(B1467&amp;"1")),C1467),0), "dd"), 1, C1467+1), C1467)</f>
        <v>17</v>
      </c>
      <c r="D1468" s="75">
        <f t="shared" ref="D1468" si="872">IF(IF(E1467=59,D1467+1,D1467)=24,0,IF(E1467=59,D1467+1,D1467))</f>
        <v>14</v>
      </c>
      <c r="E1468" s="76">
        <v>34</v>
      </c>
      <c r="F1468" s="80">
        <v>52</v>
      </c>
      <c r="G1468" s="83"/>
      <c r="H1468" s="69" t="str">
        <f t="shared" ref="H1468" si="873">IF(AND(OR(E1467=$G$3,E1467=$G$4,E1467=$G$5,E1467=$G$6,E1467=$G$7,E1467=$G$8),E1467&lt;&gt;RIGHT(H1467,2)),CONCATENATE(LEFT(J1468,3),LEFT(K1468,3),L1468,"_",A1468,TEXT(MONTH(DATEVALUE(B1468&amp;"1")),"00"),TEXT(C1468,"00"),"_",TEXT(D1468,"00"),"_",TEXT(E1467,"00")),IF(AND(OR(E1468=$G$3,E1468=$G$4,E1468=$G$5,E1468=$G$6,E1468=$G$7,E1468=$G$8),OR(F1468="",F1468&gt;$G$9-1)),CONCATENATE(LEFT(J1468,3),LEFT(K1468,3),L1468,"_",A1468,TEXT(MONTH(DATEVALUE(B1468&amp;"1")),"00"),TEXT(C1468,"00"),"_",TEXT(D1468,"00"),"_",TEXT(E1468,"00")),H1467))</f>
        <v>Senbur6_20191117_14_00</v>
      </c>
      <c r="I1468" s="70">
        <f t="shared" si="869"/>
        <v>1</v>
      </c>
      <c r="J1468" s="77" t="str">
        <f t="shared" si="869"/>
        <v>Senecio</v>
      </c>
      <c r="K1468" s="77" t="str">
        <f t="shared" si="869"/>
        <v>burtoni</v>
      </c>
      <c r="L1468" s="78">
        <f t="shared" si="869"/>
        <v>6</v>
      </c>
      <c r="M1468" s="78">
        <f t="shared" si="869"/>
        <v>12</v>
      </c>
      <c r="N1468" s="72">
        <f t="shared" si="869"/>
        <v>0</v>
      </c>
      <c r="O1468" s="45"/>
      <c r="P1468" s="46">
        <f t="shared" ref="P1468" si="874">IF(F1468="","",1)</f>
        <v>1</v>
      </c>
      <c r="Q1468" s="47" t="str">
        <f t="shared" ref="Q1468" si="875">TEXT(IF(P1468=1,CONCATENATE($D1468,":",$E1468,":",(LEFT($F1468,2))),""),"hh:mm:ss")</f>
        <v>14:34:52</v>
      </c>
      <c r="R1468" s="48" t="str">
        <f t="shared" ref="R1468" si="876">TEXT(Q1468-TIME(0,RIGHT($H1468,2),$G$9)+(Q1468&gt;TIME(0,RIGHT($H1468,2),$G$9)),"mm:ss")</f>
        <v>34:52</v>
      </c>
      <c r="S1468" s="49">
        <f t="shared" ref="S1468" si="877">IF(T1468&lt;D1468, (T1468*3600+U1468*60+V1468)+((23*3600+59*60+60)-(D1468*3600+E1468*60+LEFT(F1468,2))), (T1468*3600+U1468*60+V1468)-(D1468*3600+E1468*60+LEFT(F1468,2)))</f>
        <v>41</v>
      </c>
      <c r="T1468" s="48" t="str">
        <f t="shared" ref="T1468" si="878">TEXT(IF(P1468=1,D1468,""),"00")</f>
        <v>14</v>
      </c>
      <c r="U1468" s="50">
        <v>35</v>
      </c>
      <c r="V1468" s="51">
        <v>33</v>
      </c>
      <c r="W1468" s="52" t="str">
        <f t="shared" ref="W1468" si="879">IF(O1468=0,TEXT(TIME(T1468,U1468,V1468)-TIME(D1468,E1468,RIGHT(F1468,2))+TIME(0,LEFT(R1468,2),RIGHT(R1468,2)),"mm:ss"),TEXT(TIME(T1468,U1468,V1468)-TIME(D1468,E1468,RIGHT(F1468,2))+TIME(0,LEFT(R1468,2),RIGHT(R1468,2))-TIME(0,($G$10*O1468),0),"mm:ss"))</f>
        <v>35:33</v>
      </c>
      <c r="X1468" s="53" t="s">
        <v>61</v>
      </c>
      <c r="Y1468" s="97" t="s">
        <v>84</v>
      </c>
      <c r="Z1468" s="97" t="s">
        <v>80</v>
      </c>
      <c r="AA1468" s="48" t="s">
        <v>60</v>
      </c>
      <c r="AB1468" s="48" t="str">
        <f t="shared" ref="AB1468" si="880">IF(AA1468&lt;&gt;0,"NA","")</f>
        <v>NA</v>
      </c>
      <c r="AC1468" s="54">
        <f t="shared" ref="AC1468" si="881">IF(SUM(AH1468,AJ1468,AL1468,AN1468,AP1468,AR1468,AT1468)=S1468,,"")</f>
        <v>0</v>
      </c>
      <c r="AD1468" s="55">
        <f t="shared" ref="AD1468" si="882">IF(P1468=1,1,"")</f>
        <v>1</v>
      </c>
      <c r="AE1468" s="55"/>
      <c r="AF1468" s="55"/>
      <c r="AG1468" s="56" t="str">
        <f t="shared" ref="AG1468" si="883">IF(OR(X1468="Something small"),1,"")</f>
        <v/>
      </c>
      <c r="AH1468" s="57" t="str">
        <f t="shared" ref="AH1468" si="884">IF(AG1468=1,$S1468,"")</f>
        <v/>
      </c>
      <c r="AI1468" s="56"/>
      <c r="AJ1468" s="57" t="str">
        <f t="shared" ref="AJ1468" si="885">IF(AI1468=1,$S1468,"")</f>
        <v/>
      </c>
      <c r="AK1468" s="56">
        <v>1</v>
      </c>
      <c r="AL1468" s="57">
        <f t="shared" ref="AL1468" si="886">IF(AK1468=1,$S1468,"")</f>
        <v>41</v>
      </c>
      <c r="AM1468" s="56"/>
      <c r="AN1468" s="57" t="str">
        <f t="shared" ref="AN1468" si="887">IF(AM1468=1,$S1468,"")</f>
        <v/>
      </c>
      <c r="AO1468" s="56"/>
      <c r="AP1468" s="57" t="str">
        <f t="shared" ref="AP1468" si="888">IF(AO1468=1,$S1468,"")</f>
        <v/>
      </c>
      <c r="AQ1468" s="56"/>
      <c r="AR1468" s="57" t="str">
        <f t="shared" ref="AR1468" si="889">IF(AQ1468=1,$S1468,"")</f>
        <v/>
      </c>
      <c r="AS1468" s="56"/>
      <c r="AT1468" s="57" t="str">
        <f t="shared" ref="AT1468" si="890">IF(AS1468=1,$S1468,"")</f>
        <v/>
      </c>
      <c r="AU1468" s="58"/>
      <c r="AV1468" s="59"/>
      <c r="AW1468" s="59"/>
      <c r="AX1468" s="60"/>
      <c r="AY1468" s="61">
        <v>1</v>
      </c>
      <c r="AZ1468" s="62">
        <f t="shared" ref="AZ1468" si="891">IF(AY1468=1,AD1468,"")</f>
        <v>1</v>
      </c>
      <c r="BA1468" s="61">
        <f t="shared" ref="BA1468" si="892">IF(P1468=1,0,"")</f>
        <v>0</v>
      </c>
      <c r="BB1468" s="62" t="str">
        <f t="shared" ref="BB1468" si="893">IF(BA1468=1,AD1468,"")</f>
        <v/>
      </c>
    </row>
    <row r="1469" spans="1:54" hidden="1" x14ac:dyDescent="0.35">
      <c r="A1469" s="73">
        <f>A1467</f>
        <v>2019</v>
      </c>
      <c r="B1469" s="73" t="str">
        <f>IF(C1467-C1469&gt;0, TEXT(DATE(2016,(MONTH(DATEVALUE(B1467&amp;"1"))+1),1),"mmm"), B1467)</f>
        <v>Nov</v>
      </c>
      <c r="C1469" s="74">
        <f>IF(AND(D1469=0, E1469=0), IF(TEXT(C1467,"dd")=TEXT(EOMONTH(DATE(A1467,MONTH(DATEVALUE(B1467&amp;"1")),C1467),0), "dd"), 1, C1467+1), C1467)</f>
        <v>17</v>
      </c>
      <c r="D1469" s="75">
        <f>IF(IF(E1467=59,D1467+1,D1467)=24,0,IF(E1467=59,D1467+1,D1467))</f>
        <v>14</v>
      </c>
      <c r="E1469" s="76">
        <v>34</v>
      </c>
      <c r="F1469" s="80">
        <v>56</v>
      </c>
      <c r="G1469" s="83"/>
      <c r="H1469" s="69" t="str">
        <f>IF(AND(OR(E1467=$G$3,E1467=$G$4,E1467=$G$5,E1467=$G$6,E1467=$G$7,E1467=$G$8),E1467&lt;&gt;RIGHT(H1467,2)),CONCATENATE(LEFT(J1469,3),LEFT(K1469,3),L1469,"_",A1469,TEXT(MONTH(DATEVALUE(B1469&amp;"1")),"00"),TEXT(C1469,"00"),"_",TEXT(D1469,"00"),"_",TEXT(E1467,"00")),IF(AND(OR(E1469=$G$3,E1469=$G$4,E1469=$G$5,E1469=$G$6,E1469=$G$7,E1469=$G$8),OR(F1469="",F1469&gt;$G$9-1)),CONCATENATE(LEFT(J1469,3),LEFT(K1469,3),L1469,"_",A1469,TEXT(MONTH(DATEVALUE(B1469&amp;"1")),"00"),TEXT(C1469,"00"),"_",TEXT(D1469,"00"),"_",TEXT(E1469,"00")),H1467))</f>
        <v>Senbur6_20191117_14_00</v>
      </c>
      <c r="I1469" s="70">
        <f t="shared" ref="I1469:N1469" si="894">I1467</f>
        <v>1</v>
      </c>
      <c r="J1469" s="77" t="str">
        <f t="shared" si="894"/>
        <v>Senecio</v>
      </c>
      <c r="K1469" s="77" t="str">
        <f t="shared" si="894"/>
        <v>burtoni</v>
      </c>
      <c r="L1469" s="78">
        <f t="shared" si="894"/>
        <v>6</v>
      </c>
      <c r="M1469" s="78">
        <f t="shared" si="894"/>
        <v>12</v>
      </c>
      <c r="N1469" s="72">
        <f t="shared" si="894"/>
        <v>0</v>
      </c>
      <c r="O1469" s="45"/>
      <c r="P1469" s="46">
        <f t="shared" si="829"/>
        <v>1</v>
      </c>
      <c r="Q1469" s="47" t="str">
        <f t="shared" si="830"/>
        <v>14:34:56</v>
      </c>
      <c r="R1469" s="48" t="str">
        <f t="shared" si="831"/>
        <v>34:56</v>
      </c>
      <c r="S1469" s="49">
        <f t="shared" si="832"/>
        <v>29</v>
      </c>
      <c r="T1469" s="48" t="str">
        <f t="shared" si="833"/>
        <v>14</v>
      </c>
      <c r="U1469" s="50">
        <v>35</v>
      </c>
      <c r="V1469" s="51">
        <v>25</v>
      </c>
      <c r="W1469" s="52" t="str">
        <f t="shared" si="834"/>
        <v>35:25</v>
      </c>
      <c r="X1469" s="53" t="s">
        <v>61</v>
      </c>
      <c r="Y1469" s="97" t="s">
        <v>84</v>
      </c>
      <c r="Z1469" s="97" t="s">
        <v>80</v>
      </c>
      <c r="AA1469" s="48" t="s">
        <v>60</v>
      </c>
      <c r="AB1469" s="48" t="str">
        <f t="shared" si="835"/>
        <v>NA</v>
      </c>
      <c r="AC1469" s="54">
        <f t="shared" si="836"/>
        <v>0</v>
      </c>
      <c r="AD1469" s="55">
        <v>3</v>
      </c>
      <c r="AE1469" s="55"/>
      <c r="AF1469" s="55"/>
      <c r="AG1469" s="56">
        <v>1</v>
      </c>
      <c r="AH1469" s="57">
        <v>5</v>
      </c>
      <c r="AI1469" s="56">
        <v>1</v>
      </c>
      <c r="AJ1469" s="57">
        <v>2</v>
      </c>
      <c r="AK1469" s="56">
        <v>1</v>
      </c>
      <c r="AL1469" s="57">
        <v>22</v>
      </c>
      <c r="AM1469" s="56"/>
      <c r="AN1469" s="57" t="str">
        <f t="shared" si="841"/>
        <v/>
      </c>
      <c r="AO1469" s="56"/>
      <c r="AP1469" s="57" t="str">
        <f t="shared" si="842"/>
        <v/>
      </c>
      <c r="AQ1469" s="56"/>
      <c r="AR1469" s="57" t="str">
        <f t="shared" si="843"/>
        <v/>
      </c>
      <c r="AS1469" s="56"/>
      <c r="AT1469" s="57" t="str">
        <f t="shared" si="844"/>
        <v/>
      </c>
      <c r="AU1469" s="58"/>
      <c r="AV1469" s="59"/>
      <c r="AW1469" s="59"/>
      <c r="AX1469" s="60"/>
      <c r="AY1469" s="61">
        <v>1</v>
      </c>
      <c r="AZ1469" s="62">
        <f t="shared" si="846"/>
        <v>3</v>
      </c>
      <c r="BA1469" s="61">
        <f t="shared" si="847"/>
        <v>0</v>
      </c>
      <c r="BB1469" s="62" t="str">
        <f t="shared" si="848"/>
        <v/>
      </c>
    </row>
    <row r="1470" spans="1:54" hidden="1" x14ac:dyDescent="0.35">
      <c r="A1470" s="73">
        <f t="shared" si="799"/>
        <v>2019</v>
      </c>
      <c r="B1470" s="73" t="str">
        <f t="shared" si="824"/>
        <v>Nov</v>
      </c>
      <c r="C1470" s="74">
        <f t="shared" si="825"/>
        <v>17</v>
      </c>
      <c r="D1470" s="75">
        <f t="shared" si="826"/>
        <v>14</v>
      </c>
      <c r="E1470" s="76">
        <v>34</v>
      </c>
      <c r="F1470" s="80">
        <v>57</v>
      </c>
      <c r="G1470" s="83"/>
      <c r="H1470" s="69" t="str">
        <f t="shared" si="827"/>
        <v>Senbur6_20191117_14_00</v>
      </c>
      <c r="I1470" s="70">
        <f t="shared" ref="I1470:N1471" si="895">I1469</f>
        <v>1</v>
      </c>
      <c r="J1470" s="77" t="str">
        <f t="shared" si="895"/>
        <v>Senecio</v>
      </c>
      <c r="K1470" s="77" t="str">
        <f t="shared" si="895"/>
        <v>burtoni</v>
      </c>
      <c r="L1470" s="78">
        <f t="shared" si="895"/>
        <v>6</v>
      </c>
      <c r="M1470" s="78">
        <f t="shared" si="895"/>
        <v>12</v>
      </c>
      <c r="N1470" s="72">
        <f t="shared" si="895"/>
        <v>0</v>
      </c>
      <c r="O1470" s="45"/>
      <c r="P1470" s="46">
        <f t="shared" si="829"/>
        <v>1</v>
      </c>
      <c r="Q1470" s="47" t="str">
        <f t="shared" si="830"/>
        <v>14:34:57</v>
      </c>
      <c r="R1470" s="48" t="str">
        <f t="shared" si="831"/>
        <v>34:57</v>
      </c>
      <c r="S1470" s="49">
        <f t="shared" si="832"/>
        <v>13</v>
      </c>
      <c r="T1470" s="48" t="str">
        <f t="shared" si="833"/>
        <v>14</v>
      </c>
      <c r="U1470" s="50">
        <v>35</v>
      </c>
      <c r="V1470" s="51">
        <v>10</v>
      </c>
      <c r="W1470" s="52" t="str">
        <f t="shared" si="834"/>
        <v>35:10</v>
      </c>
      <c r="X1470" s="53" t="s">
        <v>61</v>
      </c>
      <c r="Y1470" s="97" t="s">
        <v>84</v>
      </c>
      <c r="Z1470" s="97" t="s">
        <v>80</v>
      </c>
      <c r="AA1470" s="48" t="s">
        <v>60</v>
      </c>
      <c r="AB1470" s="48" t="str">
        <f t="shared" si="835"/>
        <v>NA</v>
      </c>
      <c r="AC1470" s="54">
        <f t="shared" si="836"/>
        <v>0</v>
      </c>
      <c r="AD1470" s="55">
        <f t="shared" si="837"/>
        <v>1</v>
      </c>
      <c r="AE1470" s="55"/>
      <c r="AF1470" s="55"/>
      <c r="AG1470" s="56" t="str">
        <f t="shared" si="851"/>
        <v/>
      </c>
      <c r="AH1470" s="57" t="str">
        <f t="shared" si="838"/>
        <v/>
      </c>
      <c r="AI1470" s="56"/>
      <c r="AJ1470" s="57" t="str">
        <f t="shared" si="839"/>
        <v/>
      </c>
      <c r="AK1470" s="56">
        <v>1</v>
      </c>
      <c r="AL1470" s="57">
        <f t="shared" si="840"/>
        <v>13</v>
      </c>
      <c r="AM1470" s="56"/>
      <c r="AN1470" s="57" t="str">
        <f t="shared" si="841"/>
        <v/>
      </c>
      <c r="AO1470" s="56"/>
      <c r="AP1470" s="57" t="str">
        <f t="shared" si="842"/>
        <v/>
      </c>
      <c r="AQ1470" s="56"/>
      <c r="AR1470" s="57" t="str">
        <f t="shared" si="843"/>
        <v/>
      </c>
      <c r="AS1470" s="56"/>
      <c r="AT1470" s="57" t="str">
        <f t="shared" si="844"/>
        <v/>
      </c>
      <c r="AU1470" s="58"/>
      <c r="AV1470" s="59"/>
      <c r="AW1470" s="59"/>
      <c r="AX1470" s="60"/>
      <c r="AY1470" s="61">
        <v>1</v>
      </c>
      <c r="AZ1470" s="62">
        <f t="shared" si="846"/>
        <v>1</v>
      </c>
      <c r="BA1470" s="61">
        <f t="shared" si="847"/>
        <v>0</v>
      </c>
      <c r="BB1470" s="62" t="str">
        <f t="shared" si="848"/>
        <v/>
      </c>
    </row>
    <row r="1471" spans="1:54" hidden="1" x14ac:dyDescent="0.35">
      <c r="A1471" s="73">
        <f t="shared" si="799"/>
        <v>2019</v>
      </c>
      <c r="B1471" s="73" t="str">
        <f t="shared" ref="B1471" si="896">IF(C1470-C1471&gt;0, TEXT(DATE(2016,(MONTH(DATEVALUE(B1470&amp;"1"))+1),1),"mmm"), B1470)</f>
        <v>Nov</v>
      </c>
      <c r="C1471" s="74">
        <f t="shared" ref="C1471" si="897">IF(AND(D1471=0, E1471=0), IF(TEXT(C1470,"dd")=TEXT(EOMONTH(DATE(A1470,MONTH(DATEVALUE(B1470&amp;"1")),C1470),0), "dd"), 1, C1470+1), C1470)</f>
        <v>17</v>
      </c>
      <c r="D1471" s="75">
        <f t="shared" ref="D1471" si="898">IF(IF(E1470=59,D1470+1,D1470)=24,0,IF(E1470=59,D1470+1,D1470))</f>
        <v>14</v>
      </c>
      <c r="E1471" s="76">
        <v>34</v>
      </c>
      <c r="F1471" s="80">
        <v>57</v>
      </c>
      <c r="G1471" s="83"/>
      <c r="H1471" s="69" t="str">
        <f t="shared" ref="H1471" si="899">IF(AND(OR(E1470=$G$3,E1470=$G$4,E1470=$G$5,E1470=$G$6,E1470=$G$7,E1470=$G$8),E1470&lt;&gt;RIGHT(H1470,2)),CONCATENATE(LEFT(J1471,3),LEFT(K1471,3),L1471,"_",A1471,TEXT(MONTH(DATEVALUE(B1471&amp;"1")),"00"),TEXT(C1471,"00"),"_",TEXT(D1471,"00"),"_",TEXT(E1470,"00")),IF(AND(OR(E1471=$G$3,E1471=$G$4,E1471=$G$5,E1471=$G$6,E1471=$G$7,E1471=$G$8),OR(F1471="",F1471&gt;$G$9-1)),CONCATENATE(LEFT(J1471,3),LEFT(K1471,3),L1471,"_",A1471,TEXT(MONTH(DATEVALUE(B1471&amp;"1")),"00"),TEXT(C1471,"00"),"_",TEXT(D1471,"00"),"_",TEXT(E1471,"00")),H1470))</f>
        <v>Senbur6_20191117_14_00</v>
      </c>
      <c r="I1471" s="70">
        <f t="shared" si="895"/>
        <v>1</v>
      </c>
      <c r="J1471" s="77" t="str">
        <f t="shared" si="895"/>
        <v>Senecio</v>
      </c>
      <c r="K1471" s="77" t="str">
        <f t="shared" si="895"/>
        <v>burtoni</v>
      </c>
      <c r="L1471" s="78">
        <f t="shared" si="895"/>
        <v>6</v>
      </c>
      <c r="M1471" s="78">
        <f t="shared" si="895"/>
        <v>12</v>
      </c>
      <c r="N1471" s="72">
        <f t="shared" si="895"/>
        <v>0</v>
      </c>
      <c r="O1471" s="45"/>
      <c r="P1471" s="46">
        <f t="shared" ref="P1471" si="900">IF(F1471="","",1)</f>
        <v>1</v>
      </c>
      <c r="Q1471" s="47" t="str">
        <f t="shared" ref="Q1471" si="901">TEXT(IF(P1471=1,CONCATENATE($D1471,":",$E1471,":",(LEFT($F1471,2))),""),"hh:mm:ss")</f>
        <v>14:34:57</v>
      </c>
      <c r="R1471" s="48" t="str">
        <f t="shared" ref="R1471" si="902">TEXT(Q1471-TIME(0,RIGHT($H1471,2),$G$9)+(Q1471&gt;TIME(0,RIGHT($H1471,2),$G$9)),"mm:ss")</f>
        <v>34:57</v>
      </c>
      <c r="S1471" s="49">
        <f t="shared" ref="S1471" si="903">IF(T1471&lt;D1471, (T1471*3600+U1471*60+V1471)+((23*3600+59*60+60)-(D1471*3600+E1471*60+LEFT(F1471,2))), (T1471*3600+U1471*60+V1471)-(D1471*3600+E1471*60+LEFT(F1471,2)))</f>
        <v>13</v>
      </c>
      <c r="T1471" s="48" t="str">
        <f t="shared" ref="T1471" si="904">TEXT(IF(P1471=1,D1471,""),"00")</f>
        <v>14</v>
      </c>
      <c r="U1471" s="50">
        <v>35</v>
      </c>
      <c r="V1471" s="51">
        <v>10</v>
      </c>
      <c r="W1471" s="52" t="str">
        <f t="shared" ref="W1471" si="905">IF(O1471=0,TEXT(TIME(T1471,U1471,V1471)-TIME(D1471,E1471,RIGHT(F1471,2))+TIME(0,LEFT(R1471,2),RIGHT(R1471,2)),"mm:ss"),TEXT(TIME(T1471,U1471,V1471)-TIME(D1471,E1471,RIGHT(F1471,2))+TIME(0,LEFT(R1471,2),RIGHT(R1471,2))-TIME(0,($G$10*O1471),0),"mm:ss"))</f>
        <v>35:10</v>
      </c>
      <c r="X1471" s="53" t="s">
        <v>61</v>
      </c>
      <c r="Y1471" s="97" t="s">
        <v>84</v>
      </c>
      <c r="Z1471" s="97" t="s">
        <v>80</v>
      </c>
      <c r="AA1471" s="48" t="s">
        <v>60</v>
      </c>
      <c r="AB1471" s="48" t="str">
        <f t="shared" ref="AB1471" si="906">IF(AA1471&lt;&gt;0,"NA","")</f>
        <v>NA</v>
      </c>
      <c r="AC1471" s="54">
        <f t="shared" ref="AC1471" si="907">IF(SUM(AH1471,AJ1471,AL1471,AN1471,AP1471,AR1471,AT1471)=S1471,,"")</f>
        <v>0</v>
      </c>
      <c r="AD1471" s="55">
        <f t="shared" ref="AD1471" si="908">IF(P1471=1,1,"")</f>
        <v>1</v>
      </c>
      <c r="AE1471" s="55"/>
      <c r="AF1471" s="55"/>
      <c r="AG1471" s="56" t="str">
        <f t="shared" ref="AG1471" si="909">IF(OR(X1471="Something small"),1,"")</f>
        <v/>
      </c>
      <c r="AH1471" s="57" t="str">
        <f t="shared" ref="AH1471" si="910">IF(AG1471=1,$S1471,"")</f>
        <v/>
      </c>
      <c r="AI1471" s="56"/>
      <c r="AJ1471" s="57" t="str">
        <f t="shared" ref="AJ1471" si="911">IF(AI1471=1,$S1471,"")</f>
        <v/>
      </c>
      <c r="AK1471" s="56">
        <v>1</v>
      </c>
      <c r="AL1471" s="57">
        <f t="shared" ref="AL1471" si="912">IF(AK1471=1,$S1471,"")</f>
        <v>13</v>
      </c>
      <c r="AM1471" s="56"/>
      <c r="AN1471" s="57" t="str">
        <f t="shared" ref="AN1471" si="913">IF(AM1471=1,$S1471,"")</f>
        <v/>
      </c>
      <c r="AO1471" s="56"/>
      <c r="AP1471" s="57" t="str">
        <f t="shared" ref="AP1471" si="914">IF(AO1471=1,$S1471,"")</f>
        <v/>
      </c>
      <c r="AQ1471" s="56"/>
      <c r="AR1471" s="57" t="str">
        <f t="shared" ref="AR1471" si="915">IF(AQ1471=1,$S1471,"")</f>
        <v/>
      </c>
      <c r="AS1471" s="56"/>
      <c r="AT1471" s="57" t="str">
        <f t="shared" ref="AT1471" si="916">IF(AS1471=1,$S1471,"")</f>
        <v/>
      </c>
      <c r="AU1471" s="58"/>
      <c r="AV1471" s="59"/>
      <c r="AW1471" s="59"/>
      <c r="AX1471" s="60"/>
      <c r="AY1471" s="61">
        <v>1</v>
      </c>
      <c r="AZ1471" s="62">
        <f t="shared" ref="AZ1471" si="917">IF(AY1471=1,AD1471,"")</f>
        <v>1</v>
      </c>
      <c r="BA1471" s="61">
        <f t="shared" ref="BA1471" si="918">IF(P1471=1,0,"")</f>
        <v>0</v>
      </c>
      <c r="BB1471" s="62" t="str">
        <f t="shared" ref="BB1471" si="919">IF(BA1471=1,AD1471,"")</f>
        <v/>
      </c>
    </row>
    <row r="1472" spans="1:54" hidden="1" x14ac:dyDescent="0.35">
      <c r="A1472" s="73">
        <f>A1470</f>
        <v>2019</v>
      </c>
      <c r="B1472" s="73" t="str">
        <f>IF(C1470-C1472&gt;0, TEXT(DATE(2016,(MONTH(DATEVALUE(B1470&amp;"1"))+1),1),"mmm"), B1470)</f>
        <v>Nov</v>
      </c>
      <c r="C1472" s="74">
        <f>IF(AND(D1472=0, E1472=0), IF(TEXT(C1470,"dd")=TEXT(EOMONTH(DATE(A1470,MONTH(DATEVALUE(B1470&amp;"1")),C1470),0), "dd"), 1, C1470+1), C1470)</f>
        <v>17</v>
      </c>
      <c r="D1472" s="75">
        <f>IF(IF(E1470=59,D1470+1,D1470)=24,0,IF(E1470=59,D1470+1,D1470))</f>
        <v>14</v>
      </c>
      <c r="E1472" s="76">
        <f>IF(E1470&lt;59,E1470+1,0)</f>
        <v>35</v>
      </c>
      <c r="F1472" s="80">
        <v>0</v>
      </c>
      <c r="G1472" s="83"/>
      <c r="H1472" s="69" t="str">
        <f>IF(AND(OR(E1470=$G$3,E1470=$G$4,E1470=$G$5,E1470=$G$6,E1470=$G$7,E1470=$G$8),E1470&lt;&gt;RIGHT(H1470,2)),CONCATENATE(LEFT(J1472,3),LEFT(K1472,3),L1472,"_",A1472,TEXT(MONTH(DATEVALUE(B1472&amp;"1")),"00"),TEXT(C1472,"00"),"_",TEXT(D1472,"00"),"_",TEXT(E1470,"00")),IF(AND(OR(E1472=$G$3,E1472=$G$4,E1472=$G$5,E1472=$G$6,E1472=$G$7,E1472=$G$8),OR(F1472="",F1472&gt;$G$9-1)),CONCATENATE(LEFT(J1472,3),LEFT(K1472,3),L1472,"_",A1472,TEXT(MONTH(DATEVALUE(B1472&amp;"1")),"00"),TEXT(C1472,"00"),"_",TEXT(D1472,"00"),"_",TEXT(E1472,"00")),H1470))</f>
        <v>Senbur6_20191117_14_00</v>
      </c>
      <c r="I1472" s="70">
        <f t="shared" ref="I1472:N1472" si="920">I1470</f>
        <v>1</v>
      </c>
      <c r="J1472" s="77" t="str">
        <f t="shared" si="920"/>
        <v>Senecio</v>
      </c>
      <c r="K1472" s="77" t="str">
        <f t="shared" si="920"/>
        <v>burtoni</v>
      </c>
      <c r="L1472" s="78">
        <f t="shared" si="920"/>
        <v>6</v>
      </c>
      <c r="M1472" s="78">
        <f t="shared" si="920"/>
        <v>12</v>
      </c>
      <c r="N1472" s="72">
        <f t="shared" si="920"/>
        <v>0</v>
      </c>
      <c r="O1472" s="45"/>
      <c r="P1472" s="46">
        <f t="shared" si="829"/>
        <v>1</v>
      </c>
      <c r="Q1472" s="47" t="str">
        <f t="shared" si="830"/>
        <v>14:35:00</v>
      </c>
      <c r="R1472" s="48" t="str">
        <f t="shared" si="831"/>
        <v>35:00</v>
      </c>
      <c r="S1472" s="49">
        <f t="shared" si="832"/>
        <v>19</v>
      </c>
      <c r="T1472" s="48" t="str">
        <f t="shared" si="833"/>
        <v>14</v>
      </c>
      <c r="U1472" s="50">
        <v>35</v>
      </c>
      <c r="V1472" s="51">
        <v>19</v>
      </c>
      <c r="W1472" s="52" t="str">
        <f t="shared" si="834"/>
        <v>35:19</v>
      </c>
      <c r="X1472" s="53" t="s">
        <v>61</v>
      </c>
      <c r="Y1472" s="97" t="s">
        <v>84</v>
      </c>
      <c r="Z1472" s="97" t="s">
        <v>80</v>
      </c>
      <c r="AA1472" s="48" t="s">
        <v>60</v>
      </c>
      <c r="AB1472" s="48" t="str">
        <f t="shared" si="835"/>
        <v>NA</v>
      </c>
      <c r="AC1472" s="54">
        <f t="shared" si="836"/>
        <v>0</v>
      </c>
      <c r="AD1472" s="55">
        <f t="shared" si="837"/>
        <v>1</v>
      </c>
      <c r="AE1472" s="55"/>
      <c r="AF1472" s="55"/>
      <c r="AG1472" s="56"/>
      <c r="AH1472" s="57"/>
      <c r="AI1472" s="56"/>
      <c r="AJ1472" s="57" t="str">
        <f t="shared" si="839"/>
        <v/>
      </c>
      <c r="AK1472" s="56">
        <v>1</v>
      </c>
      <c r="AL1472" s="57">
        <v>19</v>
      </c>
      <c r="AM1472" s="56"/>
      <c r="AN1472" s="57" t="str">
        <f t="shared" si="841"/>
        <v/>
      </c>
      <c r="AO1472" s="56"/>
      <c r="AP1472" s="57" t="str">
        <f t="shared" si="842"/>
        <v/>
      </c>
      <c r="AQ1472" s="56"/>
      <c r="AR1472" s="57" t="str">
        <f t="shared" si="843"/>
        <v/>
      </c>
      <c r="AS1472" s="56"/>
      <c r="AT1472" s="57" t="str">
        <f t="shared" si="844"/>
        <v/>
      </c>
      <c r="AU1472" s="58"/>
      <c r="AV1472" s="59"/>
      <c r="AW1472" s="59"/>
      <c r="AX1472" s="60"/>
      <c r="AY1472" s="61">
        <v>1</v>
      </c>
      <c r="AZ1472" s="62">
        <f t="shared" si="846"/>
        <v>1</v>
      </c>
      <c r="BA1472" s="61">
        <f t="shared" si="847"/>
        <v>0</v>
      </c>
      <c r="BB1472" s="62" t="str">
        <f t="shared" si="848"/>
        <v/>
      </c>
    </row>
    <row r="1473" spans="1:54" hidden="1" x14ac:dyDescent="0.35">
      <c r="A1473" s="73">
        <f t="shared" si="799"/>
        <v>2019</v>
      </c>
      <c r="B1473" s="73" t="str">
        <f t="shared" si="824"/>
        <v>Nov</v>
      </c>
      <c r="C1473" s="74">
        <f t="shared" si="825"/>
        <v>17</v>
      </c>
      <c r="D1473" s="75">
        <f t="shared" si="826"/>
        <v>14</v>
      </c>
      <c r="E1473" s="76">
        <v>35</v>
      </c>
      <c r="F1473" s="80">
        <v>10</v>
      </c>
      <c r="G1473" s="83"/>
      <c r="H1473" s="69" t="str">
        <f t="shared" si="827"/>
        <v>Senbur6_20191117_14_00</v>
      </c>
      <c r="I1473" s="70">
        <f t="shared" ref="I1473:N1473" si="921">I1472</f>
        <v>1</v>
      </c>
      <c r="J1473" s="77" t="str">
        <f t="shared" si="921"/>
        <v>Senecio</v>
      </c>
      <c r="K1473" s="77" t="str">
        <f t="shared" si="921"/>
        <v>burtoni</v>
      </c>
      <c r="L1473" s="78">
        <f t="shared" si="921"/>
        <v>6</v>
      </c>
      <c r="M1473" s="78">
        <f t="shared" si="921"/>
        <v>12</v>
      </c>
      <c r="N1473" s="72">
        <f t="shared" si="921"/>
        <v>0</v>
      </c>
      <c r="O1473" s="45"/>
      <c r="P1473" s="46">
        <f t="shared" si="829"/>
        <v>1</v>
      </c>
      <c r="Q1473" s="47" t="str">
        <f t="shared" si="830"/>
        <v>14:35:10</v>
      </c>
      <c r="R1473" s="48" t="str">
        <f t="shared" si="831"/>
        <v>35:10</v>
      </c>
      <c r="S1473" s="49">
        <f t="shared" si="832"/>
        <v>7</v>
      </c>
      <c r="T1473" s="48" t="str">
        <f t="shared" si="833"/>
        <v>14</v>
      </c>
      <c r="U1473" s="50">
        <v>35</v>
      </c>
      <c r="V1473" s="51">
        <v>17</v>
      </c>
      <c r="W1473" s="52" t="str">
        <f t="shared" si="834"/>
        <v>35:17</v>
      </c>
      <c r="X1473" s="53" t="s">
        <v>61</v>
      </c>
      <c r="Y1473" s="97" t="s">
        <v>84</v>
      </c>
      <c r="Z1473" s="97" t="s">
        <v>80</v>
      </c>
      <c r="AA1473" s="48" t="s">
        <v>60</v>
      </c>
      <c r="AB1473" s="48" t="str">
        <f t="shared" si="835"/>
        <v>NA</v>
      </c>
      <c r="AC1473" s="54">
        <f t="shared" si="836"/>
        <v>0</v>
      </c>
      <c r="AD1473" s="55">
        <v>2</v>
      </c>
      <c r="AE1473" s="55"/>
      <c r="AF1473" s="55"/>
      <c r="AG1473" s="56">
        <v>1</v>
      </c>
      <c r="AH1473" s="57">
        <v>3</v>
      </c>
      <c r="AI1473" s="56">
        <v>1</v>
      </c>
      <c r="AJ1473" s="57">
        <v>2</v>
      </c>
      <c r="AK1473" s="56">
        <v>1</v>
      </c>
      <c r="AL1473" s="57">
        <v>2</v>
      </c>
      <c r="AM1473" s="56"/>
      <c r="AN1473" s="57" t="str">
        <f t="shared" si="841"/>
        <v/>
      </c>
      <c r="AO1473" s="56"/>
      <c r="AP1473" s="57" t="str">
        <f t="shared" si="842"/>
        <v/>
      </c>
      <c r="AQ1473" s="56"/>
      <c r="AR1473" s="57" t="str">
        <f t="shared" si="843"/>
        <v/>
      </c>
      <c r="AS1473" s="56"/>
      <c r="AT1473" s="57" t="str">
        <f t="shared" si="844"/>
        <v/>
      </c>
      <c r="AU1473" s="58"/>
      <c r="AV1473" s="59"/>
      <c r="AW1473" s="59"/>
      <c r="AX1473" s="60"/>
      <c r="AY1473" s="61">
        <v>1</v>
      </c>
      <c r="AZ1473" s="62">
        <f t="shared" si="846"/>
        <v>2</v>
      </c>
      <c r="BA1473" s="61">
        <f t="shared" si="847"/>
        <v>0</v>
      </c>
      <c r="BB1473" s="62" t="str">
        <f t="shared" si="848"/>
        <v/>
      </c>
    </row>
    <row r="1474" spans="1:54" hidden="1" x14ac:dyDescent="0.35">
      <c r="A1474" s="73">
        <f t="shared" si="799"/>
        <v>2019</v>
      </c>
      <c r="B1474" s="73" t="str">
        <f t="shared" si="824"/>
        <v>Nov</v>
      </c>
      <c r="C1474" s="74">
        <f t="shared" si="825"/>
        <v>17</v>
      </c>
      <c r="D1474" s="75">
        <f t="shared" si="826"/>
        <v>14</v>
      </c>
      <c r="E1474" s="76">
        <v>35</v>
      </c>
      <c r="F1474" s="80">
        <v>11</v>
      </c>
      <c r="G1474" s="83"/>
      <c r="H1474" s="69" t="str">
        <f t="shared" si="827"/>
        <v>Senbur6_20191117_14_00</v>
      </c>
      <c r="I1474" s="70">
        <f t="shared" ref="I1474:N1474" si="922">I1473</f>
        <v>1</v>
      </c>
      <c r="J1474" s="77" t="str">
        <f t="shared" si="922"/>
        <v>Senecio</v>
      </c>
      <c r="K1474" s="77" t="str">
        <f t="shared" si="922"/>
        <v>burtoni</v>
      </c>
      <c r="L1474" s="78">
        <f t="shared" si="922"/>
        <v>6</v>
      </c>
      <c r="M1474" s="78">
        <f t="shared" si="922"/>
        <v>12</v>
      </c>
      <c r="N1474" s="72">
        <f t="shared" si="922"/>
        <v>0</v>
      </c>
      <c r="O1474" s="45"/>
      <c r="P1474" s="46">
        <f t="shared" si="829"/>
        <v>1</v>
      </c>
      <c r="Q1474" s="47" t="str">
        <f t="shared" si="830"/>
        <v>14:35:11</v>
      </c>
      <c r="R1474" s="48" t="str">
        <f t="shared" si="831"/>
        <v>35:11</v>
      </c>
      <c r="S1474" s="49">
        <f t="shared" si="832"/>
        <v>14</v>
      </c>
      <c r="T1474" s="48" t="str">
        <f t="shared" si="833"/>
        <v>14</v>
      </c>
      <c r="U1474" s="50">
        <v>35</v>
      </c>
      <c r="V1474" s="51">
        <v>25</v>
      </c>
      <c r="W1474" s="52" t="str">
        <f t="shared" si="834"/>
        <v>35:25</v>
      </c>
      <c r="X1474" s="53" t="s">
        <v>59</v>
      </c>
      <c r="Y1474" s="97" t="s">
        <v>84</v>
      </c>
      <c r="Z1474" s="97" t="s">
        <v>80</v>
      </c>
      <c r="AA1474" s="48" t="s">
        <v>60</v>
      </c>
      <c r="AB1474" s="48" t="str">
        <f t="shared" si="835"/>
        <v>NA</v>
      </c>
      <c r="AC1474" s="54">
        <f t="shared" si="836"/>
        <v>0</v>
      </c>
      <c r="AD1474" s="55">
        <f t="shared" si="837"/>
        <v>1</v>
      </c>
      <c r="AE1474" s="55"/>
      <c r="AF1474" s="55"/>
      <c r="AG1474" s="56">
        <v>1</v>
      </c>
      <c r="AH1474" s="57">
        <f t="shared" si="838"/>
        <v>14</v>
      </c>
      <c r="AI1474" s="56"/>
      <c r="AJ1474" s="57"/>
      <c r="AK1474" s="56"/>
      <c r="AL1474" s="57"/>
      <c r="AM1474" s="56"/>
      <c r="AN1474" s="57" t="str">
        <f t="shared" si="841"/>
        <v/>
      </c>
      <c r="AO1474" s="56"/>
      <c r="AP1474" s="57" t="str">
        <f t="shared" si="842"/>
        <v/>
      </c>
      <c r="AQ1474" s="56"/>
      <c r="AR1474" s="57" t="str">
        <f t="shared" si="843"/>
        <v/>
      </c>
      <c r="AS1474" s="56"/>
      <c r="AT1474" s="57" t="str">
        <f t="shared" si="844"/>
        <v/>
      </c>
      <c r="AU1474" s="58"/>
      <c r="AV1474" s="59"/>
      <c r="AW1474" s="59"/>
      <c r="AX1474" s="60"/>
      <c r="AY1474" s="61">
        <v>1</v>
      </c>
      <c r="AZ1474" s="62">
        <f t="shared" si="846"/>
        <v>1</v>
      </c>
      <c r="BA1474" s="61">
        <f t="shared" si="847"/>
        <v>0</v>
      </c>
      <c r="BB1474" s="62" t="str">
        <f t="shared" si="848"/>
        <v/>
      </c>
    </row>
    <row r="1475" spans="1:54" hidden="1" x14ac:dyDescent="0.35">
      <c r="A1475" s="73">
        <f t="shared" si="799"/>
        <v>2019</v>
      </c>
      <c r="B1475" s="73" t="str">
        <f t="shared" si="824"/>
        <v>Nov</v>
      </c>
      <c r="C1475" s="74">
        <f t="shared" si="825"/>
        <v>17</v>
      </c>
      <c r="D1475" s="75">
        <f t="shared" si="826"/>
        <v>14</v>
      </c>
      <c r="E1475" s="76">
        <v>35</v>
      </c>
      <c r="F1475" s="80"/>
      <c r="G1475" s="83"/>
      <c r="H1475" s="69" t="str">
        <f t="shared" si="827"/>
        <v>Senbur6_20191117_14_00</v>
      </c>
      <c r="I1475" s="70">
        <f t="shared" ref="I1475:N1475" si="923">I1474</f>
        <v>1</v>
      </c>
      <c r="J1475" s="77" t="str">
        <f t="shared" si="923"/>
        <v>Senecio</v>
      </c>
      <c r="K1475" s="77" t="str">
        <f t="shared" si="923"/>
        <v>burtoni</v>
      </c>
      <c r="L1475" s="78">
        <f t="shared" si="923"/>
        <v>6</v>
      </c>
      <c r="M1475" s="78">
        <f t="shared" si="923"/>
        <v>12</v>
      </c>
      <c r="N1475" s="72">
        <f t="shared" si="923"/>
        <v>0</v>
      </c>
      <c r="O1475" s="45"/>
      <c r="P1475" s="46" t="str">
        <f t="shared" si="829"/>
        <v/>
      </c>
      <c r="Q1475" s="47" t="str">
        <f t="shared" si="830"/>
        <v/>
      </c>
      <c r="R1475" s="48" t="e">
        <f t="shared" si="831"/>
        <v>#VALUE!</v>
      </c>
      <c r="S1475" s="49" t="e">
        <f t="shared" si="832"/>
        <v>#VALUE!</v>
      </c>
      <c r="T1475" s="48" t="str">
        <f t="shared" si="833"/>
        <v/>
      </c>
      <c r="U1475" s="50"/>
      <c r="V1475" s="51"/>
      <c r="W1475" s="52" t="e">
        <f t="shared" si="834"/>
        <v>#VALUE!</v>
      </c>
      <c r="X1475" s="53"/>
      <c r="Y1475" s="53"/>
      <c r="Z1475" s="53"/>
      <c r="AA1475" s="48"/>
      <c r="AB1475" s="48" t="str">
        <f t="shared" si="835"/>
        <v/>
      </c>
      <c r="AC1475" s="54" t="e">
        <f t="shared" si="836"/>
        <v>#VALUE!</v>
      </c>
      <c r="AD1475" s="55" t="str">
        <f t="shared" si="837"/>
        <v/>
      </c>
      <c r="AE1475" s="55"/>
      <c r="AF1475" s="55"/>
      <c r="AG1475" s="56" t="str">
        <f t="shared" si="851"/>
        <v/>
      </c>
      <c r="AH1475" s="57" t="str">
        <f t="shared" si="838"/>
        <v/>
      </c>
      <c r="AI1475" s="56"/>
      <c r="AJ1475" s="57" t="str">
        <f t="shared" si="839"/>
        <v/>
      </c>
      <c r="AK1475" s="56"/>
      <c r="AL1475" s="57" t="str">
        <f t="shared" si="840"/>
        <v/>
      </c>
      <c r="AM1475" s="56"/>
      <c r="AN1475" s="57" t="str">
        <f t="shared" si="841"/>
        <v/>
      </c>
      <c r="AO1475" s="56"/>
      <c r="AP1475" s="57" t="str">
        <f t="shared" si="842"/>
        <v/>
      </c>
      <c r="AQ1475" s="56"/>
      <c r="AR1475" s="57" t="str">
        <f t="shared" si="843"/>
        <v/>
      </c>
      <c r="AS1475" s="56"/>
      <c r="AT1475" s="57" t="str">
        <f t="shared" si="844"/>
        <v/>
      </c>
      <c r="AU1475" s="58"/>
      <c r="AV1475" s="59"/>
      <c r="AW1475" s="59"/>
      <c r="AX1475" s="60"/>
      <c r="AY1475" s="61" t="str">
        <f t="shared" si="845"/>
        <v/>
      </c>
      <c r="AZ1475" s="62" t="str">
        <f t="shared" si="846"/>
        <v/>
      </c>
      <c r="BA1475" s="61" t="str">
        <f t="shared" si="847"/>
        <v/>
      </c>
      <c r="BB1475" s="62" t="str">
        <f t="shared" si="848"/>
        <v/>
      </c>
    </row>
    <row r="1476" spans="1:54" hidden="1" x14ac:dyDescent="0.35">
      <c r="A1476" s="73">
        <f t="shared" si="799"/>
        <v>2019</v>
      </c>
      <c r="B1476" s="73" t="str">
        <f t="shared" si="824"/>
        <v>Nov</v>
      </c>
      <c r="C1476" s="74">
        <f t="shared" si="825"/>
        <v>17</v>
      </c>
      <c r="D1476" s="75">
        <f t="shared" si="826"/>
        <v>14</v>
      </c>
      <c r="E1476" s="76">
        <v>35</v>
      </c>
      <c r="F1476" s="80">
        <v>24</v>
      </c>
      <c r="G1476" s="83"/>
      <c r="H1476" s="69" t="str">
        <f t="shared" si="827"/>
        <v>Senbur6_20191117_14_00</v>
      </c>
      <c r="I1476" s="70">
        <f t="shared" ref="I1476:N1476" si="924">I1475</f>
        <v>1</v>
      </c>
      <c r="J1476" s="77" t="str">
        <f t="shared" si="924"/>
        <v>Senecio</v>
      </c>
      <c r="K1476" s="77" t="str">
        <f t="shared" si="924"/>
        <v>burtoni</v>
      </c>
      <c r="L1476" s="78">
        <f t="shared" si="924"/>
        <v>6</v>
      </c>
      <c r="M1476" s="78">
        <f t="shared" si="924"/>
        <v>12</v>
      </c>
      <c r="N1476" s="72">
        <f t="shared" si="924"/>
        <v>0</v>
      </c>
      <c r="O1476" s="45"/>
      <c r="P1476" s="46">
        <f t="shared" si="829"/>
        <v>1</v>
      </c>
      <c r="Q1476" s="47" t="str">
        <f t="shared" si="830"/>
        <v>14:35:24</v>
      </c>
      <c r="R1476" s="48" t="str">
        <f t="shared" si="831"/>
        <v>35:24</v>
      </c>
      <c r="S1476" s="49">
        <f t="shared" si="832"/>
        <v>2</v>
      </c>
      <c r="T1476" s="48" t="str">
        <f t="shared" si="833"/>
        <v>14</v>
      </c>
      <c r="U1476" s="50">
        <v>35</v>
      </c>
      <c r="V1476" s="51">
        <v>26</v>
      </c>
      <c r="W1476" s="52" t="str">
        <f t="shared" si="834"/>
        <v>35:26</v>
      </c>
      <c r="X1476" s="53" t="s">
        <v>61</v>
      </c>
      <c r="Y1476" s="97" t="s">
        <v>84</v>
      </c>
      <c r="Z1476" s="97" t="s">
        <v>80</v>
      </c>
      <c r="AA1476" s="48" t="s">
        <v>60</v>
      </c>
      <c r="AB1476" s="48" t="str">
        <f t="shared" si="835"/>
        <v>NA</v>
      </c>
      <c r="AC1476" s="54">
        <f t="shared" si="836"/>
        <v>0</v>
      </c>
      <c r="AD1476" s="55">
        <f t="shared" si="837"/>
        <v>1</v>
      </c>
      <c r="AE1476" s="55"/>
      <c r="AF1476" s="55"/>
      <c r="AG1476" s="56"/>
      <c r="AH1476" s="57" t="str">
        <f t="shared" si="838"/>
        <v/>
      </c>
      <c r="AI1476" s="56"/>
      <c r="AJ1476" s="57" t="str">
        <f t="shared" si="839"/>
        <v/>
      </c>
      <c r="AK1476" s="56">
        <v>1</v>
      </c>
      <c r="AL1476" s="57">
        <f t="shared" si="840"/>
        <v>2</v>
      </c>
      <c r="AM1476" s="56"/>
      <c r="AN1476" s="57" t="str">
        <f t="shared" si="841"/>
        <v/>
      </c>
      <c r="AO1476" s="56"/>
      <c r="AP1476" s="57" t="str">
        <f t="shared" si="842"/>
        <v/>
      </c>
      <c r="AQ1476" s="56"/>
      <c r="AR1476" s="57" t="str">
        <f t="shared" si="843"/>
        <v/>
      </c>
      <c r="AS1476" s="56"/>
      <c r="AT1476" s="57" t="str">
        <f t="shared" si="844"/>
        <v/>
      </c>
      <c r="AU1476" s="58"/>
      <c r="AV1476" s="59"/>
      <c r="AW1476" s="59"/>
      <c r="AX1476" s="60"/>
      <c r="AY1476" s="61">
        <v>1</v>
      </c>
      <c r="AZ1476" s="62">
        <f t="shared" si="846"/>
        <v>1</v>
      </c>
      <c r="BA1476" s="61">
        <f t="shared" si="847"/>
        <v>0</v>
      </c>
      <c r="BB1476" s="62" t="str">
        <f t="shared" si="848"/>
        <v/>
      </c>
    </row>
    <row r="1477" spans="1:54" hidden="1" x14ac:dyDescent="0.35">
      <c r="A1477" s="73">
        <f t="shared" si="799"/>
        <v>2019</v>
      </c>
      <c r="B1477" s="73" t="str">
        <f t="shared" si="824"/>
        <v>Nov</v>
      </c>
      <c r="C1477" s="74">
        <f t="shared" si="825"/>
        <v>17</v>
      </c>
      <c r="D1477" s="75">
        <f t="shared" si="826"/>
        <v>14</v>
      </c>
      <c r="E1477" s="76">
        <v>35</v>
      </c>
      <c r="F1477" s="80">
        <v>25</v>
      </c>
      <c r="G1477" s="83"/>
      <c r="H1477" s="69" t="str">
        <f t="shared" si="827"/>
        <v>Senbur6_20191117_14_00</v>
      </c>
      <c r="I1477" s="70">
        <f t="shared" ref="I1477:N1477" si="925">I1476</f>
        <v>1</v>
      </c>
      <c r="J1477" s="77" t="str">
        <f t="shared" si="925"/>
        <v>Senecio</v>
      </c>
      <c r="K1477" s="77" t="str">
        <f t="shared" si="925"/>
        <v>burtoni</v>
      </c>
      <c r="L1477" s="78">
        <f t="shared" si="925"/>
        <v>6</v>
      </c>
      <c r="M1477" s="78">
        <f t="shared" si="925"/>
        <v>12</v>
      </c>
      <c r="N1477" s="72">
        <f t="shared" si="925"/>
        <v>0</v>
      </c>
      <c r="O1477" s="45"/>
      <c r="P1477" s="46">
        <f t="shared" si="829"/>
        <v>1</v>
      </c>
      <c r="Q1477" s="47" t="str">
        <f t="shared" si="830"/>
        <v>14:35:25</v>
      </c>
      <c r="R1477" s="48" t="str">
        <f t="shared" si="831"/>
        <v>35:25</v>
      </c>
      <c r="S1477" s="49">
        <f t="shared" si="832"/>
        <v>23</v>
      </c>
      <c r="T1477" s="48" t="str">
        <f t="shared" si="833"/>
        <v>14</v>
      </c>
      <c r="U1477" s="50">
        <v>35</v>
      </c>
      <c r="V1477" s="51">
        <v>48</v>
      </c>
      <c r="W1477" s="52" t="str">
        <f t="shared" si="834"/>
        <v>35:48</v>
      </c>
      <c r="X1477" s="53" t="s">
        <v>61</v>
      </c>
      <c r="Y1477" s="97" t="s">
        <v>84</v>
      </c>
      <c r="Z1477" s="97" t="s">
        <v>80</v>
      </c>
      <c r="AA1477" s="48" t="s">
        <v>60</v>
      </c>
      <c r="AB1477" s="48" t="str">
        <f t="shared" si="835"/>
        <v>NA</v>
      </c>
      <c r="AC1477" s="54">
        <f t="shared" si="836"/>
        <v>0</v>
      </c>
      <c r="AD1477" s="55">
        <f t="shared" si="837"/>
        <v>1</v>
      </c>
      <c r="AE1477" s="55"/>
      <c r="AF1477" s="55"/>
      <c r="AG1477" s="56">
        <v>1</v>
      </c>
      <c r="AH1477" s="57">
        <v>4</v>
      </c>
      <c r="AI1477" s="56">
        <v>1</v>
      </c>
      <c r="AJ1477" s="57">
        <v>1</v>
      </c>
      <c r="AK1477" s="56">
        <v>1</v>
      </c>
      <c r="AL1477" s="57">
        <v>18</v>
      </c>
      <c r="AM1477" s="56"/>
      <c r="AN1477" s="57" t="str">
        <f t="shared" si="841"/>
        <v/>
      </c>
      <c r="AO1477" s="56"/>
      <c r="AP1477" s="57" t="str">
        <f t="shared" si="842"/>
        <v/>
      </c>
      <c r="AQ1477" s="56"/>
      <c r="AR1477" s="57" t="str">
        <f t="shared" si="843"/>
        <v/>
      </c>
      <c r="AS1477" s="56"/>
      <c r="AT1477" s="57" t="str">
        <f t="shared" si="844"/>
        <v/>
      </c>
      <c r="AU1477" s="58"/>
      <c r="AV1477" s="59"/>
      <c r="AW1477" s="59"/>
      <c r="AX1477" s="60"/>
      <c r="AY1477" s="61">
        <v>1</v>
      </c>
      <c r="AZ1477" s="62">
        <f t="shared" si="846"/>
        <v>1</v>
      </c>
      <c r="BA1477" s="61">
        <f t="shared" si="847"/>
        <v>0</v>
      </c>
      <c r="BB1477" s="62" t="str">
        <f t="shared" si="848"/>
        <v/>
      </c>
    </row>
    <row r="1478" spans="1:54" hidden="1" x14ac:dyDescent="0.35">
      <c r="A1478" s="73">
        <f t="shared" si="799"/>
        <v>2019</v>
      </c>
      <c r="B1478" s="73" t="str">
        <f t="shared" si="824"/>
        <v>Nov</v>
      </c>
      <c r="C1478" s="74">
        <f t="shared" si="825"/>
        <v>17</v>
      </c>
      <c r="D1478" s="75">
        <f t="shared" si="826"/>
        <v>14</v>
      </c>
      <c r="E1478" s="76">
        <v>35</v>
      </c>
      <c r="F1478" s="80">
        <v>31</v>
      </c>
      <c r="G1478" s="83"/>
      <c r="H1478" s="69" t="str">
        <f t="shared" si="827"/>
        <v>Senbur6_20191117_14_00</v>
      </c>
      <c r="I1478" s="70">
        <f t="shared" ref="I1478:N1478" si="926">I1477</f>
        <v>1</v>
      </c>
      <c r="J1478" s="77" t="str">
        <f t="shared" si="926"/>
        <v>Senecio</v>
      </c>
      <c r="K1478" s="77" t="str">
        <f t="shared" si="926"/>
        <v>burtoni</v>
      </c>
      <c r="L1478" s="78">
        <f t="shared" si="926"/>
        <v>6</v>
      </c>
      <c r="M1478" s="78">
        <f t="shared" si="926"/>
        <v>12</v>
      </c>
      <c r="N1478" s="72">
        <f t="shared" si="926"/>
        <v>0</v>
      </c>
      <c r="O1478" s="45"/>
      <c r="P1478" s="46">
        <f t="shared" si="829"/>
        <v>1</v>
      </c>
      <c r="Q1478" s="47" t="str">
        <f t="shared" si="830"/>
        <v>14:35:31</v>
      </c>
      <c r="R1478" s="48" t="str">
        <f t="shared" si="831"/>
        <v>35:31</v>
      </c>
      <c r="S1478" s="49">
        <f t="shared" si="832"/>
        <v>20</v>
      </c>
      <c r="T1478" s="48" t="str">
        <f t="shared" si="833"/>
        <v>14</v>
      </c>
      <c r="U1478" s="50">
        <v>35</v>
      </c>
      <c r="V1478" s="51">
        <v>51</v>
      </c>
      <c r="W1478" s="52" t="str">
        <f t="shared" si="834"/>
        <v>35:51</v>
      </c>
      <c r="X1478" s="53" t="s">
        <v>61</v>
      </c>
      <c r="Y1478" s="97" t="s">
        <v>84</v>
      </c>
      <c r="Z1478" s="97" t="s">
        <v>80</v>
      </c>
      <c r="AA1478" s="48" t="s">
        <v>60</v>
      </c>
      <c r="AB1478" s="48" t="str">
        <f t="shared" si="835"/>
        <v>NA</v>
      </c>
      <c r="AC1478" s="54">
        <f t="shared" si="836"/>
        <v>0</v>
      </c>
      <c r="AD1478" s="55">
        <f t="shared" si="837"/>
        <v>1</v>
      </c>
      <c r="AE1478" s="55"/>
      <c r="AF1478" s="55"/>
      <c r="AG1478" s="56">
        <v>1</v>
      </c>
      <c r="AH1478" s="57">
        <f t="shared" si="838"/>
        <v>20</v>
      </c>
      <c r="AI1478" s="56"/>
      <c r="AJ1478" s="57" t="str">
        <f t="shared" si="839"/>
        <v/>
      </c>
      <c r="AK1478" s="56"/>
      <c r="AL1478" s="57" t="str">
        <f t="shared" si="840"/>
        <v/>
      </c>
      <c r="AM1478" s="56"/>
      <c r="AN1478" s="57" t="str">
        <f t="shared" si="841"/>
        <v/>
      </c>
      <c r="AO1478" s="56"/>
      <c r="AP1478" s="57" t="str">
        <f t="shared" si="842"/>
        <v/>
      </c>
      <c r="AQ1478" s="56"/>
      <c r="AR1478" s="57" t="str">
        <f t="shared" si="843"/>
        <v/>
      </c>
      <c r="AS1478" s="56"/>
      <c r="AT1478" s="57" t="str">
        <f t="shared" si="844"/>
        <v/>
      </c>
      <c r="AU1478" s="58"/>
      <c r="AV1478" s="59"/>
      <c r="AW1478" s="59"/>
      <c r="AX1478" s="60"/>
      <c r="AY1478" s="61">
        <f t="shared" si="845"/>
        <v>0</v>
      </c>
      <c r="AZ1478" s="62" t="str">
        <f t="shared" si="846"/>
        <v/>
      </c>
      <c r="BA1478" s="61">
        <f t="shared" si="847"/>
        <v>0</v>
      </c>
      <c r="BB1478" s="62" t="str">
        <f t="shared" si="848"/>
        <v/>
      </c>
    </row>
    <row r="1479" spans="1:54" hidden="1" x14ac:dyDescent="0.35">
      <c r="A1479" s="73">
        <f t="shared" si="799"/>
        <v>2019</v>
      </c>
      <c r="B1479" s="73" t="str">
        <f t="shared" si="824"/>
        <v>Nov</v>
      </c>
      <c r="C1479" s="74">
        <f t="shared" si="825"/>
        <v>17</v>
      </c>
      <c r="D1479" s="75">
        <f t="shared" si="826"/>
        <v>14</v>
      </c>
      <c r="E1479" s="76">
        <v>35</v>
      </c>
      <c r="F1479" s="80">
        <v>31</v>
      </c>
      <c r="G1479" s="83"/>
      <c r="H1479" s="69" t="str">
        <f t="shared" si="827"/>
        <v>Senbur6_20191117_14_00</v>
      </c>
      <c r="I1479" s="70">
        <f t="shared" ref="I1479:N1479" si="927">I1478</f>
        <v>1</v>
      </c>
      <c r="J1479" s="77" t="str">
        <f t="shared" si="927"/>
        <v>Senecio</v>
      </c>
      <c r="K1479" s="77" t="str">
        <f t="shared" si="927"/>
        <v>burtoni</v>
      </c>
      <c r="L1479" s="78">
        <f t="shared" si="927"/>
        <v>6</v>
      </c>
      <c r="M1479" s="78">
        <f t="shared" si="927"/>
        <v>12</v>
      </c>
      <c r="N1479" s="72">
        <f t="shared" si="927"/>
        <v>0</v>
      </c>
      <c r="O1479" s="45"/>
      <c r="P1479" s="46">
        <f t="shared" si="829"/>
        <v>1</v>
      </c>
      <c r="Q1479" s="47" t="str">
        <f t="shared" si="830"/>
        <v>14:35:31</v>
      </c>
      <c r="R1479" s="48" t="str">
        <f t="shared" si="831"/>
        <v>35:31</v>
      </c>
      <c r="S1479" s="49">
        <f t="shared" si="832"/>
        <v>24</v>
      </c>
      <c r="T1479" s="48" t="str">
        <f t="shared" si="833"/>
        <v>14</v>
      </c>
      <c r="U1479" s="50">
        <v>35</v>
      </c>
      <c r="V1479" s="51">
        <v>55</v>
      </c>
      <c r="W1479" s="52" t="str">
        <f t="shared" si="834"/>
        <v>35:55</v>
      </c>
      <c r="X1479" s="53" t="s">
        <v>61</v>
      </c>
      <c r="Y1479" s="97" t="s">
        <v>84</v>
      </c>
      <c r="Z1479" s="97" t="s">
        <v>80</v>
      </c>
      <c r="AA1479" s="48" t="s">
        <v>60</v>
      </c>
      <c r="AB1479" s="48" t="str">
        <f t="shared" si="835"/>
        <v>NA</v>
      </c>
      <c r="AC1479" s="54">
        <f t="shared" si="836"/>
        <v>0</v>
      </c>
      <c r="AD1479" s="55">
        <f t="shared" si="837"/>
        <v>1</v>
      </c>
      <c r="AE1479" s="55"/>
      <c r="AF1479" s="55"/>
      <c r="AG1479" s="56" t="str">
        <f t="shared" si="851"/>
        <v/>
      </c>
      <c r="AH1479" s="57" t="str">
        <f t="shared" si="838"/>
        <v/>
      </c>
      <c r="AI1479" s="56"/>
      <c r="AJ1479" s="57" t="str">
        <f t="shared" si="839"/>
        <v/>
      </c>
      <c r="AK1479" s="56">
        <v>1</v>
      </c>
      <c r="AL1479" s="57">
        <f t="shared" si="840"/>
        <v>24</v>
      </c>
      <c r="AM1479" s="56"/>
      <c r="AN1479" s="57" t="str">
        <f t="shared" si="841"/>
        <v/>
      </c>
      <c r="AO1479" s="56"/>
      <c r="AP1479" s="57" t="str">
        <f t="shared" si="842"/>
        <v/>
      </c>
      <c r="AQ1479" s="56"/>
      <c r="AR1479" s="57" t="str">
        <f t="shared" si="843"/>
        <v/>
      </c>
      <c r="AS1479" s="56"/>
      <c r="AT1479" s="57" t="str">
        <f t="shared" si="844"/>
        <v/>
      </c>
      <c r="AU1479" s="58"/>
      <c r="AV1479" s="59"/>
      <c r="AW1479" s="59"/>
      <c r="AX1479" s="60"/>
      <c r="AY1479" s="61">
        <v>1</v>
      </c>
      <c r="AZ1479" s="62">
        <v>1</v>
      </c>
      <c r="BA1479" s="61">
        <f t="shared" si="847"/>
        <v>0</v>
      </c>
      <c r="BB1479" s="62" t="str">
        <f t="shared" si="848"/>
        <v/>
      </c>
    </row>
    <row r="1480" spans="1:54" hidden="1" x14ac:dyDescent="0.35">
      <c r="A1480" s="73">
        <f t="shared" si="799"/>
        <v>2019</v>
      </c>
      <c r="B1480" s="73" t="str">
        <f t="shared" si="824"/>
        <v>Nov</v>
      </c>
      <c r="C1480" s="74">
        <f t="shared" si="825"/>
        <v>17</v>
      </c>
      <c r="D1480" s="75">
        <f t="shared" si="826"/>
        <v>14</v>
      </c>
      <c r="E1480" s="76">
        <v>35</v>
      </c>
      <c r="F1480" s="80">
        <v>47</v>
      </c>
      <c r="G1480" s="83"/>
      <c r="H1480" s="69" t="str">
        <f t="shared" si="827"/>
        <v>Senbur6_20191117_14_00</v>
      </c>
      <c r="I1480" s="70">
        <f t="shared" ref="I1480:N1480" si="928">I1479</f>
        <v>1</v>
      </c>
      <c r="J1480" s="77" t="str">
        <f t="shared" si="928"/>
        <v>Senecio</v>
      </c>
      <c r="K1480" s="77" t="str">
        <f t="shared" si="928"/>
        <v>burtoni</v>
      </c>
      <c r="L1480" s="78">
        <f t="shared" si="928"/>
        <v>6</v>
      </c>
      <c r="M1480" s="78">
        <f t="shared" si="928"/>
        <v>12</v>
      </c>
      <c r="N1480" s="72">
        <f t="shared" si="928"/>
        <v>0</v>
      </c>
      <c r="O1480" s="45"/>
      <c r="P1480" s="46">
        <f t="shared" si="829"/>
        <v>1</v>
      </c>
      <c r="Q1480" s="47" t="str">
        <f t="shared" si="830"/>
        <v>14:35:47</v>
      </c>
      <c r="R1480" s="48" t="str">
        <f t="shared" si="831"/>
        <v>35:47</v>
      </c>
      <c r="S1480" s="49">
        <f t="shared" si="832"/>
        <v>4</v>
      </c>
      <c r="T1480" s="48" t="str">
        <f t="shared" si="833"/>
        <v>14</v>
      </c>
      <c r="U1480" s="50">
        <v>35</v>
      </c>
      <c r="V1480" s="51">
        <v>51</v>
      </c>
      <c r="W1480" s="52" t="str">
        <f t="shared" si="834"/>
        <v>35:51</v>
      </c>
      <c r="X1480" s="53" t="s">
        <v>61</v>
      </c>
      <c r="Y1480" s="97" t="s">
        <v>82</v>
      </c>
      <c r="Z1480" s="97"/>
      <c r="AA1480" s="48" t="s">
        <v>60</v>
      </c>
      <c r="AB1480" s="48" t="str">
        <f t="shared" si="835"/>
        <v>NA</v>
      </c>
      <c r="AC1480" s="54">
        <f t="shared" si="836"/>
        <v>0</v>
      </c>
      <c r="AD1480" s="55">
        <f t="shared" si="837"/>
        <v>1</v>
      </c>
      <c r="AE1480" s="55"/>
      <c r="AF1480" s="55"/>
      <c r="AG1480" s="56" t="str">
        <f t="shared" si="851"/>
        <v/>
      </c>
      <c r="AH1480" s="57" t="str">
        <f t="shared" si="838"/>
        <v/>
      </c>
      <c r="AI1480" s="56"/>
      <c r="AJ1480" s="57" t="str">
        <f t="shared" si="839"/>
        <v/>
      </c>
      <c r="AK1480" s="56">
        <v>1</v>
      </c>
      <c r="AL1480" s="57">
        <f t="shared" si="840"/>
        <v>4</v>
      </c>
      <c r="AM1480" s="56"/>
      <c r="AN1480" s="57" t="str">
        <f t="shared" si="841"/>
        <v/>
      </c>
      <c r="AO1480" s="56"/>
      <c r="AP1480" s="57" t="str">
        <f t="shared" si="842"/>
        <v/>
      </c>
      <c r="AQ1480" s="56"/>
      <c r="AR1480" s="57" t="str">
        <f t="shared" si="843"/>
        <v/>
      </c>
      <c r="AS1480" s="56"/>
      <c r="AT1480" s="57" t="str">
        <f t="shared" si="844"/>
        <v/>
      </c>
      <c r="AU1480" s="58"/>
      <c r="AV1480" s="59"/>
      <c r="AW1480" s="59"/>
      <c r="AX1480" s="60"/>
      <c r="AY1480" s="61">
        <v>1</v>
      </c>
      <c r="AZ1480" s="62">
        <f t="shared" si="846"/>
        <v>1</v>
      </c>
      <c r="BA1480" s="61">
        <f t="shared" si="847"/>
        <v>0</v>
      </c>
      <c r="BB1480" s="62" t="str">
        <f t="shared" si="848"/>
        <v/>
      </c>
    </row>
    <row r="1481" spans="1:54" hidden="1" x14ac:dyDescent="0.35">
      <c r="A1481" s="73">
        <f t="shared" si="799"/>
        <v>2019</v>
      </c>
      <c r="B1481" s="73" t="str">
        <f t="shared" si="824"/>
        <v>Nov</v>
      </c>
      <c r="C1481" s="74">
        <f t="shared" si="825"/>
        <v>17</v>
      </c>
      <c r="D1481" s="75">
        <f t="shared" si="826"/>
        <v>14</v>
      </c>
      <c r="E1481" s="76">
        <v>35</v>
      </c>
      <c r="F1481" s="80">
        <v>52</v>
      </c>
      <c r="G1481" s="83"/>
      <c r="H1481" s="69" t="str">
        <f t="shared" si="827"/>
        <v>Senbur6_20191117_14_00</v>
      </c>
      <c r="I1481" s="70">
        <f t="shared" ref="I1481:N1481" si="929">I1480</f>
        <v>1</v>
      </c>
      <c r="J1481" s="77" t="str">
        <f t="shared" si="929"/>
        <v>Senecio</v>
      </c>
      <c r="K1481" s="77" t="str">
        <f t="shared" si="929"/>
        <v>burtoni</v>
      </c>
      <c r="L1481" s="78">
        <f t="shared" si="929"/>
        <v>6</v>
      </c>
      <c r="M1481" s="78">
        <f t="shared" si="929"/>
        <v>12</v>
      </c>
      <c r="N1481" s="72">
        <f t="shared" si="929"/>
        <v>0</v>
      </c>
      <c r="O1481" s="45"/>
      <c r="P1481" s="46">
        <f t="shared" si="829"/>
        <v>1</v>
      </c>
      <c r="Q1481" s="47" t="str">
        <f t="shared" si="830"/>
        <v>14:35:52</v>
      </c>
      <c r="R1481" s="48" t="str">
        <f t="shared" si="831"/>
        <v>35:52</v>
      </c>
      <c r="S1481" s="49">
        <f t="shared" si="832"/>
        <v>59</v>
      </c>
      <c r="T1481" s="48" t="str">
        <f t="shared" si="833"/>
        <v>14</v>
      </c>
      <c r="U1481" s="50">
        <v>36</v>
      </c>
      <c r="V1481" s="51">
        <v>51</v>
      </c>
      <c r="W1481" s="52" t="str">
        <f t="shared" si="834"/>
        <v>36:51</v>
      </c>
      <c r="X1481" s="53" t="s">
        <v>61</v>
      </c>
      <c r="Y1481" s="97" t="s">
        <v>84</v>
      </c>
      <c r="Z1481" s="97" t="s">
        <v>80</v>
      </c>
      <c r="AA1481" s="48" t="s">
        <v>60</v>
      </c>
      <c r="AB1481" s="48" t="str">
        <f t="shared" si="835"/>
        <v>NA</v>
      </c>
      <c r="AC1481" s="54">
        <f t="shared" si="836"/>
        <v>0</v>
      </c>
      <c r="AD1481" s="55">
        <v>2</v>
      </c>
      <c r="AE1481" s="55"/>
      <c r="AF1481" s="55"/>
      <c r="AG1481" s="56" t="str">
        <f t="shared" si="851"/>
        <v/>
      </c>
      <c r="AH1481" s="57" t="str">
        <f t="shared" si="838"/>
        <v/>
      </c>
      <c r="AI1481" s="56">
        <v>1</v>
      </c>
      <c r="AJ1481" s="57">
        <v>1</v>
      </c>
      <c r="AK1481" s="56">
        <v>1</v>
      </c>
      <c r="AL1481" s="57">
        <v>58</v>
      </c>
      <c r="AM1481" s="56"/>
      <c r="AN1481" s="57" t="str">
        <f t="shared" si="841"/>
        <v/>
      </c>
      <c r="AO1481" s="56"/>
      <c r="AP1481" s="57" t="str">
        <f t="shared" si="842"/>
        <v/>
      </c>
      <c r="AQ1481" s="56"/>
      <c r="AR1481" s="57" t="str">
        <f t="shared" si="843"/>
        <v/>
      </c>
      <c r="AS1481" s="56"/>
      <c r="AT1481" s="57" t="str">
        <f t="shared" si="844"/>
        <v/>
      </c>
      <c r="AU1481" s="58"/>
      <c r="AV1481" s="59"/>
      <c r="AW1481" s="59"/>
      <c r="AX1481" s="60"/>
      <c r="AY1481" s="61">
        <v>1</v>
      </c>
      <c r="AZ1481" s="62">
        <f t="shared" si="846"/>
        <v>2</v>
      </c>
      <c r="BA1481" s="61">
        <f t="shared" si="847"/>
        <v>0</v>
      </c>
      <c r="BB1481" s="62" t="str">
        <f t="shared" si="848"/>
        <v/>
      </c>
    </row>
    <row r="1482" spans="1:54" hidden="1" x14ac:dyDescent="0.35">
      <c r="A1482" s="73">
        <f t="shared" si="799"/>
        <v>2019</v>
      </c>
      <c r="B1482" s="73" t="str">
        <f t="shared" si="824"/>
        <v>Nov</v>
      </c>
      <c r="C1482" s="74">
        <f t="shared" si="825"/>
        <v>17</v>
      </c>
      <c r="D1482" s="75">
        <f t="shared" si="826"/>
        <v>14</v>
      </c>
      <c r="E1482" s="76">
        <v>35</v>
      </c>
      <c r="F1482" s="80">
        <v>54</v>
      </c>
      <c r="G1482" s="83"/>
      <c r="H1482" s="69" t="str">
        <f t="shared" si="827"/>
        <v>Senbur6_20191117_14_00</v>
      </c>
      <c r="I1482" s="70">
        <f t="shared" ref="I1482:N1482" si="930">I1481</f>
        <v>1</v>
      </c>
      <c r="J1482" s="77" t="str">
        <f t="shared" si="930"/>
        <v>Senecio</v>
      </c>
      <c r="K1482" s="77" t="str">
        <f t="shared" si="930"/>
        <v>burtoni</v>
      </c>
      <c r="L1482" s="78">
        <f t="shared" si="930"/>
        <v>6</v>
      </c>
      <c r="M1482" s="78">
        <f t="shared" si="930"/>
        <v>12</v>
      </c>
      <c r="N1482" s="72">
        <f t="shared" si="930"/>
        <v>0</v>
      </c>
      <c r="O1482" s="45"/>
      <c r="P1482" s="46">
        <f t="shared" si="829"/>
        <v>1</v>
      </c>
      <c r="Q1482" s="47" t="str">
        <f t="shared" si="830"/>
        <v>14:35:54</v>
      </c>
      <c r="R1482" s="48" t="str">
        <f t="shared" si="831"/>
        <v>35:54</v>
      </c>
      <c r="S1482" s="49">
        <f t="shared" si="832"/>
        <v>1</v>
      </c>
      <c r="T1482" s="48" t="str">
        <f t="shared" si="833"/>
        <v>14</v>
      </c>
      <c r="U1482" s="50">
        <v>35</v>
      </c>
      <c r="V1482" s="51">
        <v>55</v>
      </c>
      <c r="W1482" s="52" t="str">
        <f t="shared" si="834"/>
        <v>35:55</v>
      </c>
      <c r="X1482" s="53" t="s">
        <v>61</v>
      </c>
      <c r="Y1482" s="97" t="s">
        <v>84</v>
      </c>
      <c r="Z1482" s="97" t="s">
        <v>80</v>
      </c>
      <c r="AA1482" s="48" t="s">
        <v>60</v>
      </c>
      <c r="AB1482" s="48" t="str">
        <f t="shared" si="835"/>
        <v>NA</v>
      </c>
      <c r="AC1482" s="54">
        <f t="shared" si="836"/>
        <v>0</v>
      </c>
      <c r="AD1482" s="55">
        <f t="shared" si="837"/>
        <v>1</v>
      </c>
      <c r="AE1482" s="55"/>
      <c r="AF1482" s="55"/>
      <c r="AG1482" s="56">
        <v>1</v>
      </c>
      <c r="AH1482" s="57">
        <v>1</v>
      </c>
      <c r="AI1482" s="56"/>
      <c r="AJ1482" s="57" t="str">
        <f t="shared" si="839"/>
        <v/>
      </c>
      <c r="AK1482" s="56"/>
      <c r="AL1482" s="57" t="str">
        <f t="shared" si="840"/>
        <v/>
      </c>
      <c r="AM1482" s="56"/>
      <c r="AN1482" s="57" t="str">
        <f t="shared" si="841"/>
        <v/>
      </c>
      <c r="AO1482" s="56"/>
      <c r="AP1482" s="57" t="str">
        <f t="shared" si="842"/>
        <v/>
      </c>
      <c r="AQ1482" s="56"/>
      <c r="AR1482" s="57" t="str">
        <f t="shared" si="843"/>
        <v/>
      </c>
      <c r="AS1482" s="56"/>
      <c r="AT1482" s="57" t="str">
        <f t="shared" si="844"/>
        <v/>
      </c>
      <c r="AU1482" s="58"/>
      <c r="AV1482" s="59"/>
      <c r="AW1482" s="59"/>
      <c r="AX1482" s="60"/>
      <c r="AY1482" s="61">
        <f t="shared" si="845"/>
        <v>0</v>
      </c>
      <c r="AZ1482" s="62" t="str">
        <f t="shared" si="846"/>
        <v/>
      </c>
      <c r="BA1482" s="61">
        <f t="shared" si="847"/>
        <v>0</v>
      </c>
      <c r="BB1482" s="62" t="str">
        <f t="shared" si="848"/>
        <v/>
      </c>
    </row>
    <row r="1483" spans="1:54" hidden="1" x14ac:dyDescent="0.35">
      <c r="A1483" s="73">
        <f t="shared" si="799"/>
        <v>2019</v>
      </c>
      <c r="B1483" s="73" t="str">
        <f t="shared" si="824"/>
        <v>Nov</v>
      </c>
      <c r="C1483" s="74">
        <f t="shared" si="825"/>
        <v>17</v>
      </c>
      <c r="D1483" s="75">
        <f t="shared" si="826"/>
        <v>14</v>
      </c>
      <c r="E1483" s="76">
        <f t="shared" si="802"/>
        <v>36</v>
      </c>
      <c r="F1483" s="80">
        <v>35</v>
      </c>
      <c r="G1483" s="83"/>
      <c r="H1483" s="69" t="str">
        <f t="shared" si="827"/>
        <v>Senbur6_20191117_14_00</v>
      </c>
      <c r="I1483" s="70">
        <f t="shared" ref="I1483:N1483" si="931">I1482</f>
        <v>1</v>
      </c>
      <c r="J1483" s="77" t="str">
        <f t="shared" si="931"/>
        <v>Senecio</v>
      </c>
      <c r="K1483" s="77" t="str">
        <f t="shared" si="931"/>
        <v>burtoni</v>
      </c>
      <c r="L1483" s="78">
        <f t="shared" si="931"/>
        <v>6</v>
      </c>
      <c r="M1483" s="78">
        <f t="shared" si="931"/>
        <v>12</v>
      </c>
      <c r="N1483" s="72">
        <f t="shared" si="931"/>
        <v>0</v>
      </c>
      <c r="O1483" s="45"/>
      <c r="P1483" s="46">
        <f t="shared" si="829"/>
        <v>1</v>
      </c>
      <c r="Q1483" s="47" t="str">
        <f t="shared" si="830"/>
        <v>14:36:35</v>
      </c>
      <c r="R1483" s="48" t="str">
        <f t="shared" si="831"/>
        <v>36:35</v>
      </c>
      <c r="S1483" s="49">
        <f t="shared" si="832"/>
        <v>10</v>
      </c>
      <c r="T1483" s="48" t="str">
        <f t="shared" si="833"/>
        <v>14</v>
      </c>
      <c r="U1483" s="50">
        <v>36</v>
      </c>
      <c r="V1483" s="51">
        <v>45</v>
      </c>
      <c r="W1483" s="52" t="str">
        <f t="shared" si="834"/>
        <v>36:45</v>
      </c>
      <c r="X1483" s="53" t="s">
        <v>61</v>
      </c>
      <c r="Y1483" s="97" t="s">
        <v>78</v>
      </c>
      <c r="Z1483" s="97"/>
      <c r="AA1483" s="48" t="s">
        <v>60</v>
      </c>
      <c r="AB1483" s="48" t="str">
        <f t="shared" si="835"/>
        <v>NA</v>
      </c>
      <c r="AC1483" s="54">
        <f t="shared" si="836"/>
        <v>0</v>
      </c>
      <c r="AD1483" s="55">
        <f t="shared" si="837"/>
        <v>1</v>
      </c>
      <c r="AE1483" s="55"/>
      <c r="AF1483" s="55"/>
      <c r="AG1483" s="56" t="str">
        <f t="shared" si="851"/>
        <v/>
      </c>
      <c r="AH1483" s="57" t="str">
        <f t="shared" si="838"/>
        <v/>
      </c>
      <c r="AI1483" s="56"/>
      <c r="AJ1483" s="57" t="str">
        <f t="shared" si="839"/>
        <v/>
      </c>
      <c r="AK1483" s="56">
        <v>1</v>
      </c>
      <c r="AL1483" s="57">
        <f t="shared" si="840"/>
        <v>10</v>
      </c>
      <c r="AM1483" s="56"/>
      <c r="AN1483" s="57" t="str">
        <f t="shared" si="841"/>
        <v/>
      </c>
      <c r="AO1483" s="56"/>
      <c r="AP1483" s="57" t="str">
        <f t="shared" si="842"/>
        <v/>
      </c>
      <c r="AQ1483" s="56"/>
      <c r="AR1483" s="57" t="str">
        <f t="shared" si="843"/>
        <v/>
      </c>
      <c r="AS1483" s="56"/>
      <c r="AT1483" s="57" t="str">
        <f t="shared" si="844"/>
        <v/>
      </c>
      <c r="AU1483" s="58"/>
      <c r="AV1483" s="59"/>
      <c r="AW1483" s="59"/>
      <c r="AX1483" s="60"/>
      <c r="AY1483" s="61">
        <v>1</v>
      </c>
      <c r="AZ1483" s="62">
        <f t="shared" si="846"/>
        <v>1</v>
      </c>
      <c r="BA1483" s="61">
        <f t="shared" si="847"/>
        <v>0</v>
      </c>
      <c r="BB1483" s="62" t="str">
        <f t="shared" si="848"/>
        <v/>
      </c>
    </row>
    <row r="1484" spans="1:54" hidden="1" x14ac:dyDescent="0.35">
      <c r="A1484" s="73">
        <f t="shared" si="799"/>
        <v>2019</v>
      </c>
      <c r="B1484" s="73" t="str">
        <f t="shared" si="824"/>
        <v>Nov</v>
      </c>
      <c r="C1484" s="74">
        <f t="shared" si="825"/>
        <v>17</v>
      </c>
      <c r="D1484" s="75">
        <f t="shared" si="826"/>
        <v>14</v>
      </c>
      <c r="E1484" s="76">
        <v>36</v>
      </c>
      <c r="F1484" s="80">
        <v>45</v>
      </c>
      <c r="G1484" s="83"/>
      <c r="H1484" s="69" t="str">
        <f t="shared" si="827"/>
        <v>Senbur6_20191117_14_00</v>
      </c>
      <c r="I1484" s="70">
        <f t="shared" ref="I1484:N1484" si="932">I1483</f>
        <v>1</v>
      </c>
      <c r="J1484" s="77" t="str">
        <f t="shared" si="932"/>
        <v>Senecio</v>
      </c>
      <c r="K1484" s="77" t="str">
        <f t="shared" si="932"/>
        <v>burtoni</v>
      </c>
      <c r="L1484" s="78">
        <f t="shared" si="932"/>
        <v>6</v>
      </c>
      <c r="M1484" s="78">
        <f t="shared" si="932"/>
        <v>12</v>
      </c>
      <c r="N1484" s="72">
        <f t="shared" si="932"/>
        <v>0</v>
      </c>
      <c r="O1484" s="45"/>
      <c r="P1484" s="46">
        <f t="shared" si="829"/>
        <v>1</v>
      </c>
      <c r="Q1484" s="47" t="str">
        <f t="shared" si="830"/>
        <v>14:36:45</v>
      </c>
      <c r="R1484" s="48" t="str">
        <f t="shared" si="831"/>
        <v>36:45</v>
      </c>
      <c r="S1484" s="49">
        <f t="shared" si="832"/>
        <v>4</v>
      </c>
      <c r="T1484" s="48" t="str">
        <f t="shared" si="833"/>
        <v>14</v>
      </c>
      <c r="U1484" s="50">
        <v>36</v>
      </c>
      <c r="V1484" s="51">
        <v>49</v>
      </c>
      <c r="W1484" s="52" t="str">
        <f t="shared" si="834"/>
        <v>36:49</v>
      </c>
      <c r="X1484" s="53" t="s">
        <v>61</v>
      </c>
      <c r="Y1484" s="97" t="s">
        <v>84</v>
      </c>
      <c r="Z1484" s="97" t="s">
        <v>80</v>
      </c>
      <c r="AA1484" s="48" t="s">
        <v>60</v>
      </c>
      <c r="AB1484" s="48" t="str">
        <f t="shared" si="835"/>
        <v>NA</v>
      </c>
      <c r="AC1484" s="54">
        <f t="shared" si="836"/>
        <v>0</v>
      </c>
      <c r="AD1484" s="55">
        <f t="shared" si="837"/>
        <v>1</v>
      </c>
      <c r="AE1484" s="55"/>
      <c r="AF1484" s="55"/>
      <c r="AG1484" s="56">
        <v>1</v>
      </c>
      <c r="AH1484" s="57">
        <f t="shared" si="838"/>
        <v>4</v>
      </c>
      <c r="AI1484" s="56"/>
      <c r="AJ1484" s="57" t="str">
        <f t="shared" si="839"/>
        <v/>
      </c>
      <c r="AK1484" s="56"/>
      <c r="AL1484" s="57" t="str">
        <f t="shared" si="840"/>
        <v/>
      </c>
      <c r="AM1484" s="56"/>
      <c r="AN1484" s="57" t="str">
        <f t="shared" si="841"/>
        <v/>
      </c>
      <c r="AO1484" s="56"/>
      <c r="AP1484" s="57" t="str">
        <f t="shared" si="842"/>
        <v/>
      </c>
      <c r="AQ1484" s="56"/>
      <c r="AR1484" s="57" t="str">
        <f t="shared" si="843"/>
        <v/>
      </c>
      <c r="AS1484" s="56"/>
      <c r="AT1484" s="57" t="str">
        <f t="shared" si="844"/>
        <v/>
      </c>
      <c r="AU1484" s="58"/>
      <c r="AV1484" s="59"/>
      <c r="AW1484" s="59"/>
      <c r="AX1484" s="60"/>
      <c r="AY1484" s="61">
        <v>1</v>
      </c>
      <c r="AZ1484" s="62">
        <f t="shared" si="846"/>
        <v>1</v>
      </c>
      <c r="BA1484" s="61">
        <f t="shared" si="847"/>
        <v>0</v>
      </c>
      <c r="BB1484" s="62" t="str">
        <f t="shared" si="848"/>
        <v/>
      </c>
    </row>
    <row r="1485" spans="1:54" hidden="1" x14ac:dyDescent="0.35">
      <c r="A1485" s="73">
        <f t="shared" si="799"/>
        <v>2019</v>
      </c>
      <c r="B1485" s="73" t="str">
        <f t="shared" si="824"/>
        <v>Nov</v>
      </c>
      <c r="C1485" s="74">
        <f t="shared" si="825"/>
        <v>17</v>
      </c>
      <c r="D1485" s="75">
        <f t="shared" si="826"/>
        <v>14</v>
      </c>
      <c r="E1485" s="76">
        <v>36</v>
      </c>
      <c r="F1485" s="80">
        <v>59</v>
      </c>
      <c r="G1485" s="83"/>
      <c r="H1485" s="69" t="str">
        <f t="shared" si="827"/>
        <v>Senbur6_20191117_14_00</v>
      </c>
      <c r="I1485" s="70">
        <f t="shared" ref="I1485:N1485" si="933">I1484</f>
        <v>1</v>
      </c>
      <c r="J1485" s="77" t="str">
        <f t="shared" si="933"/>
        <v>Senecio</v>
      </c>
      <c r="K1485" s="77" t="str">
        <f t="shared" si="933"/>
        <v>burtoni</v>
      </c>
      <c r="L1485" s="78">
        <f t="shared" si="933"/>
        <v>6</v>
      </c>
      <c r="M1485" s="78">
        <f t="shared" si="933"/>
        <v>12</v>
      </c>
      <c r="N1485" s="72">
        <f t="shared" si="933"/>
        <v>0</v>
      </c>
      <c r="O1485" s="45"/>
      <c r="P1485" s="46">
        <f t="shared" si="829"/>
        <v>1</v>
      </c>
      <c r="Q1485" s="47" t="str">
        <f t="shared" si="830"/>
        <v>14:36:59</v>
      </c>
      <c r="R1485" s="48" t="str">
        <f t="shared" si="831"/>
        <v>36:59</v>
      </c>
      <c r="S1485" s="49">
        <f t="shared" si="832"/>
        <v>27</v>
      </c>
      <c r="T1485" s="48" t="str">
        <f t="shared" si="833"/>
        <v>14</v>
      </c>
      <c r="U1485" s="50">
        <v>37</v>
      </c>
      <c r="V1485" s="51">
        <v>26</v>
      </c>
      <c r="W1485" s="52" t="str">
        <f t="shared" si="834"/>
        <v>37:26</v>
      </c>
      <c r="X1485" s="53" t="s">
        <v>61</v>
      </c>
      <c r="Y1485" s="97" t="s">
        <v>84</v>
      </c>
      <c r="Z1485" s="97" t="s">
        <v>80</v>
      </c>
      <c r="AA1485" s="48" t="s">
        <v>60</v>
      </c>
      <c r="AB1485" s="48" t="str">
        <f t="shared" si="835"/>
        <v>NA</v>
      </c>
      <c r="AC1485" s="54">
        <f t="shared" si="836"/>
        <v>0</v>
      </c>
      <c r="AD1485" s="55">
        <v>2</v>
      </c>
      <c r="AE1485" s="55"/>
      <c r="AF1485" s="55"/>
      <c r="AG1485" s="56" t="str">
        <f t="shared" si="851"/>
        <v/>
      </c>
      <c r="AH1485" s="57" t="str">
        <f t="shared" si="838"/>
        <v/>
      </c>
      <c r="AI1485" s="56">
        <v>1</v>
      </c>
      <c r="AJ1485" s="57">
        <v>2</v>
      </c>
      <c r="AK1485" s="56">
        <v>1</v>
      </c>
      <c r="AL1485" s="57">
        <v>25</v>
      </c>
      <c r="AM1485" s="56"/>
      <c r="AN1485" s="57" t="str">
        <f t="shared" si="841"/>
        <v/>
      </c>
      <c r="AO1485" s="56"/>
      <c r="AP1485" s="57" t="str">
        <f t="shared" si="842"/>
        <v/>
      </c>
      <c r="AQ1485" s="56"/>
      <c r="AR1485" s="57" t="str">
        <f t="shared" si="843"/>
        <v/>
      </c>
      <c r="AS1485" s="56"/>
      <c r="AT1485" s="57" t="str">
        <f t="shared" si="844"/>
        <v/>
      </c>
      <c r="AU1485" s="58"/>
      <c r="AV1485" s="59"/>
      <c r="AW1485" s="59"/>
      <c r="AX1485" s="60"/>
      <c r="AY1485" s="61">
        <v>1</v>
      </c>
      <c r="AZ1485" s="62">
        <f t="shared" si="846"/>
        <v>2</v>
      </c>
      <c r="BA1485" s="61">
        <f t="shared" si="847"/>
        <v>0</v>
      </c>
      <c r="BB1485" s="62" t="str">
        <f t="shared" si="848"/>
        <v/>
      </c>
    </row>
    <row r="1486" spans="1:54" hidden="1" x14ac:dyDescent="0.35">
      <c r="A1486" s="73">
        <f t="shared" si="799"/>
        <v>2019</v>
      </c>
      <c r="B1486" s="73" t="str">
        <f t="shared" si="824"/>
        <v>Nov</v>
      </c>
      <c r="C1486" s="74">
        <f t="shared" si="825"/>
        <v>17</v>
      </c>
      <c r="D1486" s="75">
        <f t="shared" si="826"/>
        <v>14</v>
      </c>
      <c r="E1486" s="76">
        <f t="shared" si="802"/>
        <v>37</v>
      </c>
      <c r="F1486" s="80">
        <v>21</v>
      </c>
      <c r="G1486" s="83"/>
      <c r="H1486" s="69" t="str">
        <f t="shared" si="827"/>
        <v>Senbur6_20191117_14_00</v>
      </c>
      <c r="I1486" s="70">
        <f t="shared" ref="I1486:N1486" si="934">I1485</f>
        <v>1</v>
      </c>
      <c r="J1486" s="77" t="str">
        <f t="shared" si="934"/>
        <v>Senecio</v>
      </c>
      <c r="K1486" s="77" t="str">
        <f t="shared" si="934"/>
        <v>burtoni</v>
      </c>
      <c r="L1486" s="78">
        <f t="shared" si="934"/>
        <v>6</v>
      </c>
      <c r="M1486" s="78">
        <f t="shared" si="934"/>
        <v>12</v>
      </c>
      <c r="N1486" s="72">
        <f t="shared" si="934"/>
        <v>0</v>
      </c>
      <c r="O1486" s="45"/>
      <c r="P1486" s="46">
        <f t="shared" si="829"/>
        <v>1</v>
      </c>
      <c r="Q1486" s="47" t="str">
        <f t="shared" si="830"/>
        <v>14:37:21</v>
      </c>
      <c r="R1486" s="48" t="str">
        <f t="shared" si="831"/>
        <v>37:21</v>
      </c>
      <c r="S1486" s="49">
        <f t="shared" si="832"/>
        <v>19</v>
      </c>
      <c r="T1486" s="48" t="str">
        <f t="shared" si="833"/>
        <v>14</v>
      </c>
      <c r="U1486" s="50">
        <v>37</v>
      </c>
      <c r="V1486" s="51">
        <v>40</v>
      </c>
      <c r="W1486" s="52" t="str">
        <f t="shared" si="834"/>
        <v>37:40</v>
      </c>
      <c r="X1486" s="53" t="s">
        <v>61</v>
      </c>
      <c r="Y1486" s="97" t="s">
        <v>84</v>
      </c>
      <c r="Z1486" s="97" t="s">
        <v>80</v>
      </c>
      <c r="AA1486" s="48" t="s">
        <v>60</v>
      </c>
      <c r="AB1486" s="48" t="str">
        <f t="shared" si="835"/>
        <v>NA</v>
      </c>
      <c r="AC1486" s="54">
        <f t="shared" si="836"/>
        <v>0</v>
      </c>
      <c r="AD1486" s="55">
        <f t="shared" si="837"/>
        <v>1</v>
      </c>
      <c r="AE1486" s="55"/>
      <c r="AF1486" s="55"/>
      <c r="AG1486" s="56">
        <v>1</v>
      </c>
      <c r="AH1486" s="57">
        <v>10</v>
      </c>
      <c r="AI1486" s="56"/>
      <c r="AJ1486" s="57" t="str">
        <f t="shared" si="839"/>
        <v/>
      </c>
      <c r="AK1486" s="56">
        <v>1</v>
      </c>
      <c r="AL1486" s="57">
        <v>9</v>
      </c>
      <c r="AM1486" s="56"/>
      <c r="AN1486" s="57" t="str">
        <f t="shared" si="841"/>
        <v/>
      </c>
      <c r="AO1486" s="56"/>
      <c r="AP1486" s="57" t="str">
        <f t="shared" si="842"/>
        <v/>
      </c>
      <c r="AQ1486" s="56"/>
      <c r="AR1486" s="57" t="str">
        <f t="shared" si="843"/>
        <v/>
      </c>
      <c r="AS1486" s="56"/>
      <c r="AT1486" s="57" t="str">
        <f t="shared" si="844"/>
        <v/>
      </c>
      <c r="AU1486" s="58"/>
      <c r="AV1486" s="59"/>
      <c r="AW1486" s="59"/>
      <c r="AX1486" s="60"/>
      <c r="AY1486" s="61">
        <v>1</v>
      </c>
      <c r="AZ1486" s="62">
        <f t="shared" si="846"/>
        <v>1</v>
      </c>
      <c r="BA1486" s="61">
        <f t="shared" si="847"/>
        <v>0</v>
      </c>
      <c r="BB1486" s="62" t="str">
        <f t="shared" si="848"/>
        <v/>
      </c>
    </row>
    <row r="1487" spans="1:54" hidden="1" x14ac:dyDescent="0.35">
      <c r="A1487" s="73">
        <f t="shared" si="799"/>
        <v>2019</v>
      </c>
      <c r="B1487" s="73" t="str">
        <f t="shared" si="824"/>
        <v>Nov</v>
      </c>
      <c r="C1487" s="74">
        <f t="shared" si="825"/>
        <v>17</v>
      </c>
      <c r="D1487" s="75">
        <f t="shared" si="826"/>
        <v>14</v>
      </c>
      <c r="E1487" s="76">
        <v>37</v>
      </c>
      <c r="F1487" s="80">
        <v>21</v>
      </c>
      <c r="G1487" s="83"/>
      <c r="H1487" s="69" t="str">
        <f t="shared" si="827"/>
        <v>Senbur6_20191117_14_00</v>
      </c>
      <c r="I1487" s="70">
        <f t="shared" ref="I1487:N1487" si="935">I1486</f>
        <v>1</v>
      </c>
      <c r="J1487" s="77" t="str">
        <f t="shared" si="935"/>
        <v>Senecio</v>
      </c>
      <c r="K1487" s="77" t="str">
        <f t="shared" si="935"/>
        <v>burtoni</v>
      </c>
      <c r="L1487" s="78">
        <f t="shared" si="935"/>
        <v>6</v>
      </c>
      <c r="M1487" s="78">
        <f t="shared" si="935"/>
        <v>12</v>
      </c>
      <c r="N1487" s="72">
        <f t="shared" si="935"/>
        <v>0</v>
      </c>
      <c r="O1487" s="45"/>
      <c r="P1487" s="46">
        <f t="shared" si="829"/>
        <v>1</v>
      </c>
      <c r="Q1487" s="47" t="str">
        <f t="shared" si="830"/>
        <v>14:37:21</v>
      </c>
      <c r="R1487" s="48" t="str">
        <f t="shared" si="831"/>
        <v>37:21</v>
      </c>
      <c r="S1487" s="49">
        <f t="shared" si="832"/>
        <v>19</v>
      </c>
      <c r="T1487" s="48" t="str">
        <f t="shared" si="833"/>
        <v>14</v>
      </c>
      <c r="U1487" s="50">
        <v>37</v>
      </c>
      <c r="V1487" s="51">
        <v>40</v>
      </c>
      <c r="W1487" s="52" t="str">
        <f t="shared" si="834"/>
        <v>37:40</v>
      </c>
      <c r="X1487" s="53" t="s">
        <v>61</v>
      </c>
      <c r="Y1487" s="97" t="s">
        <v>84</v>
      </c>
      <c r="Z1487" s="97" t="s">
        <v>80</v>
      </c>
      <c r="AA1487" s="48" t="s">
        <v>60</v>
      </c>
      <c r="AB1487" s="48" t="str">
        <f t="shared" si="835"/>
        <v>NA</v>
      </c>
      <c r="AC1487" s="54">
        <f t="shared" si="836"/>
        <v>0</v>
      </c>
      <c r="AD1487" s="55">
        <f t="shared" si="837"/>
        <v>1</v>
      </c>
      <c r="AE1487" s="55"/>
      <c r="AF1487" s="55"/>
      <c r="AG1487" s="56" t="str">
        <f t="shared" si="851"/>
        <v/>
      </c>
      <c r="AH1487" s="57" t="str">
        <f t="shared" si="838"/>
        <v/>
      </c>
      <c r="AI1487" s="56"/>
      <c r="AJ1487" s="57" t="str">
        <f t="shared" si="839"/>
        <v/>
      </c>
      <c r="AK1487" s="56">
        <v>1</v>
      </c>
      <c r="AL1487" s="57">
        <f t="shared" si="840"/>
        <v>19</v>
      </c>
      <c r="AM1487" s="56"/>
      <c r="AN1487" s="57" t="str">
        <f t="shared" si="841"/>
        <v/>
      </c>
      <c r="AO1487" s="56"/>
      <c r="AP1487" s="57" t="str">
        <f t="shared" si="842"/>
        <v/>
      </c>
      <c r="AQ1487" s="56"/>
      <c r="AR1487" s="57" t="str">
        <f t="shared" si="843"/>
        <v/>
      </c>
      <c r="AS1487" s="56"/>
      <c r="AT1487" s="57" t="str">
        <f t="shared" si="844"/>
        <v/>
      </c>
      <c r="AU1487" s="58"/>
      <c r="AV1487" s="59"/>
      <c r="AW1487" s="59"/>
      <c r="AX1487" s="60"/>
      <c r="AY1487" s="61">
        <v>1</v>
      </c>
      <c r="AZ1487" s="62">
        <f t="shared" si="846"/>
        <v>1</v>
      </c>
      <c r="BA1487" s="61">
        <f t="shared" si="847"/>
        <v>0</v>
      </c>
      <c r="BB1487" s="62" t="str">
        <f t="shared" si="848"/>
        <v/>
      </c>
    </row>
    <row r="1488" spans="1:54" hidden="1" x14ac:dyDescent="0.35">
      <c r="A1488" s="73">
        <f t="shared" si="799"/>
        <v>2019</v>
      </c>
      <c r="B1488" s="73" t="str">
        <f t="shared" si="824"/>
        <v>Nov</v>
      </c>
      <c r="C1488" s="74">
        <f t="shared" si="825"/>
        <v>17</v>
      </c>
      <c r="D1488" s="75">
        <f t="shared" si="826"/>
        <v>14</v>
      </c>
      <c r="E1488" s="76">
        <v>37</v>
      </c>
      <c r="F1488" s="80">
        <v>37</v>
      </c>
      <c r="G1488" s="83"/>
      <c r="H1488" s="69" t="str">
        <f t="shared" si="827"/>
        <v>Senbur6_20191117_14_00</v>
      </c>
      <c r="I1488" s="70">
        <f t="shared" ref="I1488:N1488" si="936">I1487</f>
        <v>1</v>
      </c>
      <c r="J1488" s="77" t="str">
        <f t="shared" si="936"/>
        <v>Senecio</v>
      </c>
      <c r="K1488" s="77" t="str">
        <f t="shared" si="936"/>
        <v>burtoni</v>
      </c>
      <c r="L1488" s="78">
        <f t="shared" si="936"/>
        <v>6</v>
      </c>
      <c r="M1488" s="78">
        <f t="shared" si="936"/>
        <v>12</v>
      </c>
      <c r="N1488" s="72">
        <f t="shared" si="936"/>
        <v>0</v>
      </c>
      <c r="O1488" s="45"/>
      <c r="P1488" s="46">
        <f t="shared" si="829"/>
        <v>1</v>
      </c>
      <c r="Q1488" s="47" t="str">
        <f t="shared" si="830"/>
        <v>14:37:37</v>
      </c>
      <c r="R1488" s="48" t="str">
        <f t="shared" si="831"/>
        <v>37:37</v>
      </c>
      <c r="S1488" s="49">
        <f t="shared" si="832"/>
        <v>3</v>
      </c>
      <c r="T1488" s="48" t="str">
        <f t="shared" si="833"/>
        <v>14</v>
      </c>
      <c r="U1488" s="50">
        <v>37</v>
      </c>
      <c r="V1488" s="51">
        <v>40</v>
      </c>
      <c r="W1488" s="52" t="str">
        <f t="shared" si="834"/>
        <v>37:40</v>
      </c>
      <c r="X1488" s="53" t="s">
        <v>62</v>
      </c>
      <c r="Y1488" s="97" t="s">
        <v>81</v>
      </c>
      <c r="Z1488" s="97"/>
      <c r="AA1488" s="48" t="s">
        <v>63</v>
      </c>
      <c r="AB1488" s="48" t="str">
        <f t="shared" si="835"/>
        <v>NA</v>
      </c>
      <c r="AC1488" s="54">
        <f t="shared" si="836"/>
        <v>0</v>
      </c>
      <c r="AD1488" s="55">
        <f t="shared" si="837"/>
        <v>1</v>
      </c>
      <c r="AE1488" s="55"/>
      <c r="AF1488" s="55"/>
      <c r="AG1488" s="56">
        <v>1</v>
      </c>
      <c r="AH1488" s="57">
        <v>1</v>
      </c>
      <c r="AI1488" s="56">
        <v>1</v>
      </c>
      <c r="AJ1488" s="57">
        <v>2</v>
      </c>
      <c r="AK1488" s="56"/>
      <c r="AL1488" s="57" t="str">
        <f t="shared" si="840"/>
        <v/>
      </c>
      <c r="AM1488" s="56"/>
      <c r="AN1488" s="57" t="str">
        <f t="shared" si="841"/>
        <v/>
      </c>
      <c r="AO1488" s="56"/>
      <c r="AP1488" s="57" t="str">
        <f t="shared" si="842"/>
        <v/>
      </c>
      <c r="AQ1488" s="56"/>
      <c r="AR1488" s="57" t="str">
        <f t="shared" si="843"/>
        <v/>
      </c>
      <c r="AS1488" s="56"/>
      <c r="AT1488" s="57" t="str">
        <f t="shared" si="844"/>
        <v/>
      </c>
      <c r="AU1488" s="58"/>
      <c r="AV1488" s="59"/>
      <c r="AW1488" s="59"/>
      <c r="AX1488" s="60"/>
      <c r="AY1488" s="61">
        <v>1</v>
      </c>
      <c r="AZ1488" s="62">
        <f t="shared" si="846"/>
        <v>1</v>
      </c>
      <c r="BA1488" s="61">
        <f t="shared" si="847"/>
        <v>0</v>
      </c>
      <c r="BB1488" s="62" t="str">
        <f t="shared" si="848"/>
        <v/>
      </c>
    </row>
    <row r="1489" spans="1:54" hidden="1" x14ac:dyDescent="0.35">
      <c r="A1489" s="73">
        <f t="shared" si="799"/>
        <v>2019</v>
      </c>
      <c r="B1489" s="73" t="str">
        <f t="shared" si="824"/>
        <v>Nov</v>
      </c>
      <c r="C1489" s="74">
        <f t="shared" si="825"/>
        <v>17</v>
      </c>
      <c r="D1489" s="75">
        <f t="shared" si="826"/>
        <v>14</v>
      </c>
      <c r="E1489" s="76">
        <v>37</v>
      </c>
      <c r="F1489" s="80">
        <v>41</v>
      </c>
      <c r="G1489" s="83"/>
      <c r="H1489" s="69" t="str">
        <f t="shared" si="827"/>
        <v>Senbur6_20191117_14_00</v>
      </c>
      <c r="I1489" s="70">
        <f t="shared" ref="I1489:N1489" si="937">I1488</f>
        <v>1</v>
      </c>
      <c r="J1489" s="77" t="str">
        <f t="shared" si="937"/>
        <v>Senecio</v>
      </c>
      <c r="K1489" s="77" t="str">
        <f t="shared" si="937"/>
        <v>burtoni</v>
      </c>
      <c r="L1489" s="78">
        <f t="shared" si="937"/>
        <v>6</v>
      </c>
      <c r="M1489" s="78">
        <f t="shared" si="937"/>
        <v>12</v>
      </c>
      <c r="N1489" s="72">
        <f t="shared" si="937"/>
        <v>0</v>
      </c>
      <c r="O1489" s="45"/>
      <c r="P1489" s="46">
        <f t="shared" si="829"/>
        <v>1</v>
      </c>
      <c r="Q1489" s="47" t="str">
        <f t="shared" si="830"/>
        <v>14:37:41</v>
      </c>
      <c r="R1489" s="48" t="str">
        <f t="shared" si="831"/>
        <v>37:41</v>
      </c>
      <c r="S1489" s="49">
        <f t="shared" si="832"/>
        <v>33</v>
      </c>
      <c r="T1489" s="48" t="str">
        <f t="shared" si="833"/>
        <v>14</v>
      </c>
      <c r="U1489" s="50">
        <v>38</v>
      </c>
      <c r="V1489" s="51">
        <v>14</v>
      </c>
      <c r="W1489" s="52" t="str">
        <f t="shared" si="834"/>
        <v>38:14</v>
      </c>
      <c r="X1489" s="53" t="s">
        <v>61</v>
      </c>
      <c r="Y1489" s="97" t="s">
        <v>84</v>
      </c>
      <c r="Z1489" s="97" t="s">
        <v>80</v>
      </c>
      <c r="AA1489" s="48" t="s">
        <v>60</v>
      </c>
      <c r="AB1489" s="48" t="str">
        <f t="shared" si="835"/>
        <v>NA</v>
      </c>
      <c r="AC1489" s="54">
        <f t="shared" si="836"/>
        <v>0</v>
      </c>
      <c r="AD1489" s="55">
        <f t="shared" si="837"/>
        <v>1</v>
      </c>
      <c r="AE1489" s="55"/>
      <c r="AF1489" s="55"/>
      <c r="AG1489" s="56">
        <v>1</v>
      </c>
      <c r="AH1489" s="57">
        <v>4</v>
      </c>
      <c r="AI1489" s="56"/>
      <c r="AJ1489" s="57" t="str">
        <f t="shared" si="839"/>
        <v/>
      </c>
      <c r="AK1489" s="56">
        <v>1</v>
      </c>
      <c r="AL1489" s="57">
        <v>29</v>
      </c>
      <c r="AM1489" s="56"/>
      <c r="AN1489" s="57" t="str">
        <f t="shared" si="841"/>
        <v/>
      </c>
      <c r="AO1489" s="56"/>
      <c r="AP1489" s="57" t="str">
        <f t="shared" si="842"/>
        <v/>
      </c>
      <c r="AQ1489" s="56"/>
      <c r="AR1489" s="57" t="str">
        <f t="shared" si="843"/>
        <v/>
      </c>
      <c r="AS1489" s="56"/>
      <c r="AT1489" s="57" t="str">
        <f t="shared" si="844"/>
        <v/>
      </c>
      <c r="AU1489" s="58"/>
      <c r="AV1489" s="59"/>
      <c r="AW1489" s="59"/>
      <c r="AX1489" s="60"/>
      <c r="AY1489" s="61">
        <v>1</v>
      </c>
      <c r="AZ1489" s="62">
        <f t="shared" si="846"/>
        <v>1</v>
      </c>
      <c r="BA1489" s="61">
        <f t="shared" si="847"/>
        <v>0</v>
      </c>
      <c r="BB1489" s="62" t="str">
        <f t="shared" si="848"/>
        <v/>
      </c>
    </row>
    <row r="1490" spans="1:54" hidden="1" x14ac:dyDescent="0.35">
      <c r="A1490" s="73">
        <f t="shared" si="799"/>
        <v>2019</v>
      </c>
      <c r="B1490" s="73" t="str">
        <f t="shared" si="824"/>
        <v>Nov</v>
      </c>
      <c r="C1490" s="74">
        <f t="shared" si="825"/>
        <v>17</v>
      </c>
      <c r="D1490" s="75">
        <f t="shared" si="826"/>
        <v>14</v>
      </c>
      <c r="E1490" s="76">
        <f t="shared" si="802"/>
        <v>38</v>
      </c>
      <c r="F1490" s="80">
        <v>7</v>
      </c>
      <c r="G1490" s="83"/>
      <c r="H1490" s="69" t="str">
        <f t="shared" si="827"/>
        <v>Senbur6_20191117_14_00</v>
      </c>
      <c r="I1490" s="70">
        <f t="shared" ref="I1490:N1490" si="938">I1489</f>
        <v>1</v>
      </c>
      <c r="J1490" s="77" t="str">
        <f t="shared" si="938"/>
        <v>Senecio</v>
      </c>
      <c r="K1490" s="77" t="str">
        <f t="shared" si="938"/>
        <v>burtoni</v>
      </c>
      <c r="L1490" s="78">
        <f t="shared" si="938"/>
        <v>6</v>
      </c>
      <c r="M1490" s="78">
        <f t="shared" si="938"/>
        <v>12</v>
      </c>
      <c r="N1490" s="72">
        <f t="shared" si="938"/>
        <v>0</v>
      </c>
      <c r="O1490" s="45"/>
      <c r="P1490" s="46">
        <f t="shared" si="829"/>
        <v>1</v>
      </c>
      <c r="Q1490" s="47" t="str">
        <f t="shared" si="830"/>
        <v>14:38:07</v>
      </c>
      <c r="R1490" s="48" t="str">
        <f t="shared" si="831"/>
        <v>38:07</v>
      </c>
      <c r="S1490" s="49">
        <f t="shared" si="832"/>
        <v>505</v>
      </c>
      <c r="T1490" s="48" t="str">
        <f t="shared" si="833"/>
        <v>14</v>
      </c>
      <c r="U1490" s="50">
        <v>46</v>
      </c>
      <c r="V1490" s="51">
        <v>32</v>
      </c>
      <c r="W1490" s="52" t="str">
        <f t="shared" si="834"/>
        <v>46:32</v>
      </c>
      <c r="X1490" s="53" t="s">
        <v>61</v>
      </c>
      <c r="Y1490" s="97" t="s">
        <v>84</v>
      </c>
      <c r="Z1490" s="97" t="s">
        <v>80</v>
      </c>
      <c r="AA1490" s="48" t="s">
        <v>60</v>
      </c>
      <c r="AB1490" s="48" t="str">
        <f t="shared" si="835"/>
        <v>NA</v>
      </c>
      <c r="AC1490" s="54">
        <f t="shared" si="836"/>
        <v>0</v>
      </c>
      <c r="AD1490" s="55">
        <v>6</v>
      </c>
      <c r="AE1490" s="55"/>
      <c r="AF1490" s="55"/>
      <c r="AG1490" s="56">
        <v>1</v>
      </c>
      <c r="AH1490" s="57">
        <v>27</v>
      </c>
      <c r="AI1490" s="56">
        <v>1</v>
      </c>
      <c r="AJ1490" s="57">
        <v>6</v>
      </c>
      <c r="AK1490" s="56">
        <v>1</v>
      </c>
      <c r="AL1490" s="57">
        <v>472</v>
      </c>
      <c r="AM1490" s="56"/>
      <c r="AN1490" s="57" t="str">
        <f t="shared" si="841"/>
        <v/>
      </c>
      <c r="AO1490" s="56"/>
      <c r="AP1490" s="57" t="str">
        <f t="shared" si="842"/>
        <v/>
      </c>
      <c r="AQ1490" s="56"/>
      <c r="AR1490" s="57" t="str">
        <f t="shared" si="843"/>
        <v/>
      </c>
      <c r="AS1490" s="56"/>
      <c r="AT1490" s="57" t="str">
        <f t="shared" si="844"/>
        <v/>
      </c>
      <c r="AU1490" s="58"/>
      <c r="AV1490" s="59"/>
      <c r="AW1490" s="59"/>
      <c r="AX1490" s="60"/>
      <c r="AY1490" s="61">
        <v>1</v>
      </c>
      <c r="AZ1490" s="62">
        <f t="shared" si="846"/>
        <v>6</v>
      </c>
      <c r="BA1490" s="61">
        <f t="shared" si="847"/>
        <v>0</v>
      </c>
      <c r="BB1490" s="62" t="str">
        <f t="shared" si="848"/>
        <v/>
      </c>
    </row>
    <row r="1491" spans="1:54" hidden="1" x14ac:dyDescent="0.35">
      <c r="A1491" s="73">
        <f t="shared" si="799"/>
        <v>2019</v>
      </c>
      <c r="B1491" s="73" t="str">
        <f t="shared" si="824"/>
        <v>Nov</v>
      </c>
      <c r="C1491" s="74">
        <f t="shared" si="825"/>
        <v>17</v>
      </c>
      <c r="D1491" s="75">
        <f t="shared" si="826"/>
        <v>14</v>
      </c>
      <c r="E1491" s="76">
        <v>38</v>
      </c>
      <c r="F1491" s="80">
        <v>13</v>
      </c>
      <c r="G1491" s="83"/>
      <c r="H1491" s="69" t="str">
        <f t="shared" si="827"/>
        <v>Senbur6_20191117_14_00</v>
      </c>
      <c r="I1491" s="70">
        <f t="shared" ref="I1491:N1491" si="939">I1490</f>
        <v>1</v>
      </c>
      <c r="J1491" s="77" t="str">
        <f t="shared" si="939"/>
        <v>Senecio</v>
      </c>
      <c r="K1491" s="77" t="str">
        <f t="shared" si="939"/>
        <v>burtoni</v>
      </c>
      <c r="L1491" s="78">
        <f t="shared" si="939"/>
        <v>6</v>
      </c>
      <c r="M1491" s="78">
        <f t="shared" si="939"/>
        <v>12</v>
      </c>
      <c r="N1491" s="72">
        <f t="shared" si="939"/>
        <v>0</v>
      </c>
      <c r="O1491" s="45"/>
      <c r="P1491" s="46">
        <f t="shared" si="829"/>
        <v>1</v>
      </c>
      <c r="Q1491" s="47" t="str">
        <f t="shared" si="830"/>
        <v>14:38:13</v>
      </c>
      <c r="R1491" s="48" t="str">
        <f t="shared" si="831"/>
        <v>38:13</v>
      </c>
      <c r="S1491" s="49">
        <f t="shared" si="832"/>
        <v>10</v>
      </c>
      <c r="T1491" s="48" t="str">
        <f t="shared" si="833"/>
        <v>14</v>
      </c>
      <c r="U1491" s="50">
        <v>38</v>
      </c>
      <c r="V1491" s="51">
        <v>23</v>
      </c>
      <c r="W1491" s="52" t="str">
        <f t="shared" si="834"/>
        <v>38:23</v>
      </c>
      <c r="X1491" s="53" t="s">
        <v>61</v>
      </c>
      <c r="Y1491" s="97" t="s">
        <v>84</v>
      </c>
      <c r="Z1491" s="97" t="s">
        <v>80</v>
      </c>
      <c r="AA1491" s="48" t="s">
        <v>60</v>
      </c>
      <c r="AB1491" s="48" t="str">
        <f t="shared" si="835"/>
        <v>NA</v>
      </c>
      <c r="AC1491" s="54">
        <f t="shared" si="836"/>
        <v>0</v>
      </c>
      <c r="AD1491" s="55">
        <f t="shared" si="837"/>
        <v>1</v>
      </c>
      <c r="AE1491" s="55"/>
      <c r="AF1491" s="55"/>
      <c r="AG1491" s="56">
        <v>1</v>
      </c>
      <c r="AH1491" s="57">
        <v>1</v>
      </c>
      <c r="AI1491" s="56"/>
      <c r="AJ1491" s="57" t="str">
        <f t="shared" si="839"/>
        <v/>
      </c>
      <c r="AK1491" s="56">
        <v>1</v>
      </c>
      <c r="AL1491" s="57">
        <v>9</v>
      </c>
      <c r="AM1491" s="56"/>
      <c r="AN1491" s="57" t="str">
        <f t="shared" si="841"/>
        <v/>
      </c>
      <c r="AO1491" s="56"/>
      <c r="AP1491" s="57" t="str">
        <f t="shared" si="842"/>
        <v/>
      </c>
      <c r="AQ1491" s="56"/>
      <c r="AR1491" s="57" t="str">
        <f t="shared" si="843"/>
        <v/>
      </c>
      <c r="AS1491" s="56"/>
      <c r="AT1491" s="57" t="str">
        <f t="shared" si="844"/>
        <v/>
      </c>
      <c r="AU1491" s="58"/>
      <c r="AV1491" s="59"/>
      <c r="AW1491" s="59"/>
      <c r="AX1491" s="60"/>
      <c r="AY1491" s="61">
        <v>1</v>
      </c>
      <c r="AZ1491" s="62">
        <f t="shared" si="846"/>
        <v>1</v>
      </c>
      <c r="BA1491" s="61">
        <f t="shared" si="847"/>
        <v>0</v>
      </c>
      <c r="BB1491" s="62" t="str">
        <f t="shared" si="848"/>
        <v/>
      </c>
    </row>
    <row r="1492" spans="1:54" hidden="1" x14ac:dyDescent="0.35">
      <c r="A1492" s="73">
        <f t="shared" si="799"/>
        <v>2019</v>
      </c>
      <c r="B1492" s="73" t="str">
        <f t="shared" si="824"/>
        <v>Nov</v>
      </c>
      <c r="C1492" s="74">
        <f t="shared" si="825"/>
        <v>17</v>
      </c>
      <c r="D1492" s="75">
        <f t="shared" si="826"/>
        <v>14</v>
      </c>
      <c r="E1492" s="76">
        <v>38</v>
      </c>
      <c r="F1492" s="80">
        <v>25</v>
      </c>
      <c r="G1492" s="83"/>
      <c r="H1492" s="69" t="str">
        <f t="shared" si="827"/>
        <v>Senbur6_20191117_14_00</v>
      </c>
      <c r="I1492" s="70">
        <f t="shared" ref="I1492:N1492" si="940">I1491</f>
        <v>1</v>
      </c>
      <c r="J1492" s="77" t="str">
        <f t="shared" si="940"/>
        <v>Senecio</v>
      </c>
      <c r="K1492" s="77" t="str">
        <f t="shared" si="940"/>
        <v>burtoni</v>
      </c>
      <c r="L1492" s="78">
        <f t="shared" si="940"/>
        <v>6</v>
      </c>
      <c r="M1492" s="78">
        <f t="shared" si="940"/>
        <v>12</v>
      </c>
      <c r="N1492" s="72">
        <f t="shared" si="940"/>
        <v>0</v>
      </c>
      <c r="O1492" s="45"/>
      <c r="P1492" s="46">
        <f t="shared" si="829"/>
        <v>1</v>
      </c>
      <c r="Q1492" s="47" t="str">
        <f t="shared" si="830"/>
        <v>14:38:25</v>
      </c>
      <c r="R1492" s="48" t="str">
        <f t="shared" si="831"/>
        <v>38:25</v>
      </c>
      <c r="S1492" s="49">
        <f t="shared" si="832"/>
        <v>2</v>
      </c>
      <c r="T1492" s="48" t="str">
        <f t="shared" si="833"/>
        <v>14</v>
      </c>
      <c r="U1492" s="50">
        <v>38</v>
      </c>
      <c r="V1492" s="51">
        <v>27</v>
      </c>
      <c r="W1492" s="52" t="str">
        <f t="shared" si="834"/>
        <v>38:27</v>
      </c>
      <c r="X1492" s="53" t="s">
        <v>61</v>
      </c>
      <c r="Y1492" s="97" t="s">
        <v>84</v>
      </c>
      <c r="Z1492" s="97" t="s">
        <v>80</v>
      </c>
      <c r="AA1492" s="48" t="s">
        <v>60</v>
      </c>
      <c r="AB1492" s="48" t="str">
        <f t="shared" si="835"/>
        <v>NA</v>
      </c>
      <c r="AC1492" s="54">
        <f t="shared" si="836"/>
        <v>0</v>
      </c>
      <c r="AD1492" s="55">
        <f t="shared" si="837"/>
        <v>1</v>
      </c>
      <c r="AE1492" s="55"/>
      <c r="AF1492" s="55"/>
      <c r="AG1492" s="56">
        <v>1</v>
      </c>
      <c r="AH1492" s="57">
        <f t="shared" si="838"/>
        <v>2</v>
      </c>
      <c r="AI1492" s="56"/>
      <c r="AJ1492" s="57" t="str">
        <f t="shared" si="839"/>
        <v/>
      </c>
      <c r="AK1492" s="56"/>
      <c r="AL1492" s="57" t="str">
        <f t="shared" si="840"/>
        <v/>
      </c>
      <c r="AM1492" s="56"/>
      <c r="AN1492" s="57" t="str">
        <f t="shared" si="841"/>
        <v/>
      </c>
      <c r="AO1492" s="56"/>
      <c r="AP1492" s="57" t="str">
        <f t="shared" si="842"/>
        <v/>
      </c>
      <c r="AQ1492" s="56"/>
      <c r="AR1492" s="57" t="str">
        <f t="shared" si="843"/>
        <v/>
      </c>
      <c r="AS1492" s="56"/>
      <c r="AT1492" s="57" t="str">
        <f t="shared" si="844"/>
        <v/>
      </c>
      <c r="AU1492" s="58"/>
      <c r="AV1492" s="59"/>
      <c r="AW1492" s="59"/>
      <c r="AX1492" s="60"/>
      <c r="AY1492" s="61">
        <f t="shared" si="845"/>
        <v>0</v>
      </c>
      <c r="AZ1492" s="62" t="str">
        <f t="shared" si="846"/>
        <v/>
      </c>
      <c r="BA1492" s="61">
        <f t="shared" si="847"/>
        <v>0</v>
      </c>
      <c r="BB1492" s="62" t="str">
        <f t="shared" si="848"/>
        <v/>
      </c>
    </row>
    <row r="1493" spans="1:54" hidden="1" x14ac:dyDescent="0.35">
      <c r="A1493" s="73">
        <f t="shared" si="799"/>
        <v>2019</v>
      </c>
      <c r="B1493" s="73" t="str">
        <f t="shared" si="824"/>
        <v>Nov</v>
      </c>
      <c r="C1493" s="74">
        <f t="shared" si="825"/>
        <v>17</v>
      </c>
      <c r="D1493" s="75">
        <f t="shared" si="826"/>
        <v>14</v>
      </c>
      <c r="E1493" s="76">
        <v>38</v>
      </c>
      <c r="F1493" s="80">
        <v>27</v>
      </c>
      <c r="G1493" s="83"/>
      <c r="H1493" s="69" t="str">
        <f t="shared" si="827"/>
        <v>Senbur6_20191117_14_00</v>
      </c>
      <c r="I1493" s="70">
        <f t="shared" ref="I1493:N1493" si="941">I1492</f>
        <v>1</v>
      </c>
      <c r="J1493" s="77" t="str">
        <f t="shared" si="941"/>
        <v>Senecio</v>
      </c>
      <c r="K1493" s="77" t="str">
        <f t="shared" si="941"/>
        <v>burtoni</v>
      </c>
      <c r="L1493" s="78">
        <f t="shared" si="941"/>
        <v>6</v>
      </c>
      <c r="M1493" s="78">
        <f t="shared" si="941"/>
        <v>12</v>
      </c>
      <c r="N1493" s="72">
        <f t="shared" si="941"/>
        <v>0</v>
      </c>
      <c r="O1493" s="45"/>
      <c r="P1493" s="46">
        <f t="shared" si="829"/>
        <v>1</v>
      </c>
      <c r="Q1493" s="47" t="str">
        <f t="shared" si="830"/>
        <v>14:38:27</v>
      </c>
      <c r="R1493" s="48" t="str">
        <f t="shared" si="831"/>
        <v>38:27</v>
      </c>
      <c r="S1493" s="49">
        <f t="shared" si="832"/>
        <v>44</v>
      </c>
      <c r="T1493" s="48" t="str">
        <f t="shared" si="833"/>
        <v>14</v>
      </c>
      <c r="U1493" s="50">
        <v>39</v>
      </c>
      <c r="V1493" s="51">
        <v>11</v>
      </c>
      <c r="W1493" s="52" t="str">
        <f t="shared" si="834"/>
        <v>39:11</v>
      </c>
      <c r="X1493" s="53" t="s">
        <v>59</v>
      </c>
      <c r="Y1493" s="97" t="s">
        <v>78</v>
      </c>
      <c r="Z1493" s="97"/>
      <c r="AA1493" s="48" t="s">
        <v>60</v>
      </c>
      <c r="AB1493" s="48" t="str">
        <f t="shared" si="835"/>
        <v>NA</v>
      </c>
      <c r="AC1493" s="54">
        <f t="shared" si="836"/>
        <v>0</v>
      </c>
      <c r="AD1493" s="55">
        <v>2</v>
      </c>
      <c r="AE1493" s="55"/>
      <c r="AF1493" s="55"/>
      <c r="AG1493" s="56" t="str">
        <f t="shared" si="851"/>
        <v/>
      </c>
      <c r="AH1493" s="57" t="str">
        <f t="shared" si="838"/>
        <v/>
      </c>
      <c r="AI1493" s="56">
        <v>1</v>
      </c>
      <c r="AJ1493" s="57">
        <v>1</v>
      </c>
      <c r="AK1493" s="56">
        <v>1</v>
      </c>
      <c r="AL1493" s="57">
        <v>43</v>
      </c>
      <c r="AM1493" s="56"/>
      <c r="AN1493" s="57" t="str">
        <f t="shared" si="841"/>
        <v/>
      </c>
      <c r="AO1493" s="56"/>
      <c r="AP1493" s="57" t="str">
        <f t="shared" si="842"/>
        <v/>
      </c>
      <c r="AQ1493" s="56"/>
      <c r="AR1493" s="57" t="str">
        <f t="shared" si="843"/>
        <v/>
      </c>
      <c r="AS1493" s="56"/>
      <c r="AT1493" s="57" t="str">
        <f t="shared" si="844"/>
        <v/>
      </c>
      <c r="AU1493" s="58"/>
      <c r="AV1493" s="59"/>
      <c r="AW1493" s="59"/>
      <c r="AX1493" s="60"/>
      <c r="AY1493" s="61">
        <v>1</v>
      </c>
      <c r="AZ1493" s="62">
        <f t="shared" si="846"/>
        <v>2</v>
      </c>
      <c r="BA1493" s="61">
        <f t="shared" si="847"/>
        <v>0</v>
      </c>
      <c r="BB1493" s="62" t="str">
        <f t="shared" si="848"/>
        <v/>
      </c>
    </row>
    <row r="1494" spans="1:54" hidden="1" x14ac:dyDescent="0.35">
      <c r="A1494" s="73">
        <f t="shared" si="799"/>
        <v>2019</v>
      </c>
      <c r="B1494" s="73" t="str">
        <f t="shared" si="824"/>
        <v>Nov</v>
      </c>
      <c r="C1494" s="74">
        <f t="shared" si="825"/>
        <v>17</v>
      </c>
      <c r="D1494" s="75">
        <f t="shared" si="826"/>
        <v>14</v>
      </c>
      <c r="E1494" s="76">
        <f t="shared" si="802"/>
        <v>39</v>
      </c>
      <c r="F1494" s="80">
        <v>5</v>
      </c>
      <c r="G1494" s="83"/>
      <c r="H1494" s="69" t="str">
        <f t="shared" si="827"/>
        <v>Senbur6_20191117_14_00</v>
      </c>
      <c r="I1494" s="70">
        <f t="shared" ref="I1494:N1494" si="942">I1493</f>
        <v>1</v>
      </c>
      <c r="J1494" s="77" t="str">
        <f t="shared" si="942"/>
        <v>Senecio</v>
      </c>
      <c r="K1494" s="77" t="str">
        <f t="shared" si="942"/>
        <v>burtoni</v>
      </c>
      <c r="L1494" s="78">
        <f t="shared" si="942"/>
        <v>6</v>
      </c>
      <c r="M1494" s="78">
        <f t="shared" si="942"/>
        <v>12</v>
      </c>
      <c r="N1494" s="72">
        <f t="shared" si="942"/>
        <v>0</v>
      </c>
      <c r="O1494" s="45"/>
      <c r="P1494" s="46">
        <f t="shared" si="829"/>
        <v>1</v>
      </c>
      <c r="Q1494" s="47" t="str">
        <f t="shared" si="830"/>
        <v>14:39:05</v>
      </c>
      <c r="R1494" s="48" t="str">
        <f t="shared" si="831"/>
        <v>39:05</v>
      </c>
      <c r="S1494" s="49">
        <f t="shared" si="832"/>
        <v>12</v>
      </c>
      <c r="T1494" s="48" t="str">
        <f t="shared" si="833"/>
        <v>14</v>
      </c>
      <c r="U1494" s="50">
        <v>39</v>
      </c>
      <c r="V1494" s="51">
        <v>17</v>
      </c>
      <c r="W1494" s="52" t="str">
        <f t="shared" si="834"/>
        <v>39:17</v>
      </c>
      <c r="X1494" s="53" t="s">
        <v>61</v>
      </c>
      <c r="Y1494" s="97" t="s">
        <v>84</v>
      </c>
      <c r="Z1494" s="97" t="s">
        <v>80</v>
      </c>
      <c r="AA1494" s="48" t="s">
        <v>60</v>
      </c>
      <c r="AB1494" s="48" t="str">
        <f t="shared" si="835"/>
        <v>NA</v>
      </c>
      <c r="AC1494" s="54">
        <f t="shared" si="836"/>
        <v>0</v>
      </c>
      <c r="AD1494" s="55">
        <f t="shared" si="837"/>
        <v>1</v>
      </c>
      <c r="AE1494" s="55"/>
      <c r="AF1494" s="55"/>
      <c r="AG1494" s="56" t="str">
        <f t="shared" si="851"/>
        <v/>
      </c>
      <c r="AH1494" s="57" t="str">
        <f t="shared" si="838"/>
        <v/>
      </c>
      <c r="AI1494" s="56"/>
      <c r="AJ1494" s="57" t="str">
        <f t="shared" si="839"/>
        <v/>
      </c>
      <c r="AK1494" s="56">
        <v>1</v>
      </c>
      <c r="AL1494" s="57">
        <f t="shared" si="840"/>
        <v>12</v>
      </c>
      <c r="AM1494" s="56"/>
      <c r="AN1494" s="57" t="str">
        <f t="shared" si="841"/>
        <v/>
      </c>
      <c r="AO1494" s="56"/>
      <c r="AP1494" s="57" t="str">
        <f t="shared" si="842"/>
        <v/>
      </c>
      <c r="AQ1494" s="56"/>
      <c r="AR1494" s="57" t="str">
        <f t="shared" si="843"/>
        <v/>
      </c>
      <c r="AS1494" s="56"/>
      <c r="AT1494" s="57" t="str">
        <f t="shared" si="844"/>
        <v/>
      </c>
      <c r="AU1494" s="58"/>
      <c r="AV1494" s="59"/>
      <c r="AW1494" s="59"/>
      <c r="AX1494" s="60"/>
      <c r="AY1494" s="61">
        <v>1</v>
      </c>
      <c r="AZ1494" s="62">
        <f t="shared" si="846"/>
        <v>1</v>
      </c>
      <c r="BA1494" s="61">
        <f t="shared" si="847"/>
        <v>0</v>
      </c>
      <c r="BB1494" s="62" t="str">
        <f t="shared" si="848"/>
        <v/>
      </c>
    </row>
    <row r="1495" spans="1:54" hidden="1" x14ac:dyDescent="0.35">
      <c r="A1495" s="73">
        <f t="shared" si="799"/>
        <v>2019</v>
      </c>
      <c r="B1495" s="73" t="str">
        <f t="shared" si="824"/>
        <v>Nov</v>
      </c>
      <c r="C1495" s="74">
        <f t="shared" si="825"/>
        <v>17</v>
      </c>
      <c r="D1495" s="75">
        <f t="shared" si="826"/>
        <v>14</v>
      </c>
      <c r="E1495" s="76">
        <v>39</v>
      </c>
      <c r="F1495" s="80">
        <v>11</v>
      </c>
      <c r="G1495" s="83"/>
      <c r="H1495" s="69" t="str">
        <f t="shared" si="827"/>
        <v>Senbur6_20191117_14_00</v>
      </c>
      <c r="I1495" s="70">
        <f t="shared" ref="I1495:N1495" si="943">I1494</f>
        <v>1</v>
      </c>
      <c r="J1495" s="77" t="str">
        <f t="shared" si="943"/>
        <v>Senecio</v>
      </c>
      <c r="K1495" s="77" t="str">
        <f t="shared" si="943"/>
        <v>burtoni</v>
      </c>
      <c r="L1495" s="78">
        <f t="shared" si="943"/>
        <v>6</v>
      </c>
      <c r="M1495" s="78">
        <f t="shared" si="943"/>
        <v>12</v>
      </c>
      <c r="N1495" s="72">
        <f t="shared" si="943"/>
        <v>0</v>
      </c>
      <c r="O1495" s="45"/>
      <c r="P1495" s="46">
        <f t="shared" si="829"/>
        <v>1</v>
      </c>
      <c r="Q1495" s="47" t="str">
        <f t="shared" si="830"/>
        <v>14:39:11</v>
      </c>
      <c r="R1495" s="48" t="str">
        <f t="shared" si="831"/>
        <v>39:11</v>
      </c>
      <c r="S1495" s="49">
        <f t="shared" si="832"/>
        <v>6</v>
      </c>
      <c r="T1495" s="48" t="str">
        <f t="shared" si="833"/>
        <v>14</v>
      </c>
      <c r="U1495" s="50">
        <v>39</v>
      </c>
      <c r="V1495" s="51">
        <v>17</v>
      </c>
      <c r="W1495" s="52" t="str">
        <f t="shared" si="834"/>
        <v>39:17</v>
      </c>
      <c r="X1495" s="53" t="s">
        <v>73</v>
      </c>
      <c r="Y1495" s="97" t="s">
        <v>90</v>
      </c>
      <c r="Z1495" s="97"/>
      <c r="AA1495" s="48" t="s">
        <v>63</v>
      </c>
      <c r="AB1495" s="48" t="str">
        <f t="shared" si="835"/>
        <v>NA</v>
      </c>
      <c r="AC1495" s="54">
        <f t="shared" si="836"/>
        <v>0</v>
      </c>
      <c r="AD1495" s="55">
        <f t="shared" si="837"/>
        <v>1</v>
      </c>
      <c r="AE1495" s="55"/>
      <c r="AF1495" s="55"/>
      <c r="AG1495" s="56" t="str">
        <f t="shared" si="851"/>
        <v/>
      </c>
      <c r="AH1495" s="57" t="str">
        <f t="shared" si="838"/>
        <v/>
      </c>
      <c r="AI1495" s="56"/>
      <c r="AJ1495" s="57" t="str">
        <f t="shared" si="839"/>
        <v/>
      </c>
      <c r="AK1495" s="56">
        <v>1</v>
      </c>
      <c r="AL1495" s="57">
        <f t="shared" si="840"/>
        <v>6</v>
      </c>
      <c r="AM1495" s="56"/>
      <c r="AN1495" s="57" t="str">
        <f t="shared" si="841"/>
        <v/>
      </c>
      <c r="AO1495" s="56"/>
      <c r="AP1495" s="57" t="str">
        <f t="shared" si="842"/>
        <v/>
      </c>
      <c r="AQ1495" s="56"/>
      <c r="AR1495" s="57" t="str">
        <f t="shared" si="843"/>
        <v/>
      </c>
      <c r="AS1495" s="56"/>
      <c r="AT1495" s="57" t="str">
        <f t="shared" si="844"/>
        <v/>
      </c>
      <c r="AU1495" s="58"/>
      <c r="AV1495" s="59"/>
      <c r="AW1495" s="59"/>
      <c r="AX1495" s="60"/>
      <c r="AY1495" s="61">
        <v>1</v>
      </c>
      <c r="AZ1495" s="62">
        <f t="shared" si="846"/>
        <v>1</v>
      </c>
      <c r="BA1495" s="61">
        <f t="shared" si="847"/>
        <v>0</v>
      </c>
      <c r="BB1495" s="62" t="str">
        <f t="shared" si="848"/>
        <v/>
      </c>
    </row>
    <row r="1496" spans="1:54" hidden="1" x14ac:dyDescent="0.35">
      <c r="A1496" s="73">
        <f t="shared" si="799"/>
        <v>2019</v>
      </c>
      <c r="B1496" s="73" t="str">
        <f t="shared" si="824"/>
        <v>Nov</v>
      </c>
      <c r="C1496" s="74">
        <f t="shared" si="825"/>
        <v>17</v>
      </c>
      <c r="D1496" s="75">
        <f t="shared" si="826"/>
        <v>14</v>
      </c>
      <c r="E1496" s="76">
        <v>39</v>
      </c>
      <c r="F1496" s="80">
        <v>28</v>
      </c>
      <c r="G1496" s="83"/>
      <c r="H1496" s="69" t="str">
        <f t="shared" si="827"/>
        <v>Senbur6_20191117_14_00</v>
      </c>
      <c r="I1496" s="70">
        <f t="shared" ref="I1496:N1496" si="944">I1495</f>
        <v>1</v>
      </c>
      <c r="J1496" s="77" t="str">
        <f t="shared" si="944"/>
        <v>Senecio</v>
      </c>
      <c r="K1496" s="77" t="str">
        <f t="shared" si="944"/>
        <v>burtoni</v>
      </c>
      <c r="L1496" s="78">
        <f t="shared" si="944"/>
        <v>6</v>
      </c>
      <c r="M1496" s="78">
        <f t="shared" si="944"/>
        <v>12</v>
      </c>
      <c r="N1496" s="72">
        <f t="shared" si="944"/>
        <v>0</v>
      </c>
      <c r="O1496" s="45"/>
      <c r="P1496" s="46">
        <f t="shared" si="829"/>
        <v>1</v>
      </c>
      <c r="Q1496" s="47" t="str">
        <f t="shared" si="830"/>
        <v>14:39:28</v>
      </c>
      <c r="R1496" s="48" t="str">
        <f t="shared" si="831"/>
        <v>39:28</v>
      </c>
      <c r="S1496" s="49">
        <f t="shared" si="832"/>
        <v>14</v>
      </c>
      <c r="T1496" s="48" t="str">
        <f t="shared" si="833"/>
        <v>14</v>
      </c>
      <c r="U1496" s="50">
        <v>39</v>
      </c>
      <c r="V1496" s="51">
        <v>42</v>
      </c>
      <c r="W1496" s="52" t="str">
        <f t="shared" si="834"/>
        <v>39:42</v>
      </c>
      <c r="X1496" s="53" t="s">
        <v>61</v>
      </c>
      <c r="Y1496" s="97" t="s">
        <v>84</v>
      </c>
      <c r="Z1496" s="97" t="s">
        <v>80</v>
      </c>
      <c r="AA1496" s="48" t="s">
        <v>60</v>
      </c>
      <c r="AB1496" s="48" t="str">
        <f t="shared" si="835"/>
        <v>NA</v>
      </c>
      <c r="AC1496" s="54">
        <f t="shared" si="836"/>
        <v>0</v>
      </c>
      <c r="AD1496" s="55">
        <f t="shared" si="837"/>
        <v>1</v>
      </c>
      <c r="AE1496" s="55"/>
      <c r="AF1496" s="55"/>
      <c r="AG1496" s="56" t="str">
        <f t="shared" si="851"/>
        <v/>
      </c>
      <c r="AH1496" s="57" t="str">
        <f t="shared" si="838"/>
        <v/>
      </c>
      <c r="AI1496" s="56"/>
      <c r="AJ1496" s="57" t="str">
        <f t="shared" si="839"/>
        <v/>
      </c>
      <c r="AK1496" s="56">
        <v>1</v>
      </c>
      <c r="AL1496" s="57">
        <f t="shared" si="840"/>
        <v>14</v>
      </c>
      <c r="AM1496" s="56"/>
      <c r="AN1496" s="57" t="str">
        <f t="shared" si="841"/>
        <v/>
      </c>
      <c r="AO1496" s="56"/>
      <c r="AP1496" s="57" t="str">
        <f t="shared" si="842"/>
        <v/>
      </c>
      <c r="AQ1496" s="56"/>
      <c r="AR1496" s="57" t="str">
        <f t="shared" si="843"/>
        <v/>
      </c>
      <c r="AS1496" s="56"/>
      <c r="AT1496" s="57" t="str">
        <f t="shared" si="844"/>
        <v/>
      </c>
      <c r="AU1496" s="58"/>
      <c r="AV1496" s="59"/>
      <c r="AW1496" s="59"/>
      <c r="AX1496" s="60"/>
      <c r="AY1496" s="61">
        <v>1</v>
      </c>
      <c r="AZ1496" s="62">
        <f t="shared" si="846"/>
        <v>1</v>
      </c>
      <c r="BA1496" s="61">
        <f t="shared" si="847"/>
        <v>0</v>
      </c>
      <c r="BB1496" s="62" t="str">
        <f t="shared" si="848"/>
        <v/>
      </c>
    </row>
    <row r="1497" spans="1:54" hidden="1" x14ac:dyDescent="0.35">
      <c r="A1497" s="73">
        <f t="shared" ref="A1497:A1563" si="945">A1496</f>
        <v>2019</v>
      </c>
      <c r="B1497" s="73" t="str">
        <f t="shared" si="824"/>
        <v>Nov</v>
      </c>
      <c r="C1497" s="74">
        <f t="shared" si="825"/>
        <v>17</v>
      </c>
      <c r="D1497" s="75">
        <f t="shared" si="826"/>
        <v>14</v>
      </c>
      <c r="E1497" s="76">
        <f t="shared" ref="E1497:E1562" si="946">IF(E1496&lt;59,E1496+1,0)</f>
        <v>40</v>
      </c>
      <c r="F1497" s="80">
        <v>51</v>
      </c>
      <c r="G1497" s="83"/>
      <c r="H1497" s="69" t="str">
        <f t="shared" si="827"/>
        <v>Senbur6_20191117_14_00</v>
      </c>
      <c r="I1497" s="70">
        <f t="shared" ref="I1497:N1497" si="947">I1496</f>
        <v>1</v>
      </c>
      <c r="J1497" s="77" t="str">
        <f t="shared" si="947"/>
        <v>Senecio</v>
      </c>
      <c r="K1497" s="77" t="str">
        <f t="shared" si="947"/>
        <v>burtoni</v>
      </c>
      <c r="L1497" s="78">
        <f t="shared" si="947"/>
        <v>6</v>
      </c>
      <c r="M1497" s="78">
        <f t="shared" si="947"/>
        <v>12</v>
      </c>
      <c r="N1497" s="72">
        <f t="shared" si="947"/>
        <v>0</v>
      </c>
      <c r="O1497" s="45"/>
      <c r="P1497" s="46">
        <f t="shared" si="829"/>
        <v>1</v>
      </c>
      <c r="Q1497" s="47" t="str">
        <f t="shared" si="830"/>
        <v>14:40:51</v>
      </c>
      <c r="R1497" s="48" t="str">
        <f t="shared" si="831"/>
        <v>40:51</v>
      </c>
      <c r="S1497" s="49">
        <f t="shared" si="832"/>
        <v>23</v>
      </c>
      <c r="T1497" s="48" t="str">
        <f t="shared" si="833"/>
        <v>14</v>
      </c>
      <c r="U1497" s="50">
        <v>41</v>
      </c>
      <c r="V1497" s="51">
        <v>14</v>
      </c>
      <c r="W1497" s="52" t="str">
        <f t="shared" si="834"/>
        <v>41:14</v>
      </c>
      <c r="X1497" s="53" t="s">
        <v>61</v>
      </c>
      <c r="Y1497" s="97" t="s">
        <v>78</v>
      </c>
      <c r="Z1497" s="97"/>
      <c r="AA1497" s="48" t="s">
        <v>60</v>
      </c>
      <c r="AB1497" s="48" t="str">
        <f t="shared" si="835"/>
        <v>NA</v>
      </c>
      <c r="AC1497" s="54">
        <f t="shared" si="836"/>
        <v>0</v>
      </c>
      <c r="AD1497" s="55">
        <v>2</v>
      </c>
      <c r="AE1497" s="55"/>
      <c r="AF1497" s="55"/>
      <c r="AG1497" s="56" t="str">
        <f t="shared" si="851"/>
        <v/>
      </c>
      <c r="AH1497" s="57" t="str">
        <f t="shared" si="838"/>
        <v/>
      </c>
      <c r="AI1497" s="56">
        <v>1</v>
      </c>
      <c r="AJ1497" s="57">
        <v>1</v>
      </c>
      <c r="AK1497" s="56">
        <v>1</v>
      </c>
      <c r="AL1497" s="57">
        <v>22</v>
      </c>
      <c r="AM1497" s="56"/>
      <c r="AN1497" s="57" t="str">
        <f t="shared" si="841"/>
        <v/>
      </c>
      <c r="AO1497" s="56"/>
      <c r="AP1497" s="57" t="str">
        <f t="shared" si="842"/>
        <v/>
      </c>
      <c r="AQ1497" s="56"/>
      <c r="AR1497" s="57" t="str">
        <f t="shared" si="843"/>
        <v/>
      </c>
      <c r="AS1497" s="56"/>
      <c r="AT1497" s="57" t="str">
        <f t="shared" si="844"/>
        <v/>
      </c>
      <c r="AU1497" s="58"/>
      <c r="AV1497" s="59"/>
      <c r="AW1497" s="59"/>
      <c r="AX1497" s="60"/>
      <c r="AY1497" s="61">
        <v>1</v>
      </c>
      <c r="AZ1497" s="62">
        <f t="shared" si="846"/>
        <v>2</v>
      </c>
      <c r="BA1497" s="61">
        <f t="shared" si="847"/>
        <v>0</v>
      </c>
      <c r="BB1497" s="62" t="str">
        <f t="shared" si="848"/>
        <v/>
      </c>
    </row>
    <row r="1498" spans="1:54" hidden="1" x14ac:dyDescent="0.35">
      <c r="A1498" s="73">
        <f t="shared" si="945"/>
        <v>2019</v>
      </c>
      <c r="B1498" s="73" t="str">
        <f t="shared" si="824"/>
        <v>Nov</v>
      </c>
      <c r="C1498" s="74">
        <f t="shared" si="825"/>
        <v>17</v>
      </c>
      <c r="D1498" s="75">
        <f t="shared" si="826"/>
        <v>14</v>
      </c>
      <c r="E1498" s="76">
        <f t="shared" si="946"/>
        <v>41</v>
      </c>
      <c r="F1498" s="80">
        <v>13</v>
      </c>
      <c r="G1498" s="83"/>
      <c r="H1498" s="69" t="str">
        <f t="shared" si="827"/>
        <v>Senbur6_20191117_14_00</v>
      </c>
      <c r="I1498" s="70">
        <f t="shared" ref="I1498:N1498" si="948">I1497</f>
        <v>1</v>
      </c>
      <c r="J1498" s="77" t="str">
        <f t="shared" si="948"/>
        <v>Senecio</v>
      </c>
      <c r="K1498" s="77" t="str">
        <f t="shared" si="948"/>
        <v>burtoni</v>
      </c>
      <c r="L1498" s="78">
        <f t="shared" si="948"/>
        <v>6</v>
      </c>
      <c r="M1498" s="78">
        <f t="shared" si="948"/>
        <v>12</v>
      </c>
      <c r="N1498" s="72">
        <f t="shared" si="948"/>
        <v>0</v>
      </c>
      <c r="O1498" s="45"/>
      <c r="P1498" s="46">
        <f t="shared" si="829"/>
        <v>1</v>
      </c>
      <c r="Q1498" s="47" t="str">
        <f t="shared" si="830"/>
        <v>14:41:13</v>
      </c>
      <c r="R1498" s="48" t="str">
        <f t="shared" si="831"/>
        <v>41:13</v>
      </c>
      <c r="S1498" s="49">
        <f t="shared" si="832"/>
        <v>1</v>
      </c>
      <c r="T1498" s="48" t="str">
        <f t="shared" si="833"/>
        <v>14</v>
      </c>
      <c r="U1498" s="50">
        <v>41</v>
      </c>
      <c r="V1498" s="51">
        <v>14</v>
      </c>
      <c r="W1498" s="52" t="str">
        <f t="shared" si="834"/>
        <v>41:14</v>
      </c>
      <c r="X1498" s="53" t="s">
        <v>61</v>
      </c>
      <c r="Y1498" s="97" t="s">
        <v>78</v>
      </c>
      <c r="Z1498" s="97"/>
      <c r="AA1498" s="48" t="s">
        <v>60</v>
      </c>
      <c r="AB1498" s="48" t="str">
        <f t="shared" si="835"/>
        <v>NA</v>
      </c>
      <c r="AC1498" s="54">
        <f t="shared" si="836"/>
        <v>0</v>
      </c>
      <c r="AD1498" s="55">
        <f t="shared" si="837"/>
        <v>1</v>
      </c>
      <c r="AE1498" s="55"/>
      <c r="AF1498" s="55"/>
      <c r="AG1498" s="56">
        <v>1</v>
      </c>
      <c r="AH1498" s="57">
        <f t="shared" si="838"/>
        <v>1</v>
      </c>
      <c r="AI1498" s="56"/>
      <c r="AJ1498" s="57" t="str">
        <f t="shared" si="839"/>
        <v/>
      </c>
      <c r="AK1498" s="56"/>
      <c r="AL1498" s="57" t="str">
        <f t="shared" si="840"/>
        <v/>
      </c>
      <c r="AM1498" s="56"/>
      <c r="AN1498" s="57" t="str">
        <f t="shared" si="841"/>
        <v/>
      </c>
      <c r="AO1498" s="56"/>
      <c r="AP1498" s="57" t="str">
        <f t="shared" si="842"/>
        <v/>
      </c>
      <c r="AQ1498" s="56"/>
      <c r="AR1498" s="57" t="str">
        <f t="shared" si="843"/>
        <v/>
      </c>
      <c r="AS1498" s="56"/>
      <c r="AT1498" s="57" t="str">
        <f t="shared" si="844"/>
        <v/>
      </c>
      <c r="AU1498" s="58"/>
      <c r="AV1498" s="59"/>
      <c r="AW1498" s="59"/>
      <c r="AX1498" s="60"/>
      <c r="AY1498" s="61">
        <v>1</v>
      </c>
      <c r="AZ1498" s="62">
        <f t="shared" si="846"/>
        <v>1</v>
      </c>
      <c r="BA1498" s="61">
        <f t="shared" si="847"/>
        <v>0</v>
      </c>
      <c r="BB1498" s="62" t="str">
        <f t="shared" si="848"/>
        <v/>
      </c>
    </row>
    <row r="1499" spans="1:54" hidden="1" x14ac:dyDescent="0.35">
      <c r="A1499" s="73">
        <f t="shared" si="945"/>
        <v>2019</v>
      </c>
      <c r="B1499" s="73" t="str">
        <f t="shared" si="824"/>
        <v>Nov</v>
      </c>
      <c r="C1499" s="74">
        <f t="shared" si="825"/>
        <v>17</v>
      </c>
      <c r="D1499" s="75">
        <f t="shared" si="826"/>
        <v>14</v>
      </c>
      <c r="E1499" s="76">
        <f t="shared" si="946"/>
        <v>42</v>
      </c>
      <c r="F1499" s="80">
        <v>8</v>
      </c>
      <c r="G1499" s="83"/>
      <c r="H1499" s="69" t="str">
        <f t="shared" si="827"/>
        <v>Senbur6_20191117_14_00</v>
      </c>
      <c r="I1499" s="70">
        <f t="shared" ref="I1499:N1499" si="949">I1498</f>
        <v>1</v>
      </c>
      <c r="J1499" s="77" t="str">
        <f t="shared" si="949"/>
        <v>Senecio</v>
      </c>
      <c r="K1499" s="77" t="str">
        <f t="shared" si="949"/>
        <v>burtoni</v>
      </c>
      <c r="L1499" s="78">
        <f t="shared" si="949"/>
        <v>6</v>
      </c>
      <c r="M1499" s="78">
        <f t="shared" si="949"/>
        <v>12</v>
      </c>
      <c r="N1499" s="72">
        <f t="shared" si="949"/>
        <v>0</v>
      </c>
      <c r="O1499" s="45"/>
      <c r="P1499" s="46">
        <f t="shared" si="829"/>
        <v>1</v>
      </c>
      <c r="Q1499" s="47" t="str">
        <f t="shared" si="830"/>
        <v>14:42:08</v>
      </c>
      <c r="R1499" s="48" t="str">
        <f t="shared" si="831"/>
        <v>42:08</v>
      </c>
      <c r="S1499" s="49">
        <f t="shared" si="832"/>
        <v>25</v>
      </c>
      <c r="T1499" s="48" t="str">
        <f t="shared" si="833"/>
        <v>14</v>
      </c>
      <c r="U1499" s="50">
        <v>42</v>
      </c>
      <c r="V1499" s="51">
        <v>33</v>
      </c>
      <c r="W1499" s="52" t="str">
        <f t="shared" si="834"/>
        <v>42:33</v>
      </c>
      <c r="X1499" s="53" t="s">
        <v>61</v>
      </c>
      <c r="Y1499" s="97" t="s">
        <v>78</v>
      </c>
      <c r="Z1499" s="97"/>
      <c r="AA1499" s="48" t="s">
        <v>60</v>
      </c>
      <c r="AB1499" s="48" t="str">
        <f t="shared" si="835"/>
        <v>NA</v>
      </c>
      <c r="AC1499" s="54">
        <f t="shared" si="836"/>
        <v>0</v>
      </c>
      <c r="AD1499" s="55">
        <f t="shared" si="837"/>
        <v>1</v>
      </c>
      <c r="AE1499" s="55"/>
      <c r="AF1499" s="55"/>
      <c r="AG1499" s="56" t="str">
        <f t="shared" si="851"/>
        <v/>
      </c>
      <c r="AH1499" s="57" t="str">
        <f t="shared" si="838"/>
        <v/>
      </c>
      <c r="AI1499" s="56"/>
      <c r="AJ1499" s="57" t="str">
        <f t="shared" si="839"/>
        <v/>
      </c>
      <c r="AK1499" s="56">
        <v>1</v>
      </c>
      <c r="AL1499" s="57">
        <f t="shared" si="840"/>
        <v>25</v>
      </c>
      <c r="AM1499" s="56"/>
      <c r="AN1499" s="57" t="str">
        <f t="shared" si="841"/>
        <v/>
      </c>
      <c r="AO1499" s="56"/>
      <c r="AP1499" s="57" t="str">
        <f t="shared" si="842"/>
        <v/>
      </c>
      <c r="AQ1499" s="56"/>
      <c r="AR1499" s="57" t="str">
        <f t="shared" si="843"/>
        <v/>
      </c>
      <c r="AS1499" s="56"/>
      <c r="AT1499" s="57" t="str">
        <f t="shared" si="844"/>
        <v/>
      </c>
      <c r="AU1499" s="58"/>
      <c r="AV1499" s="59"/>
      <c r="AW1499" s="59"/>
      <c r="AX1499" s="60"/>
      <c r="AY1499" s="61">
        <v>1</v>
      </c>
      <c r="AZ1499" s="62">
        <f t="shared" si="846"/>
        <v>1</v>
      </c>
      <c r="BA1499" s="61">
        <f t="shared" si="847"/>
        <v>0</v>
      </c>
      <c r="BB1499" s="62" t="str">
        <f t="shared" si="848"/>
        <v/>
      </c>
    </row>
    <row r="1500" spans="1:54" hidden="1" x14ac:dyDescent="0.35">
      <c r="A1500" s="73">
        <f t="shared" si="945"/>
        <v>2019</v>
      </c>
      <c r="B1500" s="73" t="str">
        <f t="shared" si="824"/>
        <v>Nov</v>
      </c>
      <c r="C1500" s="74">
        <f t="shared" si="825"/>
        <v>17</v>
      </c>
      <c r="D1500" s="75">
        <f t="shared" si="826"/>
        <v>14</v>
      </c>
      <c r="E1500" s="76">
        <v>42</v>
      </c>
      <c r="F1500" s="80">
        <v>34</v>
      </c>
      <c r="G1500" s="83"/>
      <c r="H1500" s="69" t="str">
        <f t="shared" si="827"/>
        <v>Senbur6_20191117_14_00</v>
      </c>
      <c r="I1500" s="70">
        <f t="shared" ref="I1500:N1500" si="950">I1499</f>
        <v>1</v>
      </c>
      <c r="J1500" s="77" t="str">
        <f t="shared" si="950"/>
        <v>Senecio</v>
      </c>
      <c r="K1500" s="77" t="str">
        <f t="shared" si="950"/>
        <v>burtoni</v>
      </c>
      <c r="L1500" s="78">
        <f t="shared" si="950"/>
        <v>6</v>
      </c>
      <c r="M1500" s="78">
        <f t="shared" si="950"/>
        <v>12</v>
      </c>
      <c r="N1500" s="72">
        <f t="shared" si="950"/>
        <v>0</v>
      </c>
      <c r="O1500" s="45"/>
      <c r="P1500" s="46">
        <f t="shared" si="829"/>
        <v>1</v>
      </c>
      <c r="Q1500" s="47" t="str">
        <f t="shared" si="830"/>
        <v>14:42:34</v>
      </c>
      <c r="R1500" s="48" t="str">
        <f t="shared" si="831"/>
        <v>42:34</v>
      </c>
      <c r="S1500" s="49">
        <f t="shared" si="832"/>
        <v>242</v>
      </c>
      <c r="T1500" s="48" t="str">
        <f t="shared" si="833"/>
        <v>14</v>
      </c>
      <c r="U1500" s="50">
        <v>46</v>
      </c>
      <c r="V1500" s="51">
        <v>36</v>
      </c>
      <c r="W1500" s="52" t="str">
        <f t="shared" si="834"/>
        <v>46:36</v>
      </c>
      <c r="X1500" s="53" t="s">
        <v>61</v>
      </c>
      <c r="Y1500" s="97" t="s">
        <v>84</v>
      </c>
      <c r="Z1500" s="97" t="s">
        <v>80</v>
      </c>
      <c r="AA1500" s="48" t="s">
        <v>60</v>
      </c>
      <c r="AB1500" s="48" t="str">
        <f t="shared" si="835"/>
        <v>NA</v>
      </c>
      <c r="AC1500" s="54">
        <f t="shared" si="836"/>
        <v>0</v>
      </c>
      <c r="AD1500" s="55">
        <v>2</v>
      </c>
      <c r="AE1500" s="55"/>
      <c r="AF1500" s="55"/>
      <c r="AG1500" s="56">
        <v>1</v>
      </c>
      <c r="AH1500" s="57">
        <v>1</v>
      </c>
      <c r="AI1500" s="56">
        <v>1</v>
      </c>
      <c r="AJ1500" s="57">
        <v>1</v>
      </c>
      <c r="AK1500" s="56">
        <v>1</v>
      </c>
      <c r="AL1500" s="57">
        <v>240</v>
      </c>
      <c r="AM1500" s="56"/>
      <c r="AN1500" s="57" t="str">
        <f t="shared" si="841"/>
        <v/>
      </c>
      <c r="AO1500" s="56"/>
      <c r="AP1500" s="57" t="str">
        <f t="shared" si="842"/>
        <v/>
      </c>
      <c r="AQ1500" s="56"/>
      <c r="AR1500" s="57" t="str">
        <f t="shared" si="843"/>
        <v/>
      </c>
      <c r="AS1500" s="56"/>
      <c r="AT1500" s="57" t="str">
        <f t="shared" si="844"/>
        <v/>
      </c>
      <c r="AU1500" s="58"/>
      <c r="AV1500" s="59"/>
      <c r="AW1500" s="59"/>
      <c r="AX1500" s="60"/>
      <c r="AY1500" s="61">
        <v>1</v>
      </c>
      <c r="AZ1500" s="62">
        <f t="shared" si="846"/>
        <v>2</v>
      </c>
      <c r="BA1500" s="61">
        <f t="shared" si="847"/>
        <v>0</v>
      </c>
      <c r="BB1500" s="62" t="str">
        <f t="shared" si="848"/>
        <v/>
      </c>
    </row>
    <row r="1501" spans="1:54" hidden="1" x14ac:dyDescent="0.35">
      <c r="A1501" s="73">
        <f t="shared" si="945"/>
        <v>2019</v>
      </c>
      <c r="B1501" s="73" t="str">
        <f t="shared" si="824"/>
        <v>Nov</v>
      </c>
      <c r="C1501" s="74">
        <f t="shared" si="825"/>
        <v>17</v>
      </c>
      <c r="D1501" s="75">
        <f t="shared" si="826"/>
        <v>14</v>
      </c>
      <c r="E1501" s="76">
        <f t="shared" si="946"/>
        <v>43</v>
      </c>
      <c r="F1501" s="80"/>
      <c r="G1501" s="83"/>
      <c r="H1501" s="69" t="str">
        <f t="shared" si="827"/>
        <v>Senbur6_20191117_14_00</v>
      </c>
      <c r="I1501" s="70">
        <f t="shared" ref="I1501:N1501" si="951">I1500</f>
        <v>1</v>
      </c>
      <c r="J1501" s="77" t="str">
        <f t="shared" si="951"/>
        <v>Senecio</v>
      </c>
      <c r="K1501" s="77" t="str">
        <f t="shared" si="951"/>
        <v>burtoni</v>
      </c>
      <c r="L1501" s="78">
        <f t="shared" si="951"/>
        <v>6</v>
      </c>
      <c r="M1501" s="78">
        <f t="shared" si="951"/>
        <v>12</v>
      </c>
      <c r="N1501" s="72">
        <f t="shared" si="951"/>
        <v>0</v>
      </c>
      <c r="O1501" s="45"/>
      <c r="P1501" s="46" t="str">
        <f t="shared" si="829"/>
        <v/>
      </c>
      <c r="Q1501" s="47" t="str">
        <f t="shared" si="830"/>
        <v/>
      </c>
      <c r="R1501" s="48" t="e">
        <f t="shared" si="831"/>
        <v>#VALUE!</v>
      </c>
      <c r="S1501" s="49" t="e">
        <f t="shared" si="832"/>
        <v>#VALUE!</v>
      </c>
      <c r="T1501" s="48" t="str">
        <f t="shared" si="833"/>
        <v/>
      </c>
      <c r="U1501" s="50"/>
      <c r="V1501" s="51"/>
      <c r="W1501" s="52" t="e">
        <f t="shared" si="834"/>
        <v>#VALUE!</v>
      </c>
      <c r="X1501" s="53"/>
      <c r="Y1501" s="53"/>
      <c r="Z1501" s="53"/>
      <c r="AA1501" s="48"/>
      <c r="AB1501" s="48" t="str">
        <f t="shared" si="835"/>
        <v/>
      </c>
      <c r="AC1501" s="54" t="e">
        <f t="shared" si="836"/>
        <v>#VALUE!</v>
      </c>
      <c r="AD1501" s="55" t="str">
        <f t="shared" si="837"/>
        <v/>
      </c>
      <c r="AE1501" s="55"/>
      <c r="AF1501" s="55"/>
      <c r="AG1501" s="56" t="str">
        <f t="shared" si="851"/>
        <v/>
      </c>
      <c r="AH1501" s="57" t="str">
        <f t="shared" si="838"/>
        <v/>
      </c>
      <c r="AI1501" s="56"/>
      <c r="AJ1501" s="57"/>
      <c r="AK1501" s="56"/>
      <c r="AL1501" s="57" t="str">
        <f t="shared" si="840"/>
        <v/>
      </c>
      <c r="AM1501" s="56"/>
      <c r="AN1501" s="57" t="str">
        <f t="shared" si="841"/>
        <v/>
      </c>
      <c r="AO1501" s="56"/>
      <c r="AP1501" s="57" t="str">
        <f t="shared" si="842"/>
        <v/>
      </c>
      <c r="AQ1501" s="56"/>
      <c r="AR1501" s="57" t="str">
        <f t="shared" si="843"/>
        <v/>
      </c>
      <c r="AS1501" s="56"/>
      <c r="AT1501" s="57" t="str">
        <f t="shared" si="844"/>
        <v/>
      </c>
      <c r="AU1501" s="58"/>
      <c r="AV1501" s="59"/>
      <c r="AW1501" s="59"/>
      <c r="AX1501" s="60"/>
      <c r="AY1501" s="61" t="str">
        <f t="shared" si="845"/>
        <v/>
      </c>
      <c r="AZ1501" s="62" t="str">
        <f t="shared" si="846"/>
        <v/>
      </c>
      <c r="BA1501" s="61" t="str">
        <f t="shared" si="847"/>
        <v/>
      </c>
      <c r="BB1501" s="62" t="str">
        <f t="shared" si="848"/>
        <v/>
      </c>
    </row>
    <row r="1502" spans="1:54" hidden="1" x14ac:dyDescent="0.35">
      <c r="A1502" s="73">
        <f t="shared" si="945"/>
        <v>2019</v>
      </c>
      <c r="B1502" s="73" t="str">
        <f t="shared" si="824"/>
        <v>Nov</v>
      </c>
      <c r="C1502" s="74">
        <f t="shared" si="825"/>
        <v>17</v>
      </c>
      <c r="D1502" s="75">
        <f t="shared" si="826"/>
        <v>14</v>
      </c>
      <c r="E1502" s="76">
        <f t="shared" si="946"/>
        <v>44</v>
      </c>
      <c r="F1502" s="80">
        <v>36</v>
      </c>
      <c r="G1502" s="83"/>
      <c r="H1502" s="69" t="str">
        <f t="shared" si="827"/>
        <v>Senbur6_20191117_14_00</v>
      </c>
      <c r="I1502" s="70">
        <f t="shared" ref="I1502:N1502" si="952">I1501</f>
        <v>1</v>
      </c>
      <c r="J1502" s="77" t="str">
        <f t="shared" si="952"/>
        <v>Senecio</v>
      </c>
      <c r="K1502" s="77" t="str">
        <f t="shared" si="952"/>
        <v>burtoni</v>
      </c>
      <c r="L1502" s="78">
        <f t="shared" si="952"/>
        <v>6</v>
      </c>
      <c r="M1502" s="78">
        <f t="shared" si="952"/>
        <v>12</v>
      </c>
      <c r="N1502" s="72">
        <f t="shared" si="952"/>
        <v>0</v>
      </c>
      <c r="O1502" s="45"/>
      <c r="P1502" s="46">
        <f t="shared" si="829"/>
        <v>1</v>
      </c>
      <c r="Q1502" s="47" t="str">
        <f t="shared" si="830"/>
        <v>14:44:36</v>
      </c>
      <c r="R1502" s="48" t="str">
        <f t="shared" si="831"/>
        <v>44:36</v>
      </c>
      <c r="S1502" s="49">
        <f t="shared" si="832"/>
        <v>37</v>
      </c>
      <c r="T1502" s="48" t="str">
        <f t="shared" si="833"/>
        <v>14</v>
      </c>
      <c r="U1502" s="50">
        <v>45</v>
      </c>
      <c r="V1502" s="51">
        <v>13</v>
      </c>
      <c r="W1502" s="52" t="str">
        <f t="shared" si="834"/>
        <v>45:13</v>
      </c>
      <c r="X1502" s="53" t="s">
        <v>61</v>
      </c>
      <c r="Y1502" s="97" t="s">
        <v>78</v>
      </c>
      <c r="Z1502" s="97"/>
      <c r="AA1502" s="48" t="s">
        <v>60</v>
      </c>
      <c r="AB1502" s="48" t="str">
        <f t="shared" si="835"/>
        <v>NA</v>
      </c>
      <c r="AC1502" s="54">
        <f t="shared" si="836"/>
        <v>0</v>
      </c>
      <c r="AD1502" s="55">
        <f t="shared" si="837"/>
        <v>1</v>
      </c>
      <c r="AE1502" s="55"/>
      <c r="AF1502" s="55"/>
      <c r="AG1502" s="56" t="str">
        <f t="shared" si="851"/>
        <v/>
      </c>
      <c r="AH1502" s="57" t="str">
        <f t="shared" si="838"/>
        <v/>
      </c>
      <c r="AI1502" s="56"/>
      <c r="AJ1502" s="57" t="str">
        <f t="shared" si="839"/>
        <v/>
      </c>
      <c r="AK1502" s="56">
        <v>1</v>
      </c>
      <c r="AL1502" s="57">
        <f t="shared" si="840"/>
        <v>37</v>
      </c>
      <c r="AM1502" s="56"/>
      <c r="AN1502" s="57" t="str">
        <f t="shared" si="841"/>
        <v/>
      </c>
      <c r="AO1502" s="56"/>
      <c r="AP1502" s="57" t="str">
        <f t="shared" si="842"/>
        <v/>
      </c>
      <c r="AQ1502" s="56"/>
      <c r="AR1502" s="57" t="str">
        <f t="shared" si="843"/>
        <v/>
      </c>
      <c r="AS1502" s="56"/>
      <c r="AT1502" s="57" t="str">
        <f t="shared" si="844"/>
        <v/>
      </c>
      <c r="AU1502" s="58"/>
      <c r="AV1502" s="59"/>
      <c r="AW1502" s="59"/>
      <c r="AX1502" s="60"/>
      <c r="AY1502" s="61">
        <v>1</v>
      </c>
      <c r="AZ1502" s="62">
        <f t="shared" si="846"/>
        <v>1</v>
      </c>
      <c r="BA1502" s="61">
        <f t="shared" si="847"/>
        <v>0</v>
      </c>
      <c r="BB1502" s="62" t="str">
        <f t="shared" si="848"/>
        <v/>
      </c>
    </row>
    <row r="1503" spans="1:54" hidden="1" x14ac:dyDescent="0.35">
      <c r="A1503" s="73">
        <f t="shared" si="945"/>
        <v>2019</v>
      </c>
      <c r="B1503" s="73" t="str">
        <f t="shared" si="824"/>
        <v>Nov</v>
      </c>
      <c r="C1503" s="74">
        <f t="shared" si="825"/>
        <v>17</v>
      </c>
      <c r="D1503" s="75">
        <f t="shared" si="826"/>
        <v>14</v>
      </c>
      <c r="E1503" s="76">
        <v>44</v>
      </c>
      <c r="F1503" s="80">
        <v>39</v>
      </c>
      <c r="G1503" s="83"/>
      <c r="H1503" s="69" t="str">
        <f t="shared" si="827"/>
        <v>Senbur6_20191117_14_00</v>
      </c>
      <c r="I1503" s="70">
        <f t="shared" ref="I1503:N1503" si="953">I1502</f>
        <v>1</v>
      </c>
      <c r="J1503" s="77" t="str">
        <f t="shared" si="953"/>
        <v>Senecio</v>
      </c>
      <c r="K1503" s="77" t="str">
        <f t="shared" si="953"/>
        <v>burtoni</v>
      </c>
      <c r="L1503" s="78">
        <f t="shared" si="953"/>
        <v>6</v>
      </c>
      <c r="M1503" s="78">
        <f t="shared" si="953"/>
        <v>12</v>
      </c>
      <c r="N1503" s="72">
        <f t="shared" si="953"/>
        <v>0</v>
      </c>
      <c r="O1503" s="45"/>
      <c r="P1503" s="46">
        <f t="shared" si="829"/>
        <v>1</v>
      </c>
      <c r="Q1503" s="47" t="str">
        <f t="shared" si="830"/>
        <v>14:44:39</v>
      </c>
      <c r="R1503" s="48" t="str">
        <f t="shared" si="831"/>
        <v>44:39</v>
      </c>
      <c r="S1503" s="49">
        <f t="shared" si="832"/>
        <v>1</v>
      </c>
      <c r="T1503" s="48" t="str">
        <f t="shared" si="833"/>
        <v>14</v>
      </c>
      <c r="U1503" s="50">
        <v>44</v>
      </c>
      <c r="V1503" s="51">
        <v>40</v>
      </c>
      <c r="W1503" s="52" t="str">
        <f t="shared" si="834"/>
        <v>44:40</v>
      </c>
      <c r="X1503" s="53" t="s">
        <v>61</v>
      </c>
      <c r="Y1503" s="97" t="s">
        <v>78</v>
      </c>
      <c r="Z1503" s="97"/>
      <c r="AA1503" s="48" t="s">
        <v>60</v>
      </c>
      <c r="AB1503" s="48" t="str">
        <f t="shared" si="835"/>
        <v>NA</v>
      </c>
      <c r="AC1503" s="54">
        <f t="shared" si="836"/>
        <v>0</v>
      </c>
      <c r="AD1503" s="55">
        <f t="shared" si="837"/>
        <v>1</v>
      </c>
      <c r="AE1503" s="55"/>
      <c r="AF1503" s="55"/>
      <c r="AG1503" s="56">
        <v>1</v>
      </c>
      <c r="AH1503" s="57">
        <f t="shared" si="838"/>
        <v>1</v>
      </c>
      <c r="AI1503" s="56"/>
      <c r="AJ1503" s="57" t="str">
        <f t="shared" si="839"/>
        <v/>
      </c>
      <c r="AK1503" s="56"/>
      <c r="AL1503" s="57" t="str">
        <f t="shared" si="840"/>
        <v/>
      </c>
      <c r="AM1503" s="56"/>
      <c r="AN1503" s="57" t="str">
        <f t="shared" si="841"/>
        <v/>
      </c>
      <c r="AO1503" s="56"/>
      <c r="AP1503" s="57" t="str">
        <f t="shared" si="842"/>
        <v/>
      </c>
      <c r="AQ1503" s="56"/>
      <c r="AR1503" s="57" t="str">
        <f t="shared" si="843"/>
        <v/>
      </c>
      <c r="AS1503" s="56"/>
      <c r="AT1503" s="57" t="str">
        <f t="shared" si="844"/>
        <v/>
      </c>
      <c r="AU1503" s="58"/>
      <c r="AV1503" s="59"/>
      <c r="AW1503" s="59"/>
      <c r="AX1503" s="60"/>
      <c r="AY1503" s="61">
        <f t="shared" si="845"/>
        <v>0</v>
      </c>
      <c r="AZ1503" s="62" t="str">
        <f t="shared" si="846"/>
        <v/>
      </c>
      <c r="BA1503" s="61">
        <f t="shared" si="847"/>
        <v>0</v>
      </c>
      <c r="BB1503" s="62" t="str">
        <f t="shared" si="848"/>
        <v/>
      </c>
    </row>
    <row r="1504" spans="1:54" hidden="1" x14ac:dyDescent="0.35">
      <c r="A1504" s="73">
        <f t="shared" si="945"/>
        <v>2019</v>
      </c>
      <c r="B1504" s="73" t="str">
        <f t="shared" si="824"/>
        <v>Nov</v>
      </c>
      <c r="C1504" s="74">
        <f t="shared" si="825"/>
        <v>17</v>
      </c>
      <c r="D1504" s="75">
        <f t="shared" si="826"/>
        <v>14</v>
      </c>
      <c r="E1504" s="76">
        <v>44</v>
      </c>
      <c r="F1504" s="80">
        <v>40</v>
      </c>
      <c r="G1504" s="83"/>
      <c r="H1504" s="69" t="str">
        <f t="shared" si="827"/>
        <v>Senbur6_20191117_14_00</v>
      </c>
      <c r="I1504" s="70">
        <f t="shared" ref="I1504:N1504" si="954">I1503</f>
        <v>1</v>
      </c>
      <c r="J1504" s="77" t="str">
        <f t="shared" si="954"/>
        <v>Senecio</v>
      </c>
      <c r="K1504" s="77" t="str">
        <f t="shared" si="954"/>
        <v>burtoni</v>
      </c>
      <c r="L1504" s="78">
        <f t="shared" si="954"/>
        <v>6</v>
      </c>
      <c r="M1504" s="78">
        <f t="shared" si="954"/>
        <v>12</v>
      </c>
      <c r="N1504" s="72">
        <f t="shared" si="954"/>
        <v>0</v>
      </c>
      <c r="O1504" s="45"/>
      <c r="P1504" s="46">
        <f t="shared" si="829"/>
        <v>1</v>
      </c>
      <c r="Q1504" s="47" t="str">
        <f t="shared" si="830"/>
        <v>14:44:40</v>
      </c>
      <c r="R1504" s="48" t="str">
        <f t="shared" si="831"/>
        <v>44:40</v>
      </c>
      <c r="S1504" s="49">
        <f t="shared" si="832"/>
        <v>7</v>
      </c>
      <c r="T1504" s="48" t="str">
        <f t="shared" si="833"/>
        <v>14</v>
      </c>
      <c r="U1504" s="50">
        <v>44</v>
      </c>
      <c r="V1504" s="51">
        <v>47</v>
      </c>
      <c r="W1504" s="52" t="str">
        <f t="shared" si="834"/>
        <v>44:47</v>
      </c>
      <c r="X1504" s="53" t="s">
        <v>61</v>
      </c>
      <c r="Y1504" s="97" t="s">
        <v>78</v>
      </c>
      <c r="Z1504" s="97"/>
      <c r="AA1504" s="48" t="s">
        <v>60</v>
      </c>
      <c r="AB1504" s="48" t="str">
        <f t="shared" si="835"/>
        <v>NA</v>
      </c>
      <c r="AC1504" s="54">
        <f t="shared" si="836"/>
        <v>0</v>
      </c>
      <c r="AD1504" s="55">
        <f t="shared" si="837"/>
        <v>1</v>
      </c>
      <c r="AE1504" s="55"/>
      <c r="AF1504" s="55"/>
      <c r="AG1504" s="56" t="str">
        <f t="shared" si="851"/>
        <v/>
      </c>
      <c r="AH1504" s="57" t="str">
        <f t="shared" si="838"/>
        <v/>
      </c>
      <c r="AI1504" s="56"/>
      <c r="AJ1504" s="57" t="str">
        <f t="shared" si="839"/>
        <v/>
      </c>
      <c r="AK1504" s="56">
        <v>1</v>
      </c>
      <c r="AL1504" s="57">
        <f t="shared" si="840"/>
        <v>7</v>
      </c>
      <c r="AM1504" s="56"/>
      <c r="AN1504" s="57" t="str">
        <f t="shared" si="841"/>
        <v/>
      </c>
      <c r="AO1504" s="56"/>
      <c r="AP1504" s="57" t="str">
        <f t="shared" si="842"/>
        <v/>
      </c>
      <c r="AQ1504" s="56"/>
      <c r="AR1504" s="57" t="str">
        <f t="shared" si="843"/>
        <v/>
      </c>
      <c r="AS1504" s="56"/>
      <c r="AT1504" s="57" t="str">
        <f t="shared" si="844"/>
        <v/>
      </c>
      <c r="AU1504" s="58"/>
      <c r="AV1504" s="59"/>
      <c r="AW1504" s="59"/>
      <c r="AX1504" s="60"/>
      <c r="AY1504" s="61">
        <v>1</v>
      </c>
      <c r="AZ1504" s="62">
        <f t="shared" si="846"/>
        <v>1</v>
      </c>
      <c r="BA1504" s="61">
        <f t="shared" si="847"/>
        <v>0</v>
      </c>
      <c r="BB1504" s="62" t="str">
        <f t="shared" si="848"/>
        <v/>
      </c>
    </row>
    <row r="1505" spans="1:54" hidden="1" x14ac:dyDescent="0.35">
      <c r="A1505" s="73">
        <f t="shared" si="945"/>
        <v>2019</v>
      </c>
      <c r="B1505" s="73" t="str">
        <f t="shared" si="824"/>
        <v>Nov</v>
      </c>
      <c r="C1505" s="74">
        <f t="shared" si="825"/>
        <v>17</v>
      </c>
      <c r="D1505" s="75">
        <f t="shared" si="826"/>
        <v>14</v>
      </c>
      <c r="E1505" s="76">
        <f t="shared" si="946"/>
        <v>45</v>
      </c>
      <c r="F1505" s="80"/>
      <c r="G1505" s="83"/>
      <c r="H1505" s="69" t="str">
        <f t="shared" si="827"/>
        <v>Senbur6_20191117_14_00</v>
      </c>
      <c r="I1505" s="70">
        <f t="shared" ref="I1505:N1505" si="955">I1504</f>
        <v>1</v>
      </c>
      <c r="J1505" s="77" t="str">
        <f t="shared" si="955"/>
        <v>Senecio</v>
      </c>
      <c r="K1505" s="77" t="str">
        <f t="shared" si="955"/>
        <v>burtoni</v>
      </c>
      <c r="L1505" s="78">
        <f t="shared" si="955"/>
        <v>6</v>
      </c>
      <c r="M1505" s="78">
        <f t="shared" si="955"/>
        <v>12</v>
      </c>
      <c r="N1505" s="72">
        <f t="shared" si="955"/>
        <v>0</v>
      </c>
      <c r="O1505" s="45"/>
      <c r="P1505" s="46" t="str">
        <f t="shared" si="829"/>
        <v/>
      </c>
      <c r="Q1505" s="47" t="str">
        <f t="shared" si="830"/>
        <v/>
      </c>
      <c r="R1505" s="48" t="e">
        <f t="shared" si="831"/>
        <v>#VALUE!</v>
      </c>
      <c r="S1505" s="49" t="e">
        <f t="shared" si="832"/>
        <v>#VALUE!</v>
      </c>
      <c r="T1505" s="48" t="str">
        <f t="shared" si="833"/>
        <v/>
      </c>
      <c r="U1505" s="50"/>
      <c r="V1505" s="51"/>
      <c r="W1505" s="52" t="e">
        <f t="shared" si="834"/>
        <v>#VALUE!</v>
      </c>
      <c r="X1505" s="53"/>
      <c r="Y1505" s="53"/>
      <c r="Z1505" s="53"/>
      <c r="AA1505" s="48"/>
      <c r="AB1505" s="48" t="str">
        <f t="shared" si="835"/>
        <v/>
      </c>
      <c r="AC1505" s="54" t="e">
        <f t="shared" si="836"/>
        <v>#VALUE!</v>
      </c>
      <c r="AD1505" s="55" t="str">
        <f t="shared" si="837"/>
        <v/>
      </c>
      <c r="AE1505" s="55"/>
      <c r="AF1505" s="55"/>
      <c r="AG1505" s="56" t="str">
        <f t="shared" si="851"/>
        <v/>
      </c>
      <c r="AH1505" s="57" t="str">
        <f t="shared" si="838"/>
        <v/>
      </c>
      <c r="AI1505" s="56"/>
      <c r="AJ1505" s="57" t="str">
        <f t="shared" si="839"/>
        <v/>
      </c>
      <c r="AK1505" s="56"/>
      <c r="AL1505" s="57" t="str">
        <f t="shared" si="840"/>
        <v/>
      </c>
      <c r="AM1505" s="56"/>
      <c r="AN1505" s="57" t="str">
        <f t="shared" si="841"/>
        <v/>
      </c>
      <c r="AO1505" s="56"/>
      <c r="AP1505" s="57" t="str">
        <f t="shared" si="842"/>
        <v/>
      </c>
      <c r="AQ1505" s="56"/>
      <c r="AR1505" s="57" t="str">
        <f t="shared" si="843"/>
        <v/>
      </c>
      <c r="AS1505" s="56"/>
      <c r="AT1505" s="57" t="str">
        <f t="shared" si="844"/>
        <v/>
      </c>
      <c r="AU1505" s="58"/>
      <c r="AV1505" s="59"/>
      <c r="AW1505" s="59"/>
      <c r="AX1505" s="60"/>
      <c r="AY1505" s="61" t="str">
        <f t="shared" si="845"/>
        <v/>
      </c>
      <c r="AZ1505" s="62" t="str">
        <f t="shared" si="846"/>
        <v/>
      </c>
      <c r="BA1505" s="61" t="str">
        <f t="shared" si="847"/>
        <v/>
      </c>
      <c r="BB1505" s="62" t="str">
        <f t="shared" si="848"/>
        <v/>
      </c>
    </row>
    <row r="1506" spans="1:54" hidden="1" x14ac:dyDescent="0.35">
      <c r="A1506" s="73">
        <f t="shared" si="945"/>
        <v>2019</v>
      </c>
      <c r="B1506" s="73" t="str">
        <f t="shared" si="824"/>
        <v>Nov</v>
      </c>
      <c r="C1506" s="74">
        <f t="shared" si="825"/>
        <v>17</v>
      </c>
      <c r="D1506" s="75">
        <f t="shared" si="826"/>
        <v>14</v>
      </c>
      <c r="E1506" s="76">
        <f t="shared" si="946"/>
        <v>46</v>
      </c>
      <c r="F1506" s="80">
        <v>36</v>
      </c>
      <c r="G1506" s="83"/>
      <c r="H1506" s="69" t="str">
        <f t="shared" si="827"/>
        <v>Senbur6_20191117_14_00</v>
      </c>
      <c r="I1506" s="70">
        <f t="shared" ref="I1506:N1506" si="956">I1505</f>
        <v>1</v>
      </c>
      <c r="J1506" s="77" t="str">
        <f t="shared" si="956"/>
        <v>Senecio</v>
      </c>
      <c r="K1506" s="77" t="str">
        <f t="shared" si="956"/>
        <v>burtoni</v>
      </c>
      <c r="L1506" s="78">
        <f t="shared" si="956"/>
        <v>6</v>
      </c>
      <c r="M1506" s="78">
        <f t="shared" si="956"/>
        <v>12</v>
      </c>
      <c r="N1506" s="72">
        <f t="shared" si="956"/>
        <v>0</v>
      </c>
      <c r="O1506" s="45"/>
      <c r="P1506" s="46">
        <f t="shared" si="829"/>
        <v>1</v>
      </c>
      <c r="Q1506" s="47" t="str">
        <f t="shared" si="830"/>
        <v>14:46:36</v>
      </c>
      <c r="R1506" s="48" t="str">
        <f t="shared" si="831"/>
        <v>46:36</v>
      </c>
      <c r="S1506" s="49">
        <f t="shared" si="832"/>
        <v>16</v>
      </c>
      <c r="T1506" s="48" t="str">
        <f t="shared" si="833"/>
        <v>14</v>
      </c>
      <c r="U1506" s="50">
        <v>46</v>
      </c>
      <c r="V1506" s="51">
        <v>52</v>
      </c>
      <c r="W1506" s="52" t="str">
        <f t="shared" si="834"/>
        <v>46:52</v>
      </c>
      <c r="X1506" s="53" t="s">
        <v>59</v>
      </c>
      <c r="Y1506" s="97" t="s">
        <v>91</v>
      </c>
      <c r="Z1506" s="97"/>
      <c r="AA1506" s="48" t="s">
        <v>63</v>
      </c>
      <c r="AB1506" s="48" t="str">
        <f t="shared" si="835"/>
        <v>NA</v>
      </c>
      <c r="AC1506" s="54">
        <f t="shared" si="836"/>
        <v>0</v>
      </c>
      <c r="AD1506" s="55">
        <f t="shared" si="837"/>
        <v>1</v>
      </c>
      <c r="AE1506" s="55"/>
      <c r="AF1506" s="55"/>
      <c r="AG1506" s="56">
        <v>1</v>
      </c>
      <c r="AH1506" s="57">
        <f t="shared" si="838"/>
        <v>16</v>
      </c>
      <c r="AI1506" s="56"/>
      <c r="AJ1506" s="57" t="str">
        <f t="shared" si="839"/>
        <v/>
      </c>
      <c r="AK1506" s="56"/>
      <c r="AL1506" s="57" t="str">
        <f t="shared" si="840"/>
        <v/>
      </c>
      <c r="AM1506" s="56"/>
      <c r="AN1506" s="57" t="str">
        <f t="shared" si="841"/>
        <v/>
      </c>
      <c r="AO1506" s="56"/>
      <c r="AP1506" s="57" t="str">
        <f t="shared" si="842"/>
        <v/>
      </c>
      <c r="AQ1506" s="56"/>
      <c r="AR1506" s="57" t="str">
        <f t="shared" si="843"/>
        <v/>
      </c>
      <c r="AS1506" s="56"/>
      <c r="AT1506" s="57" t="str">
        <f t="shared" si="844"/>
        <v/>
      </c>
      <c r="AU1506" s="58"/>
      <c r="AV1506" s="59"/>
      <c r="AW1506" s="59"/>
      <c r="AX1506" s="60"/>
      <c r="AY1506" s="61">
        <f t="shared" si="845"/>
        <v>0</v>
      </c>
      <c r="AZ1506" s="62" t="str">
        <f t="shared" si="846"/>
        <v/>
      </c>
      <c r="BA1506" s="61">
        <f t="shared" si="847"/>
        <v>0</v>
      </c>
      <c r="BB1506" s="62" t="str">
        <f t="shared" si="848"/>
        <v/>
      </c>
    </row>
    <row r="1507" spans="1:54" hidden="1" x14ac:dyDescent="0.35">
      <c r="A1507" s="73">
        <f t="shared" si="945"/>
        <v>2019</v>
      </c>
      <c r="B1507" s="73" t="str">
        <f t="shared" si="824"/>
        <v>Nov</v>
      </c>
      <c r="C1507" s="74">
        <f t="shared" si="825"/>
        <v>17</v>
      </c>
      <c r="D1507" s="75">
        <f t="shared" si="826"/>
        <v>14</v>
      </c>
      <c r="E1507" s="76">
        <f t="shared" si="946"/>
        <v>47</v>
      </c>
      <c r="F1507" s="80">
        <v>12</v>
      </c>
      <c r="G1507" s="83"/>
      <c r="H1507" s="69" t="str">
        <f t="shared" si="827"/>
        <v>Senbur6_20191117_14_00</v>
      </c>
      <c r="I1507" s="70">
        <f t="shared" ref="I1507:N1507" si="957">I1506</f>
        <v>1</v>
      </c>
      <c r="J1507" s="77" t="str">
        <f t="shared" si="957"/>
        <v>Senecio</v>
      </c>
      <c r="K1507" s="77" t="str">
        <f t="shared" si="957"/>
        <v>burtoni</v>
      </c>
      <c r="L1507" s="78">
        <f t="shared" si="957"/>
        <v>6</v>
      </c>
      <c r="M1507" s="78">
        <f t="shared" si="957"/>
        <v>12</v>
      </c>
      <c r="N1507" s="72">
        <f t="shared" si="957"/>
        <v>0</v>
      </c>
      <c r="O1507" s="45"/>
      <c r="P1507" s="46">
        <f t="shared" si="829"/>
        <v>1</v>
      </c>
      <c r="Q1507" s="47" t="str">
        <f t="shared" si="830"/>
        <v>14:47:12</v>
      </c>
      <c r="R1507" s="48" t="str">
        <f t="shared" si="831"/>
        <v>47:12</v>
      </c>
      <c r="S1507" s="49">
        <f t="shared" si="832"/>
        <v>195</v>
      </c>
      <c r="T1507" s="48" t="str">
        <f t="shared" si="833"/>
        <v>14</v>
      </c>
      <c r="U1507" s="50">
        <v>50</v>
      </c>
      <c r="V1507" s="51">
        <v>27</v>
      </c>
      <c r="W1507" s="52" t="str">
        <f t="shared" si="834"/>
        <v>50:27</v>
      </c>
      <c r="X1507" s="53" t="s">
        <v>73</v>
      </c>
      <c r="Y1507" s="97" t="s">
        <v>89</v>
      </c>
      <c r="Z1507" s="97" t="s">
        <v>80</v>
      </c>
      <c r="AA1507" s="48" t="s">
        <v>63</v>
      </c>
      <c r="AB1507" s="48" t="str">
        <f t="shared" si="835"/>
        <v>NA</v>
      </c>
      <c r="AC1507" s="54">
        <f t="shared" si="836"/>
        <v>0</v>
      </c>
      <c r="AD1507" s="55">
        <v>4</v>
      </c>
      <c r="AE1507" s="55"/>
      <c r="AF1507" s="55"/>
      <c r="AG1507" s="56">
        <v>1</v>
      </c>
      <c r="AH1507" s="57">
        <v>7</v>
      </c>
      <c r="AI1507" s="56">
        <v>1</v>
      </c>
      <c r="AJ1507" s="57">
        <v>1</v>
      </c>
      <c r="AK1507" s="56">
        <v>1</v>
      </c>
      <c r="AL1507" s="57">
        <v>187</v>
      </c>
      <c r="AM1507" s="56"/>
      <c r="AN1507" s="57" t="str">
        <f t="shared" si="841"/>
        <v/>
      </c>
      <c r="AO1507" s="56"/>
      <c r="AP1507" s="57" t="str">
        <f t="shared" si="842"/>
        <v/>
      </c>
      <c r="AQ1507" s="56"/>
      <c r="AR1507" s="57" t="str">
        <f t="shared" si="843"/>
        <v/>
      </c>
      <c r="AS1507" s="56"/>
      <c r="AT1507" s="57" t="str">
        <f t="shared" si="844"/>
        <v/>
      </c>
      <c r="AU1507" s="58"/>
      <c r="AV1507" s="59"/>
      <c r="AW1507" s="59"/>
      <c r="AX1507" s="60"/>
      <c r="AY1507" s="61">
        <v>1</v>
      </c>
      <c r="AZ1507" s="62">
        <f t="shared" si="846"/>
        <v>4</v>
      </c>
      <c r="BA1507" s="61">
        <f t="shared" si="847"/>
        <v>0</v>
      </c>
      <c r="BB1507" s="62" t="str">
        <f t="shared" si="848"/>
        <v/>
      </c>
    </row>
    <row r="1508" spans="1:54" hidden="1" x14ac:dyDescent="0.35">
      <c r="A1508" s="73">
        <f t="shared" si="945"/>
        <v>2019</v>
      </c>
      <c r="B1508" s="73" t="str">
        <f t="shared" si="824"/>
        <v>Nov</v>
      </c>
      <c r="C1508" s="74">
        <f t="shared" si="825"/>
        <v>17</v>
      </c>
      <c r="D1508" s="75">
        <f t="shared" si="826"/>
        <v>14</v>
      </c>
      <c r="E1508" s="76">
        <v>47</v>
      </c>
      <c r="F1508" s="80">
        <v>20</v>
      </c>
      <c r="G1508" s="83"/>
      <c r="H1508" s="69" t="str">
        <f t="shared" si="827"/>
        <v>Senbur6_20191117_14_00</v>
      </c>
      <c r="I1508" s="70">
        <f t="shared" ref="I1508:N1508" si="958">I1507</f>
        <v>1</v>
      </c>
      <c r="J1508" s="77" t="str">
        <f t="shared" si="958"/>
        <v>Senecio</v>
      </c>
      <c r="K1508" s="77" t="str">
        <f t="shared" si="958"/>
        <v>burtoni</v>
      </c>
      <c r="L1508" s="78">
        <f t="shared" si="958"/>
        <v>6</v>
      </c>
      <c r="M1508" s="78">
        <f t="shared" si="958"/>
        <v>12</v>
      </c>
      <c r="N1508" s="72">
        <f t="shared" si="958"/>
        <v>0</v>
      </c>
      <c r="O1508" s="45"/>
      <c r="P1508" s="46">
        <f t="shared" si="829"/>
        <v>1</v>
      </c>
      <c r="Q1508" s="47" t="str">
        <f t="shared" si="830"/>
        <v>14:47:20</v>
      </c>
      <c r="R1508" s="48" t="str">
        <f t="shared" si="831"/>
        <v>47:20</v>
      </c>
      <c r="S1508" s="49">
        <f t="shared" si="832"/>
        <v>96</v>
      </c>
      <c r="T1508" s="48" t="str">
        <f t="shared" si="833"/>
        <v>14</v>
      </c>
      <c r="U1508" s="50">
        <v>48</v>
      </c>
      <c r="V1508" s="51">
        <v>56</v>
      </c>
      <c r="W1508" s="52" t="str">
        <f t="shared" si="834"/>
        <v>48:56</v>
      </c>
      <c r="X1508" s="53" t="s">
        <v>61</v>
      </c>
      <c r="Y1508" s="97" t="s">
        <v>84</v>
      </c>
      <c r="Z1508" s="97" t="s">
        <v>80</v>
      </c>
      <c r="AA1508" s="48" t="s">
        <v>60</v>
      </c>
      <c r="AB1508" s="48" t="str">
        <f t="shared" si="835"/>
        <v>NA</v>
      </c>
      <c r="AC1508" s="54">
        <f t="shared" si="836"/>
        <v>0</v>
      </c>
      <c r="AD1508" s="55">
        <v>2</v>
      </c>
      <c r="AE1508" s="55"/>
      <c r="AF1508" s="55"/>
      <c r="AG1508" s="56" t="str">
        <f t="shared" si="851"/>
        <v/>
      </c>
      <c r="AH1508" s="57" t="str">
        <f t="shared" si="838"/>
        <v/>
      </c>
      <c r="AI1508" s="56">
        <v>1</v>
      </c>
      <c r="AJ1508" s="57">
        <v>1</v>
      </c>
      <c r="AK1508" s="56">
        <v>1</v>
      </c>
      <c r="AL1508" s="57">
        <v>95</v>
      </c>
      <c r="AM1508" s="56"/>
      <c r="AN1508" s="57" t="str">
        <f t="shared" si="841"/>
        <v/>
      </c>
      <c r="AO1508" s="56"/>
      <c r="AP1508" s="57" t="str">
        <f t="shared" si="842"/>
        <v/>
      </c>
      <c r="AQ1508" s="56"/>
      <c r="AR1508" s="57" t="str">
        <f t="shared" si="843"/>
        <v/>
      </c>
      <c r="AS1508" s="56"/>
      <c r="AT1508" s="57" t="str">
        <f t="shared" si="844"/>
        <v/>
      </c>
      <c r="AU1508" s="58"/>
      <c r="AV1508" s="59"/>
      <c r="AW1508" s="59"/>
      <c r="AX1508" s="60"/>
      <c r="AY1508" s="61">
        <v>1</v>
      </c>
      <c r="AZ1508" s="62">
        <f t="shared" si="846"/>
        <v>2</v>
      </c>
      <c r="BA1508" s="61">
        <f t="shared" si="847"/>
        <v>0</v>
      </c>
      <c r="BB1508" s="62" t="str">
        <f t="shared" si="848"/>
        <v/>
      </c>
    </row>
    <row r="1509" spans="1:54" hidden="1" x14ac:dyDescent="0.35">
      <c r="A1509" s="73">
        <f t="shared" si="945"/>
        <v>2019</v>
      </c>
      <c r="B1509" s="73" t="str">
        <f t="shared" si="824"/>
        <v>Nov</v>
      </c>
      <c r="C1509" s="74">
        <f t="shared" si="825"/>
        <v>17</v>
      </c>
      <c r="D1509" s="75">
        <f t="shared" si="826"/>
        <v>14</v>
      </c>
      <c r="E1509" s="76">
        <v>47</v>
      </c>
      <c r="F1509" s="80">
        <v>23</v>
      </c>
      <c r="G1509" s="83"/>
      <c r="H1509" s="69" t="str">
        <f t="shared" si="827"/>
        <v>Senbur6_20191117_14_00</v>
      </c>
      <c r="I1509" s="70">
        <f t="shared" ref="I1509:N1509" si="959">I1508</f>
        <v>1</v>
      </c>
      <c r="J1509" s="77" t="str">
        <f t="shared" si="959"/>
        <v>Senecio</v>
      </c>
      <c r="K1509" s="77" t="str">
        <f t="shared" si="959"/>
        <v>burtoni</v>
      </c>
      <c r="L1509" s="78">
        <f t="shared" si="959"/>
        <v>6</v>
      </c>
      <c r="M1509" s="78">
        <f t="shared" si="959"/>
        <v>12</v>
      </c>
      <c r="N1509" s="72">
        <f t="shared" si="959"/>
        <v>0</v>
      </c>
      <c r="O1509" s="45"/>
      <c r="P1509" s="46">
        <f t="shared" si="829"/>
        <v>1</v>
      </c>
      <c r="Q1509" s="47" t="str">
        <f t="shared" si="830"/>
        <v>14:47:23</v>
      </c>
      <c r="R1509" s="48" t="str">
        <f t="shared" si="831"/>
        <v>47:23</v>
      </c>
      <c r="S1509" s="49">
        <f t="shared" si="832"/>
        <v>27</v>
      </c>
      <c r="T1509" s="48" t="str">
        <f t="shared" si="833"/>
        <v>14</v>
      </c>
      <c r="U1509" s="50">
        <v>47</v>
      </c>
      <c r="V1509" s="51">
        <v>50</v>
      </c>
      <c r="W1509" s="52" t="str">
        <f t="shared" si="834"/>
        <v>47:50</v>
      </c>
      <c r="X1509" s="53" t="s">
        <v>59</v>
      </c>
      <c r="Y1509" s="97" t="s">
        <v>78</v>
      </c>
      <c r="Z1509" s="97"/>
      <c r="AA1509" s="48" t="s">
        <v>60</v>
      </c>
      <c r="AB1509" s="48" t="str">
        <f t="shared" si="835"/>
        <v>NA</v>
      </c>
      <c r="AC1509" s="54">
        <f t="shared" si="836"/>
        <v>0</v>
      </c>
      <c r="AD1509" s="55">
        <f t="shared" si="837"/>
        <v>1</v>
      </c>
      <c r="AE1509" s="55"/>
      <c r="AF1509" s="55"/>
      <c r="AG1509" s="56" t="str">
        <f t="shared" si="851"/>
        <v/>
      </c>
      <c r="AH1509" s="57" t="str">
        <f t="shared" si="838"/>
        <v/>
      </c>
      <c r="AI1509" s="56"/>
      <c r="AJ1509" s="57" t="str">
        <f t="shared" si="839"/>
        <v/>
      </c>
      <c r="AK1509" s="56">
        <v>1</v>
      </c>
      <c r="AL1509" s="57">
        <f t="shared" si="840"/>
        <v>27</v>
      </c>
      <c r="AM1509" s="56"/>
      <c r="AN1509" s="57" t="str">
        <f t="shared" si="841"/>
        <v/>
      </c>
      <c r="AO1509" s="56"/>
      <c r="AP1509" s="57" t="str">
        <f t="shared" si="842"/>
        <v/>
      </c>
      <c r="AQ1509" s="56"/>
      <c r="AR1509" s="57" t="str">
        <f t="shared" si="843"/>
        <v/>
      </c>
      <c r="AS1509" s="56"/>
      <c r="AT1509" s="57" t="str">
        <f t="shared" si="844"/>
        <v/>
      </c>
      <c r="AU1509" s="58"/>
      <c r="AV1509" s="59"/>
      <c r="AW1509" s="59"/>
      <c r="AX1509" s="60"/>
      <c r="AY1509" s="61">
        <v>1</v>
      </c>
      <c r="AZ1509" s="62">
        <f t="shared" si="846"/>
        <v>1</v>
      </c>
      <c r="BA1509" s="61">
        <f t="shared" si="847"/>
        <v>0</v>
      </c>
      <c r="BB1509" s="62" t="str">
        <f t="shared" si="848"/>
        <v/>
      </c>
    </row>
    <row r="1510" spans="1:54" hidden="1" x14ac:dyDescent="0.35">
      <c r="A1510" s="73">
        <f t="shared" si="945"/>
        <v>2019</v>
      </c>
      <c r="B1510" s="73" t="str">
        <f t="shared" si="824"/>
        <v>Nov</v>
      </c>
      <c r="C1510" s="74">
        <f t="shared" si="825"/>
        <v>17</v>
      </c>
      <c r="D1510" s="75">
        <f t="shared" si="826"/>
        <v>14</v>
      </c>
      <c r="E1510" s="76">
        <v>47</v>
      </c>
      <c r="F1510" s="80">
        <v>36</v>
      </c>
      <c r="G1510" s="83"/>
      <c r="H1510" s="69" t="str">
        <f t="shared" si="827"/>
        <v>Senbur6_20191117_14_00</v>
      </c>
      <c r="I1510" s="70">
        <f t="shared" ref="I1510:N1510" si="960">I1509</f>
        <v>1</v>
      </c>
      <c r="J1510" s="77" t="str">
        <f t="shared" si="960"/>
        <v>Senecio</v>
      </c>
      <c r="K1510" s="77" t="str">
        <f t="shared" si="960"/>
        <v>burtoni</v>
      </c>
      <c r="L1510" s="78">
        <f t="shared" si="960"/>
        <v>6</v>
      </c>
      <c r="M1510" s="78">
        <f t="shared" si="960"/>
        <v>12</v>
      </c>
      <c r="N1510" s="72">
        <f t="shared" si="960"/>
        <v>0</v>
      </c>
      <c r="O1510" s="45"/>
      <c r="P1510" s="46">
        <f t="shared" si="829"/>
        <v>1</v>
      </c>
      <c r="Q1510" s="47" t="str">
        <f t="shared" si="830"/>
        <v>14:47:36</v>
      </c>
      <c r="R1510" s="48" t="str">
        <f t="shared" si="831"/>
        <v>47:36</v>
      </c>
      <c r="S1510" s="49">
        <f t="shared" si="832"/>
        <v>8</v>
      </c>
      <c r="T1510" s="48" t="str">
        <f t="shared" si="833"/>
        <v>14</v>
      </c>
      <c r="U1510" s="50">
        <v>47</v>
      </c>
      <c r="V1510" s="51">
        <v>44</v>
      </c>
      <c r="W1510" s="52" t="str">
        <f t="shared" si="834"/>
        <v>47:44</v>
      </c>
      <c r="X1510" s="53" t="s">
        <v>61</v>
      </c>
      <c r="Y1510" s="97" t="s">
        <v>78</v>
      </c>
      <c r="Z1510" s="97"/>
      <c r="AA1510" s="48" t="s">
        <v>60</v>
      </c>
      <c r="AB1510" s="48" t="str">
        <f t="shared" si="835"/>
        <v>NA</v>
      </c>
      <c r="AC1510" s="54">
        <f t="shared" si="836"/>
        <v>0</v>
      </c>
      <c r="AD1510" s="55">
        <f t="shared" si="837"/>
        <v>1</v>
      </c>
      <c r="AE1510" s="55"/>
      <c r="AF1510" s="55"/>
      <c r="AG1510" s="56" t="str">
        <f t="shared" si="851"/>
        <v/>
      </c>
      <c r="AH1510" s="57" t="str">
        <f t="shared" si="838"/>
        <v/>
      </c>
      <c r="AI1510" s="56"/>
      <c r="AJ1510" s="57" t="str">
        <f t="shared" si="839"/>
        <v/>
      </c>
      <c r="AK1510" s="56">
        <v>1</v>
      </c>
      <c r="AL1510" s="57">
        <f t="shared" si="840"/>
        <v>8</v>
      </c>
      <c r="AM1510" s="56"/>
      <c r="AN1510" s="57" t="str">
        <f t="shared" si="841"/>
        <v/>
      </c>
      <c r="AO1510" s="56"/>
      <c r="AP1510" s="57" t="str">
        <f t="shared" si="842"/>
        <v/>
      </c>
      <c r="AQ1510" s="56"/>
      <c r="AR1510" s="57" t="str">
        <f t="shared" si="843"/>
        <v/>
      </c>
      <c r="AS1510" s="56"/>
      <c r="AT1510" s="57" t="str">
        <f t="shared" si="844"/>
        <v/>
      </c>
      <c r="AU1510" s="58"/>
      <c r="AV1510" s="59"/>
      <c r="AW1510" s="59"/>
      <c r="AX1510" s="60"/>
      <c r="AY1510" s="61">
        <v>1</v>
      </c>
      <c r="AZ1510" s="62">
        <f t="shared" si="846"/>
        <v>1</v>
      </c>
      <c r="BA1510" s="61">
        <f t="shared" si="847"/>
        <v>0</v>
      </c>
      <c r="BB1510" s="62" t="str">
        <f t="shared" si="848"/>
        <v/>
      </c>
    </row>
    <row r="1511" spans="1:54" hidden="1" x14ac:dyDescent="0.35">
      <c r="A1511" s="73">
        <f t="shared" si="945"/>
        <v>2019</v>
      </c>
      <c r="B1511" s="73" t="str">
        <f t="shared" si="824"/>
        <v>Nov</v>
      </c>
      <c r="C1511" s="74">
        <f t="shared" si="825"/>
        <v>17</v>
      </c>
      <c r="D1511" s="75">
        <f t="shared" si="826"/>
        <v>14</v>
      </c>
      <c r="E1511" s="76">
        <v>47</v>
      </c>
      <c r="F1511" s="80">
        <v>47</v>
      </c>
      <c r="G1511" s="83"/>
      <c r="H1511" s="69" t="str">
        <f t="shared" si="827"/>
        <v>Senbur6_20191117_14_00</v>
      </c>
      <c r="I1511" s="70">
        <f t="shared" ref="I1511:N1511" si="961">I1510</f>
        <v>1</v>
      </c>
      <c r="J1511" s="77" t="str">
        <f t="shared" si="961"/>
        <v>Senecio</v>
      </c>
      <c r="K1511" s="77" t="str">
        <f t="shared" si="961"/>
        <v>burtoni</v>
      </c>
      <c r="L1511" s="78">
        <f t="shared" si="961"/>
        <v>6</v>
      </c>
      <c r="M1511" s="78">
        <f t="shared" si="961"/>
        <v>12</v>
      </c>
      <c r="N1511" s="72">
        <f t="shared" si="961"/>
        <v>0</v>
      </c>
      <c r="O1511" s="45"/>
      <c r="P1511" s="46">
        <f t="shared" si="829"/>
        <v>1</v>
      </c>
      <c r="Q1511" s="47" t="str">
        <f t="shared" si="830"/>
        <v>14:47:47</v>
      </c>
      <c r="R1511" s="48" t="str">
        <f t="shared" si="831"/>
        <v>47:47</v>
      </c>
      <c r="S1511" s="49">
        <f t="shared" si="832"/>
        <v>94</v>
      </c>
      <c r="T1511" s="48" t="str">
        <f t="shared" si="833"/>
        <v>14</v>
      </c>
      <c r="U1511" s="50">
        <v>49</v>
      </c>
      <c r="V1511" s="51">
        <v>21</v>
      </c>
      <c r="W1511" s="52" t="str">
        <f t="shared" si="834"/>
        <v>49:21</v>
      </c>
      <c r="X1511" s="53" t="s">
        <v>61</v>
      </c>
      <c r="Y1511" s="97" t="s">
        <v>84</v>
      </c>
      <c r="Z1511" s="97" t="s">
        <v>80</v>
      </c>
      <c r="AA1511" s="48" t="s">
        <v>60</v>
      </c>
      <c r="AB1511" s="48" t="str">
        <f t="shared" si="835"/>
        <v>NA</v>
      </c>
      <c r="AC1511" s="54">
        <f t="shared" si="836"/>
        <v>0</v>
      </c>
      <c r="AD1511" s="55">
        <v>2</v>
      </c>
      <c r="AE1511" s="55"/>
      <c r="AF1511" s="55"/>
      <c r="AG1511" s="56">
        <v>1</v>
      </c>
      <c r="AH1511" s="57">
        <v>93</v>
      </c>
      <c r="AI1511" s="56">
        <v>1</v>
      </c>
      <c r="AJ1511" s="57">
        <v>1</v>
      </c>
      <c r="AK1511" s="56"/>
      <c r="AL1511" s="57" t="str">
        <f t="shared" si="840"/>
        <v/>
      </c>
      <c r="AM1511" s="56"/>
      <c r="AN1511" s="57" t="str">
        <f t="shared" si="841"/>
        <v/>
      </c>
      <c r="AO1511" s="56"/>
      <c r="AP1511" s="57" t="str">
        <f t="shared" si="842"/>
        <v/>
      </c>
      <c r="AQ1511" s="56"/>
      <c r="AR1511" s="57" t="str">
        <f t="shared" si="843"/>
        <v/>
      </c>
      <c r="AS1511" s="56"/>
      <c r="AT1511" s="57" t="str">
        <f t="shared" si="844"/>
        <v/>
      </c>
      <c r="AU1511" s="58"/>
      <c r="AV1511" s="59"/>
      <c r="AW1511" s="59"/>
      <c r="AX1511" s="60"/>
      <c r="AY1511" s="61">
        <v>1</v>
      </c>
      <c r="AZ1511" s="62">
        <f t="shared" si="846"/>
        <v>2</v>
      </c>
      <c r="BA1511" s="61">
        <f t="shared" si="847"/>
        <v>0</v>
      </c>
      <c r="BB1511" s="62" t="str">
        <f t="shared" si="848"/>
        <v/>
      </c>
    </row>
    <row r="1512" spans="1:54" hidden="1" x14ac:dyDescent="0.35">
      <c r="A1512" s="73">
        <f t="shared" si="945"/>
        <v>2019</v>
      </c>
      <c r="B1512" s="73" t="str">
        <f t="shared" si="824"/>
        <v>Nov</v>
      </c>
      <c r="C1512" s="74">
        <f t="shared" si="825"/>
        <v>17</v>
      </c>
      <c r="D1512" s="75">
        <f t="shared" si="826"/>
        <v>14</v>
      </c>
      <c r="E1512" s="76">
        <v>47</v>
      </c>
      <c r="F1512" s="80">
        <v>59</v>
      </c>
      <c r="G1512" s="83"/>
      <c r="H1512" s="69" t="str">
        <f t="shared" si="827"/>
        <v>Senbur6_20191117_14_00</v>
      </c>
      <c r="I1512" s="70">
        <f t="shared" ref="I1512:N1512" si="962">I1511</f>
        <v>1</v>
      </c>
      <c r="J1512" s="77" t="str">
        <f t="shared" si="962"/>
        <v>Senecio</v>
      </c>
      <c r="K1512" s="77" t="str">
        <f t="shared" si="962"/>
        <v>burtoni</v>
      </c>
      <c r="L1512" s="78">
        <f t="shared" si="962"/>
        <v>6</v>
      </c>
      <c r="M1512" s="78">
        <f t="shared" si="962"/>
        <v>12</v>
      </c>
      <c r="N1512" s="72">
        <f t="shared" si="962"/>
        <v>0</v>
      </c>
      <c r="O1512" s="45"/>
      <c r="P1512" s="46">
        <f t="shared" si="829"/>
        <v>1</v>
      </c>
      <c r="Q1512" s="47" t="str">
        <f t="shared" si="830"/>
        <v>14:47:59</v>
      </c>
      <c r="R1512" s="48" t="str">
        <f t="shared" si="831"/>
        <v>47:59</v>
      </c>
      <c r="S1512" s="49">
        <f t="shared" si="832"/>
        <v>23</v>
      </c>
      <c r="T1512" s="48" t="str">
        <f t="shared" si="833"/>
        <v>14</v>
      </c>
      <c r="U1512" s="50">
        <v>48</v>
      </c>
      <c r="V1512" s="51">
        <v>22</v>
      </c>
      <c r="W1512" s="52" t="str">
        <f t="shared" si="834"/>
        <v>48:22</v>
      </c>
      <c r="X1512" s="53" t="s">
        <v>61</v>
      </c>
      <c r="Y1512" s="97" t="s">
        <v>78</v>
      </c>
      <c r="Z1512" s="97"/>
      <c r="AA1512" s="48" t="s">
        <v>60</v>
      </c>
      <c r="AB1512" s="48" t="str">
        <f t="shared" si="835"/>
        <v>NA</v>
      </c>
      <c r="AC1512" s="54">
        <f t="shared" si="836"/>
        <v>0</v>
      </c>
      <c r="AD1512" s="55">
        <f t="shared" si="837"/>
        <v>1</v>
      </c>
      <c r="AE1512" s="55"/>
      <c r="AF1512" s="55"/>
      <c r="AG1512" s="56" t="str">
        <f t="shared" si="851"/>
        <v/>
      </c>
      <c r="AH1512" s="57" t="str">
        <f t="shared" si="838"/>
        <v/>
      </c>
      <c r="AI1512" s="56"/>
      <c r="AJ1512" s="57" t="str">
        <f t="shared" si="839"/>
        <v/>
      </c>
      <c r="AK1512" s="56">
        <v>1</v>
      </c>
      <c r="AL1512" s="57">
        <f t="shared" si="840"/>
        <v>23</v>
      </c>
      <c r="AM1512" s="56"/>
      <c r="AN1512" s="57" t="str">
        <f t="shared" si="841"/>
        <v/>
      </c>
      <c r="AO1512" s="56"/>
      <c r="AP1512" s="57" t="str">
        <f t="shared" si="842"/>
        <v/>
      </c>
      <c r="AQ1512" s="56"/>
      <c r="AR1512" s="57" t="str">
        <f t="shared" si="843"/>
        <v/>
      </c>
      <c r="AS1512" s="56"/>
      <c r="AT1512" s="57" t="str">
        <f t="shared" si="844"/>
        <v/>
      </c>
      <c r="AU1512" s="58"/>
      <c r="AV1512" s="59"/>
      <c r="AW1512" s="59"/>
      <c r="AX1512" s="60"/>
      <c r="AY1512" s="61">
        <v>1</v>
      </c>
      <c r="AZ1512" s="62">
        <f t="shared" si="846"/>
        <v>1</v>
      </c>
      <c r="BA1512" s="61">
        <f t="shared" si="847"/>
        <v>0</v>
      </c>
      <c r="BB1512" s="62" t="str">
        <f t="shared" si="848"/>
        <v/>
      </c>
    </row>
    <row r="1513" spans="1:54" hidden="1" x14ac:dyDescent="0.35">
      <c r="A1513" s="73">
        <f t="shared" si="945"/>
        <v>2019</v>
      </c>
      <c r="B1513" s="73" t="str">
        <f t="shared" ref="B1513:B1579" si="963">IF(C1512-C1513&gt;0, TEXT(DATE(2016,(MONTH(DATEVALUE(B1512&amp;"1"))+1),1),"mmm"), B1512)</f>
        <v>Nov</v>
      </c>
      <c r="C1513" s="74">
        <f t="shared" ref="C1513:C1579" si="964">IF(AND(D1513=0, E1513=0), IF(TEXT(C1512,"dd")=TEXT(EOMONTH(DATE(A1512,MONTH(DATEVALUE(B1512&amp;"1")),C1512),0), "dd"), 1, C1512+1), C1512)</f>
        <v>17</v>
      </c>
      <c r="D1513" s="75">
        <f t="shared" ref="D1513:D1579" si="965">IF(IF(E1512=59,D1512+1,D1512)=24,0,IF(E1512=59,D1512+1,D1512))</f>
        <v>14</v>
      </c>
      <c r="E1513" s="76">
        <f t="shared" si="946"/>
        <v>48</v>
      </c>
      <c r="F1513" s="80">
        <v>57</v>
      </c>
      <c r="G1513" s="83"/>
      <c r="H1513" s="69" t="str">
        <f t="shared" ref="H1513:H1579" si="966">IF(AND(OR(E1512=$G$3,E1512=$G$4,E1512=$G$5,E1512=$G$6,E1512=$G$7,E1512=$G$8),E1512&lt;&gt;RIGHT(H1512,2)),CONCATENATE(LEFT(J1513,3),LEFT(K1513,3),L1513,"_",A1513,TEXT(MONTH(DATEVALUE(B1513&amp;"1")),"00"),TEXT(C1513,"00"),"_",TEXT(D1513,"00"),"_",TEXT(E1512,"00")),IF(AND(OR(E1513=$G$3,E1513=$G$4,E1513=$G$5,E1513=$G$6,E1513=$G$7,E1513=$G$8),OR(F1513="",F1513&gt;$G$9-1)),CONCATENATE(LEFT(J1513,3),LEFT(K1513,3),L1513,"_",A1513,TEXT(MONTH(DATEVALUE(B1513&amp;"1")),"00"),TEXT(C1513,"00"),"_",TEXT(D1513,"00"),"_",TEXT(E1513,"00")),H1512))</f>
        <v>Senbur6_20191117_14_00</v>
      </c>
      <c r="I1513" s="70">
        <f t="shared" ref="I1513:N1513" si="967">I1512</f>
        <v>1</v>
      </c>
      <c r="J1513" s="77" t="str">
        <f t="shared" si="967"/>
        <v>Senecio</v>
      </c>
      <c r="K1513" s="77" t="str">
        <f t="shared" si="967"/>
        <v>burtoni</v>
      </c>
      <c r="L1513" s="78">
        <f t="shared" si="967"/>
        <v>6</v>
      </c>
      <c r="M1513" s="78">
        <f t="shared" si="967"/>
        <v>12</v>
      </c>
      <c r="N1513" s="72">
        <f t="shared" si="967"/>
        <v>0</v>
      </c>
      <c r="O1513" s="45"/>
      <c r="P1513" s="46">
        <f t="shared" ref="P1513:P1579" si="968">IF(F1513="","",1)</f>
        <v>1</v>
      </c>
      <c r="Q1513" s="47" t="str">
        <f t="shared" ref="Q1513:Q1579" si="969">TEXT(IF(P1513=1,CONCATENATE($D1513,":",$E1513,":",(LEFT($F1513,2))),""),"hh:mm:ss")</f>
        <v>14:48:57</v>
      </c>
      <c r="R1513" s="48" t="str">
        <f t="shared" ref="R1513:R1579" si="970">TEXT(Q1513-TIME(0,RIGHT($H1513,2),$G$9)+(Q1513&gt;TIME(0,RIGHT($H1513,2),$G$9)),"mm:ss")</f>
        <v>48:57</v>
      </c>
      <c r="S1513" s="49">
        <f t="shared" ref="S1513:S1579" si="971">IF(T1513&lt;D1513, (T1513*3600+U1513*60+V1513)+((23*3600+59*60+60)-(D1513*3600+E1513*60+LEFT(F1513,2))), (T1513*3600+U1513*60+V1513)-(D1513*3600+E1513*60+LEFT(F1513,2)))</f>
        <v>83</v>
      </c>
      <c r="T1513" s="48" t="str">
        <f t="shared" ref="T1513:T1579" si="972">TEXT(IF(P1513=1,D1513,""),"00")</f>
        <v>14</v>
      </c>
      <c r="U1513" s="50">
        <v>50</v>
      </c>
      <c r="V1513" s="51">
        <v>20</v>
      </c>
      <c r="W1513" s="52" t="str">
        <f t="shared" ref="W1513:W1579" si="973">IF(O1513=0,TEXT(TIME(T1513,U1513,V1513)-TIME(D1513,E1513,RIGHT(F1513,2))+TIME(0,LEFT(R1513,2),RIGHT(R1513,2)),"mm:ss"),TEXT(TIME(T1513,U1513,V1513)-TIME(D1513,E1513,RIGHT(F1513,2))+TIME(0,LEFT(R1513,2),RIGHT(R1513,2))-TIME(0,($G$10*O1513),0),"mm:ss"))</f>
        <v>50:20</v>
      </c>
      <c r="X1513" s="53" t="s">
        <v>61</v>
      </c>
      <c r="Y1513" s="97" t="s">
        <v>84</v>
      </c>
      <c r="Z1513" s="97" t="s">
        <v>80</v>
      </c>
      <c r="AA1513" s="48" t="s">
        <v>60</v>
      </c>
      <c r="AB1513" s="48" t="str">
        <f t="shared" ref="AB1513:AB1579" si="974">IF(AA1513&lt;&gt;0,"NA","")</f>
        <v>NA</v>
      </c>
      <c r="AC1513" s="54">
        <f t="shared" ref="AC1513:AC1579" si="975">IF(SUM(AH1513,AJ1513,AL1513,AN1513,AP1513,AR1513,AT1513)=S1513,,"")</f>
        <v>0</v>
      </c>
      <c r="AD1513" s="55">
        <f t="shared" ref="AD1513:AD1579" si="976">IF(P1513=1,1,"")</f>
        <v>1</v>
      </c>
      <c r="AE1513" s="55"/>
      <c r="AF1513" s="55"/>
      <c r="AG1513" s="56" t="str">
        <f t="shared" ref="AG1513:AG1579" si="977">IF(OR(X1513="Something small"),1,"")</f>
        <v/>
      </c>
      <c r="AH1513" s="57" t="str">
        <f t="shared" ref="AH1513:AH1579" si="978">IF(AG1513=1,$S1513,"")</f>
        <v/>
      </c>
      <c r="AI1513" s="56"/>
      <c r="AJ1513" s="57" t="str">
        <f t="shared" ref="AJ1513:AJ1579" si="979">IF(AI1513=1,$S1513,"")</f>
        <v/>
      </c>
      <c r="AK1513" s="56">
        <v>1</v>
      </c>
      <c r="AL1513" s="57">
        <f t="shared" ref="AL1513:AL1579" si="980">IF(AK1513=1,$S1513,"")</f>
        <v>83</v>
      </c>
      <c r="AM1513" s="56"/>
      <c r="AN1513" s="57" t="str">
        <f t="shared" ref="AN1513:AN1579" si="981">IF(AM1513=1,$S1513,"")</f>
        <v/>
      </c>
      <c r="AO1513" s="56"/>
      <c r="AP1513" s="57" t="str">
        <f t="shared" ref="AP1513:AP1579" si="982">IF(AO1513=1,$S1513,"")</f>
        <v/>
      </c>
      <c r="AQ1513" s="56"/>
      <c r="AR1513" s="57" t="str">
        <f t="shared" ref="AR1513:AR1579" si="983">IF(AQ1513=1,$S1513,"")</f>
        <v/>
      </c>
      <c r="AS1513" s="56"/>
      <c r="AT1513" s="57" t="str">
        <f t="shared" ref="AT1513:AT1579" si="984">IF(AS1513=1,$S1513,"")</f>
        <v/>
      </c>
      <c r="AU1513" s="58"/>
      <c r="AV1513" s="59"/>
      <c r="AW1513" s="59"/>
      <c r="AX1513" s="60"/>
      <c r="AY1513" s="61">
        <v>1</v>
      </c>
      <c r="AZ1513" s="62">
        <f t="shared" ref="AZ1513:AZ1579" si="985">IF(AY1513=1,AD1513,"")</f>
        <v>1</v>
      </c>
      <c r="BA1513" s="61">
        <f t="shared" ref="BA1513:BA1579" si="986">IF(P1513=1,0,"")</f>
        <v>0</v>
      </c>
      <c r="BB1513" s="62" t="str">
        <f t="shared" ref="BB1513:BB1579" si="987">IF(BA1513=1,AD1513,"")</f>
        <v/>
      </c>
    </row>
    <row r="1514" spans="1:54" hidden="1" x14ac:dyDescent="0.35">
      <c r="A1514" s="73">
        <f t="shared" si="945"/>
        <v>2019</v>
      </c>
      <c r="B1514" s="73" t="str">
        <f t="shared" si="963"/>
        <v>Nov</v>
      </c>
      <c r="C1514" s="74">
        <f t="shared" si="964"/>
        <v>17</v>
      </c>
      <c r="D1514" s="75">
        <f t="shared" si="965"/>
        <v>14</v>
      </c>
      <c r="E1514" s="76">
        <v>48</v>
      </c>
      <c r="F1514" s="80">
        <v>57</v>
      </c>
      <c r="G1514" s="83"/>
      <c r="H1514" s="69" t="str">
        <f t="shared" si="966"/>
        <v>Senbur6_20191117_14_00</v>
      </c>
      <c r="I1514" s="70">
        <f t="shared" ref="I1514:N1514" si="988">I1513</f>
        <v>1</v>
      </c>
      <c r="J1514" s="77" t="str">
        <f t="shared" si="988"/>
        <v>Senecio</v>
      </c>
      <c r="K1514" s="77" t="str">
        <f t="shared" si="988"/>
        <v>burtoni</v>
      </c>
      <c r="L1514" s="78">
        <f t="shared" si="988"/>
        <v>6</v>
      </c>
      <c r="M1514" s="78">
        <f t="shared" si="988"/>
        <v>12</v>
      </c>
      <c r="N1514" s="72">
        <f t="shared" si="988"/>
        <v>0</v>
      </c>
      <c r="O1514" s="45"/>
      <c r="P1514" s="46">
        <f t="shared" si="968"/>
        <v>1</v>
      </c>
      <c r="Q1514" s="47" t="str">
        <f t="shared" si="969"/>
        <v>14:48:57</v>
      </c>
      <c r="R1514" s="48" t="str">
        <f t="shared" si="970"/>
        <v>48:57</v>
      </c>
      <c r="S1514" s="49">
        <f t="shared" si="971"/>
        <v>175</v>
      </c>
      <c r="T1514" s="48" t="str">
        <f t="shared" si="972"/>
        <v>14</v>
      </c>
      <c r="U1514" s="50">
        <v>51</v>
      </c>
      <c r="V1514" s="51">
        <v>52</v>
      </c>
      <c r="W1514" s="52" t="str">
        <f t="shared" si="973"/>
        <v>51:52</v>
      </c>
      <c r="X1514" s="53" t="s">
        <v>61</v>
      </c>
      <c r="Y1514" s="97" t="s">
        <v>84</v>
      </c>
      <c r="Z1514" s="97" t="s">
        <v>80</v>
      </c>
      <c r="AA1514" s="48" t="s">
        <v>60</v>
      </c>
      <c r="AB1514" s="48" t="str">
        <f t="shared" si="974"/>
        <v>NA</v>
      </c>
      <c r="AC1514" s="54">
        <f t="shared" si="975"/>
        <v>0</v>
      </c>
      <c r="AD1514" s="55">
        <v>3</v>
      </c>
      <c r="AE1514" s="55"/>
      <c r="AF1514" s="55"/>
      <c r="AG1514" s="56">
        <v>1</v>
      </c>
      <c r="AH1514" s="57">
        <v>3</v>
      </c>
      <c r="AI1514" s="56">
        <v>1</v>
      </c>
      <c r="AJ1514" s="57">
        <v>3</v>
      </c>
      <c r="AK1514" s="56">
        <v>1</v>
      </c>
      <c r="AL1514" s="57">
        <v>169</v>
      </c>
      <c r="AM1514" s="56"/>
      <c r="AN1514" s="57" t="str">
        <f t="shared" si="981"/>
        <v/>
      </c>
      <c r="AO1514" s="56"/>
      <c r="AP1514" s="57" t="str">
        <f t="shared" si="982"/>
        <v/>
      </c>
      <c r="AQ1514" s="56"/>
      <c r="AR1514" s="57" t="str">
        <f t="shared" si="983"/>
        <v/>
      </c>
      <c r="AS1514" s="56"/>
      <c r="AT1514" s="57" t="str">
        <f t="shared" si="984"/>
        <v/>
      </c>
      <c r="AU1514" s="58"/>
      <c r="AV1514" s="59"/>
      <c r="AW1514" s="59"/>
      <c r="AX1514" s="60"/>
      <c r="AY1514" s="61">
        <v>1</v>
      </c>
      <c r="AZ1514" s="62">
        <f t="shared" si="985"/>
        <v>3</v>
      </c>
      <c r="BA1514" s="61">
        <f t="shared" si="986"/>
        <v>0</v>
      </c>
      <c r="BB1514" s="62" t="str">
        <f t="shared" si="987"/>
        <v/>
      </c>
    </row>
    <row r="1515" spans="1:54" hidden="1" x14ac:dyDescent="0.35">
      <c r="A1515" s="73">
        <f t="shared" si="945"/>
        <v>2019</v>
      </c>
      <c r="B1515" s="73" t="str">
        <f t="shared" si="963"/>
        <v>Nov</v>
      </c>
      <c r="C1515" s="74">
        <f t="shared" si="964"/>
        <v>17</v>
      </c>
      <c r="D1515" s="75">
        <f t="shared" si="965"/>
        <v>14</v>
      </c>
      <c r="E1515" s="76">
        <v>48</v>
      </c>
      <c r="F1515" s="80">
        <v>44</v>
      </c>
      <c r="G1515" s="83"/>
      <c r="H1515" s="69" t="str">
        <f t="shared" si="966"/>
        <v>Senbur6_20191117_14_00</v>
      </c>
      <c r="I1515" s="70">
        <f t="shared" ref="I1515:N1515" si="989">I1514</f>
        <v>1</v>
      </c>
      <c r="J1515" s="77" t="str">
        <f t="shared" si="989"/>
        <v>Senecio</v>
      </c>
      <c r="K1515" s="77" t="str">
        <f t="shared" si="989"/>
        <v>burtoni</v>
      </c>
      <c r="L1515" s="78">
        <f t="shared" si="989"/>
        <v>6</v>
      </c>
      <c r="M1515" s="78">
        <f t="shared" si="989"/>
        <v>12</v>
      </c>
      <c r="N1515" s="72">
        <f t="shared" si="989"/>
        <v>0</v>
      </c>
      <c r="O1515" s="45"/>
      <c r="P1515" s="46">
        <f t="shared" si="968"/>
        <v>1</v>
      </c>
      <c r="Q1515" s="47" t="str">
        <f t="shared" si="969"/>
        <v>14:48:44</v>
      </c>
      <c r="R1515" s="48" t="str">
        <f t="shared" si="970"/>
        <v>48:44</v>
      </c>
      <c r="S1515" s="49">
        <f t="shared" si="971"/>
        <v>16</v>
      </c>
      <c r="T1515" s="48" t="str">
        <f t="shared" si="972"/>
        <v>14</v>
      </c>
      <c r="U1515" s="50">
        <v>49</v>
      </c>
      <c r="V1515" s="51">
        <v>0</v>
      </c>
      <c r="W1515" s="52" t="str">
        <f t="shared" si="973"/>
        <v>49:00</v>
      </c>
      <c r="X1515" s="53" t="s">
        <v>73</v>
      </c>
      <c r="Y1515" s="97" t="s">
        <v>90</v>
      </c>
      <c r="Z1515" s="97"/>
      <c r="AA1515" s="48" t="s">
        <v>63</v>
      </c>
      <c r="AB1515" s="48" t="str">
        <f t="shared" si="974"/>
        <v>NA</v>
      </c>
      <c r="AC1515" s="54">
        <f t="shared" si="975"/>
        <v>0</v>
      </c>
      <c r="AD1515" s="55">
        <f t="shared" si="976"/>
        <v>1</v>
      </c>
      <c r="AE1515" s="55"/>
      <c r="AF1515" s="55"/>
      <c r="AG1515" s="56">
        <v>1</v>
      </c>
      <c r="AH1515" s="57">
        <f t="shared" si="978"/>
        <v>16</v>
      </c>
      <c r="AI1515" s="56"/>
      <c r="AJ1515" s="57" t="str">
        <f t="shared" si="979"/>
        <v/>
      </c>
      <c r="AK1515" s="56"/>
      <c r="AL1515" s="57" t="str">
        <f t="shared" si="980"/>
        <v/>
      </c>
      <c r="AM1515" s="56"/>
      <c r="AN1515" s="57" t="str">
        <f t="shared" si="981"/>
        <v/>
      </c>
      <c r="AO1515" s="56"/>
      <c r="AP1515" s="57" t="str">
        <f t="shared" si="982"/>
        <v/>
      </c>
      <c r="AQ1515" s="56"/>
      <c r="AR1515" s="57" t="str">
        <f t="shared" si="983"/>
        <v/>
      </c>
      <c r="AS1515" s="56"/>
      <c r="AT1515" s="57" t="str">
        <f t="shared" si="984"/>
        <v/>
      </c>
      <c r="AU1515" s="58"/>
      <c r="AV1515" s="59"/>
      <c r="AW1515" s="59"/>
      <c r="AX1515" s="60"/>
      <c r="AY1515" s="61">
        <f t="shared" ref="AY1515:AY1579" si="990">IF(P1515=1,0,"")</f>
        <v>0</v>
      </c>
      <c r="AZ1515" s="62" t="str">
        <f t="shared" si="985"/>
        <v/>
      </c>
      <c r="BA1515" s="61">
        <f t="shared" si="986"/>
        <v>0</v>
      </c>
      <c r="BB1515" s="62" t="str">
        <f t="shared" si="987"/>
        <v/>
      </c>
    </row>
    <row r="1516" spans="1:54" hidden="1" x14ac:dyDescent="0.35">
      <c r="A1516" s="73">
        <f t="shared" si="945"/>
        <v>2019</v>
      </c>
      <c r="B1516" s="73" t="str">
        <f t="shared" si="963"/>
        <v>Nov</v>
      </c>
      <c r="C1516" s="74">
        <f t="shared" si="964"/>
        <v>17</v>
      </c>
      <c r="D1516" s="75">
        <f t="shared" si="965"/>
        <v>14</v>
      </c>
      <c r="E1516" s="76">
        <f t="shared" si="946"/>
        <v>49</v>
      </c>
      <c r="F1516" s="80"/>
      <c r="G1516" s="83"/>
      <c r="H1516" s="69" t="str">
        <f t="shared" si="966"/>
        <v>Senbur6_20191117_14_00</v>
      </c>
      <c r="I1516" s="70">
        <f t="shared" ref="I1516:N1516" si="991">I1515</f>
        <v>1</v>
      </c>
      <c r="J1516" s="77" t="str">
        <f t="shared" si="991"/>
        <v>Senecio</v>
      </c>
      <c r="K1516" s="77" t="str">
        <f t="shared" si="991"/>
        <v>burtoni</v>
      </c>
      <c r="L1516" s="78">
        <f t="shared" si="991"/>
        <v>6</v>
      </c>
      <c r="M1516" s="78">
        <f t="shared" si="991"/>
        <v>12</v>
      </c>
      <c r="N1516" s="72">
        <f t="shared" si="991"/>
        <v>0</v>
      </c>
      <c r="O1516" s="45"/>
      <c r="P1516" s="46" t="str">
        <f t="shared" si="968"/>
        <v/>
      </c>
      <c r="Q1516" s="47" t="str">
        <f t="shared" si="969"/>
        <v/>
      </c>
      <c r="R1516" s="48" t="e">
        <f t="shared" si="970"/>
        <v>#VALUE!</v>
      </c>
      <c r="S1516" s="49" t="e">
        <f t="shared" si="971"/>
        <v>#VALUE!</v>
      </c>
      <c r="T1516" s="48" t="str">
        <f t="shared" si="972"/>
        <v/>
      </c>
      <c r="U1516" s="50"/>
      <c r="V1516" s="51"/>
      <c r="W1516" s="52" t="e">
        <f t="shared" si="973"/>
        <v>#VALUE!</v>
      </c>
      <c r="X1516" s="53"/>
      <c r="Y1516" s="53"/>
      <c r="Z1516" s="53"/>
      <c r="AA1516" s="48" t="e">
        <f>INDEX([1]!VISITORS[INSECT ORDER], MATCH(X1516,[1]!VISITORS[NAME USED],0))</f>
        <v>#REF!</v>
      </c>
      <c r="AB1516" s="48" t="e">
        <f t="shared" si="974"/>
        <v>#REF!</v>
      </c>
      <c r="AC1516" s="54" t="e">
        <f t="shared" si="975"/>
        <v>#VALUE!</v>
      </c>
      <c r="AD1516" s="55" t="str">
        <f t="shared" si="976"/>
        <v/>
      </c>
      <c r="AE1516" s="55"/>
      <c r="AF1516" s="55"/>
      <c r="AG1516" s="56" t="str">
        <f t="shared" si="977"/>
        <v/>
      </c>
      <c r="AH1516" s="57" t="str">
        <f t="shared" si="978"/>
        <v/>
      </c>
      <c r="AI1516" s="56"/>
      <c r="AJ1516" s="57" t="str">
        <f t="shared" si="979"/>
        <v/>
      </c>
      <c r="AK1516" s="56"/>
      <c r="AL1516" s="57" t="str">
        <f t="shared" si="980"/>
        <v/>
      </c>
      <c r="AM1516" s="56"/>
      <c r="AN1516" s="57" t="str">
        <f t="shared" si="981"/>
        <v/>
      </c>
      <c r="AO1516" s="56"/>
      <c r="AP1516" s="57" t="str">
        <f t="shared" si="982"/>
        <v/>
      </c>
      <c r="AQ1516" s="56"/>
      <c r="AR1516" s="57" t="str">
        <f t="shared" si="983"/>
        <v/>
      </c>
      <c r="AS1516" s="56"/>
      <c r="AT1516" s="57" t="str">
        <f t="shared" si="984"/>
        <v/>
      </c>
      <c r="AU1516" s="58"/>
      <c r="AV1516" s="59"/>
      <c r="AW1516" s="59"/>
      <c r="AX1516" s="60"/>
      <c r="AY1516" s="61" t="str">
        <f t="shared" si="990"/>
        <v/>
      </c>
      <c r="AZ1516" s="62" t="str">
        <f t="shared" si="985"/>
        <v/>
      </c>
      <c r="BA1516" s="61" t="str">
        <f t="shared" si="986"/>
        <v/>
      </c>
      <c r="BB1516" s="62" t="str">
        <f t="shared" si="987"/>
        <v/>
      </c>
    </row>
    <row r="1517" spans="1:54" hidden="1" x14ac:dyDescent="0.35">
      <c r="A1517" s="73">
        <f t="shared" si="945"/>
        <v>2019</v>
      </c>
      <c r="B1517" s="73" t="str">
        <f t="shared" si="963"/>
        <v>Nov</v>
      </c>
      <c r="C1517" s="74">
        <f t="shared" si="964"/>
        <v>17</v>
      </c>
      <c r="D1517" s="75">
        <f t="shared" si="965"/>
        <v>14</v>
      </c>
      <c r="E1517" s="76">
        <f t="shared" si="946"/>
        <v>50</v>
      </c>
      <c r="F1517" s="80">
        <v>4</v>
      </c>
      <c r="G1517" s="83"/>
      <c r="H1517" s="69" t="str">
        <f t="shared" si="966"/>
        <v>Senbur6_20191117_14_00</v>
      </c>
      <c r="I1517" s="70">
        <f t="shared" ref="I1517:N1517" si="992">I1516</f>
        <v>1</v>
      </c>
      <c r="J1517" s="77" t="str">
        <f t="shared" si="992"/>
        <v>Senecio</v>
      </c>
      <c r="K1517" s="77" t="str">
        <f t="shared" si="992"/>
        <v>burtoni</v>
      </c>
      <c r="L1517" s="78">
        <f t="shared" si="992"/>
        <v>6</v>
      </c>
      <c r="M1517" s="78">
        <f t="shared" si="992"/>
        <v>12</v>
      </c>
      <c r="N1517" s="72">
        <f t="shared" si="992"/>
        <v>0</v>
      </c>
      <c r="O1517" s="45"/>
      <c r="P1517" s="46">
        <f t="shared" si="968"/>
        <v>1</v>
      </c>
      <c r="Q1517" s="47" t="str">
        <f t="shared" si="969"/>
        <v>14:50:04</v>
      </c>
      <c r="R1517" s="48" t="str">
        <f t="shared" si="970"/>
        <v>50:04</v>
      </c>
      <c r="S1517" s="49">
        <f t="shared" si="971"/>
        <v>16</v>
      </c>
      <c r="T1517" s="48" t="str">
        <f t="shared" si="972"/>
        <v>14</v>
      </c>
      <c r="U1517" s="50">
        <v>50</v>
      </c>
      <c r="V1517" s="51">
        <v>20</v>
      </c>
      <c r="W1517" s="52" t="str">
        <f t="shared" si="973"/>
        <v>50:20</v>
      </c>
      <c r="X1517" s="53" t="s">
        <v>61</v>
      </c>
      <c r="Y1517" s="97" t="s">
        <v>78</v>
      </c>
      <c r="Z1517" s="97"/>
      <c r="AA1517" s="48" t="s">
        <v>60</v>
      </c>
      <c r="AB1517" s="48" t="str">
        <f t="shared" si="974"/>
        <v>NA</v>
      </c>
      <c r="AC1517" s="54">
        <f t="shared" si="975"/>
        <v>0</v>
      </c>
      <c r="AD1517" s="55">
        <v>2</v>
      </c>
      <c r="AE1517" s="55"/>
      <c r="AF1517" s="55"/>
      <c r="AG1517" s="56">
        <v>1</v>
      </c>
      <c r="AH1517" s="57">
        <v>2</v>
      </c>
      <c r="AI1517" s="56"/>
      <c r="AJ1517" s="57" t="str">
        <f t="shared" si="979"/>
        <v/>
      </c>
      <c r="AK1517" s="56">
        <v>1</v>
      </c>
      <c r="AL1517" s="57">
        <v>14</v>
      </c>
      <c r="AM1517" s="56"/>
      <c r="AN1517" s="57" t="str">
        <f t="shared" si="981"/>
        <v/>
      </c>
      <c r="AO1517" s="56"/>
      <c r="AP1517" s="57" t="str">
        <f t="shared" si="982"/>
        <v/>
      </c>
      <c r="AQ1517" s="56"/>
      <c r="AR1517" s="57" t="str">
        <f t="shared" si="983"/>
        <v/>
      </c>
      <c r="AS1517" s="56"/>
      <c r="AT1517" s="57" t="str">
        <f t="shared" si="984"/>
        <v/>
      </c>
      <c r="AU1517" s="58"/>
      <c r="AV1517" s="59"/>
      <c r="AW1517" s="59"/>
      <c r="AX1517" s="60"/>
      <c r="AY1517" s="61">
        <v>1</v>
      </c>
      <c r="AZ1517" s="62">
        <v>1</v>
      </c>
      <c r="BA1517" s="61">
        <f t="shared" si="986"/>
        <v>0</v>
      </c>
      <c r="BB1517" s="62" t="str">
        <f t="shared" si="987"/>
        <v/>
      </c>
    </row>
    <row r="1518" spans="1:54" hidden="1" x14ac:dyDescent="0.35">
      <c r="A1518" s="73">
        <f t="shared" si="945"/>
        <v>2019</v>
      </c>
      <c r="B1518" s="73" t="str">
        <f t="shared" si="963"/>
        <v>Nov</v>
      </c>
      <c r="C1518" s="74">
        <f t="shared" si="964"/>
        <v>17</v>
      </c>
      <c r="D1518" s="75">
        <f t="shared" si="965"/>
        <v>14</v>
      </c>
      <c r="E1518" s="76">
        <v>50</v>
      </c>
      <c r="F1518" s="80">
        <v>20</v>
      </c>
      <c r="G1518" s="83"/>
      <c r="H1518" s="69" t="str">
        <f t="shared" si="966"/>
        <v>Senbur6_20191117_14_00</v>
      </c>
      <c r="I1518" s="70">
        <f t="shared" ref="I1518:N1518" si="993">I1517</f>
        <v>1</v>
      </c>
      <c r="J1518" s="77" t="str">
        <f t="shared" si="993"/>
        <v>Senecio</v>
      </c>
      <c r="K1518" s="77" t="str">
        <f t="shared" si="993"/>
        <v>burtoni</v>
      </c>
      <c r="L1518" s="78">
        <f t="shared" si="993"/>
        <v>6</v>
      </c>
      <c r="M1518" s="78">
        <f t="shared" si="993"/>
        <v>12</v>
      </c>
      <c r="N1518" s="72">
        <f t="shared" si="993"/>
        <v>0</v>
      </c>
      <c r="O1518" s="45"/>
      <c r="P1518" s="46">
        <f t="shared" si="968"/>
        <v>1</v>
      </c>
      <c r="Q1518" s="47" t="str">
        <f t="shared" si="969"/>
        <v>14:50:20</v>
      </c>
      <c r="R1518" s="48" t="str">
        <f t="shared" si="970"/>
        <v>50:20</v>
      </c>
      <c r="S1518" s="49">
        <f t="shared" si="971"/>
        <v>19</v>
      </c>
      <c r="T1518" s="48" t="str">
        <f t="shared" si="972"/>
        <v>14</v>
      </c>
      <c r="U1518" s="50">
        <v>50</v>
      </c>
      <c r="V1518" s="51">
        <v>39</v>
      </c>
      <c r="W1518" s="52" t="str">
        <f t="shared" si="973"/>
        <v>50:39</v>
      </c>
      <c r="X1518" s="53" t="s">
        <v>61</v>
      </c>
      <c r="Y1518" s="97" t="s">
        <v>84</v>
      </c>
      <c r="Z1518" s="97" t="s">
        <v>80</v>
      </c>
      <c r="AA1518" s="48" t="s">
        <v>60</v>
      </c>
      <c r="AB1518" s="48" t="str">
        <f t="shared" si="974"/>
        <v>NA</v>
      </c>
      <c r="AC1518" s="54">
        <f t="shared" si="975"/>
        <v>0</v>
      </c>
      <c r="AD1518" s="55">
        <f t="shared" si="976"/>
        <v>1</v>
      </c>
      <c r="AE1518" s="55"/>
      <c r="AF1518" s="55"/>
      <c r="AG1518" s="56" t="str">
        <f t="shared" si="977"/>
        <v/>
      </c>
      <c r="AH1518" s="57" t="str">
        <f t="shared" si="978"/>
        <v/>
      </c>
      <c r="AI1518" s="56"/>
      <c r="AJ1518" s="57" t="str">
        <f t="shared" si="979"/>
        <v/>
      </c>
      <c r="AK1518" s="56">
        <v>1</v>
      </c>
      <c r="AL1518" s="57">
        <f t="shared" si="980"/>
        <v>19</v>
      </c>
      <c r="AM1518" s="56"/>
      <c r="AN1518" s="57" t="str">
        <f t="shared" si="981"/>
        <v/>
      </c>
      <c r="AO1518" s="56"/>
      <c r="AP1518" s="57" t="str">
        <f t="shared" si="982"/>
        <v/>
      </c>
      <c r="AQ1518" s="56"/>
      <c r="AR1518" s="57" t="str">
        <f t="shared" si="983"/>
        <v/>
      </c>
      <c r="AS1518" s="56"/>
      <c r="AT1518" s="57" t="str">
        <f t="shared" si="984"/>
        <v/>
      </c>
      <c r="AU1518" s="58"/>
      <c r="AV1518" s="59"/>
      <c r="AW1518" s="59"/>
      <c r="AX1518" s="60"/>
      <c r="AY1518" s="61">
        <v>1</v>
      </c>
      <c r="AZ1518" s="62">
        <f t="shared" si="985"/>
        <v>1</v>
      </c>
      <c r="BA1518" s="61">
        <f t="shared" si="986"/>
        <v>0</v>
      </c>
      <c r="BB1518" s="62" t="str">
        <f t="shared" si="987"/>
        <v/>
      </c>
    </row>
    <row r="1519" spans="1:54" hidden="1" x14ac:dyDescent="0.35">
      <c r="A1519" s="73">
        <f t="shared" si="945"/>
        <v>2019</v>
      </c>
      <c r="B1519" s="73" t="str">
        <f t="shared" si="963"/>
        <v>Nov</v>
      </c>
      <c r="C1519" s="74">
        <f t="shared" si="964"/>
        <v>17</v>
      </c>
      <c r="D1519" s="75">
        <f t="shared" si="965"/>
        <v>14</v>
      </c>
      <c r="E1519" s="76">
        <v>50</v>
      </c>
      <c r="F1519" s="80">
        <v>22</v>
      </c>
      <c r="G1519" s="83"/>
      <c r="H1519" s="69" t="str">
        <f t="shared" si="966"/>
        <v>Senbur6_20191117_14_00</v>
      </c>
      <c r="I1519" s="70">
        <f t="shared" ref="I1519:N1519" si="994">I1518</f>
        <v>1</v>
      </c>
      <c r="J1519" s="77" t="str">
        <f t="shared" si="994"/>
        <v>Senecio</v>
      </c>
      <c r="K1519" s="77" t="str">
        <f t="shared" si="994"/>
        <v>burtoni</v>
      </c>
      <c r="L1519" s="78">
        <f t="shared" si="994"/>
        <v>6</v>
      </c>
      <c r="M1519" s="78">
        <f t="shared" si="994"/>
        <v>12</v>
      </c>
      <c r="N1519" s="72">
        <f t="shared" si="994"/>
        <v>0</v>
      </c>
      <c r="O1519" s="45"/>
      <c r="P1519" s="46">
        <f t="shared" si="968"/>
        <v>1</v>
      </c>
      <c r="Q1519" s="47" t="str">
        <f t="shared" si="969"/>
        <v>14:50:22</v>
      </c>
      <c r="R1519" s="48" t="str">
        <f t="shared" si="970"/>
        <v>50:22</v>
      </c>
      <c r="S1519" s="49">
        <f t="shared" si="971"/>
        <v>17</v>
      </c>
      <c r="T1519" s="48" t="str">
        <f t="shared" si="972"/>
        <v>14</v>
      </c>
      <c r="U1519" s="50">
        <v>50</v>
      </c>
      <c r="V1519" s="51">
        <v>39</v>
      </c>
      <c r="W1519" s="52" t="str">
        <f t="shared" si="973"/>
        <v>50:39</v>
      </c>
      <c r="X1519" s="53" t="s">
        <v>61</v>
      </c>
      <c r="Y1519" s="97" t="s">
        <v>84</v>
      </c>
      <c r="Z1519" s="97" t="s">
        <v>80</v>
      </c>
      <c r="AA1519" s="48" t="s">
        <v>60</v>
      </c>
      <c r="AB1519" s="48" t="str">
        <f t="shared" si="974"/>
        <v>NA</v>
      </c>
      <c r="AC1519" s="54">
        <f t="shared" si="975"/>
        <v>0</v>
      </c>
      <c r="AD1519" s="55">
        <f t="shared" si="976"/>
        <v>1</v>
      </c>
      <c r="AE1519" s="55"/>
      <c r="AF1519" s="55"/>
      <c r="AG1519" s="56" t="str">
        <f t="shared" si="977"/>
        <v/>
      </c>
      <c r="AH1519" s="57" t="str">
        <f t="shared" si="978"/>
        <v/>
      </c>
      <c r="AI1519" s="56"/>
      <c r="AJ1519" s="57" t="str">
        <f t="shared" si="979"/>
        <v/>
      </c>
      <c r="AK1519" s="56">
        <v>1</v>
      </c>
      <c r="AL1519" s="57">
        <f t="shared" si="980"/>
        <v>17</v>
      </c>
      <c r="AM1519" s="56"/>
      <c r="AN1519" s="57" t="str">
        <f t="shared" si="981"/>
        <v/>
      </c>
      <c r="AO1519" s="56"/>
      <c r="AP1519" s="57" t="str">
        <f t="shared" si="982"/>
        <v/>
      </c>
      <c r="AQ1519" s="56"/>
      <c r="AR1519" s="57" t="str">
        <f t="shared" si="983"/>
        <v/>
      </c>
      <c r="AS1519" s="56"/>
      <c r="AT1519" s="57" t="str">
        <f t="shared" si="984"/>
        <v/>
      </c>
      <c r="AU1519" s="58"/>
      <c r="AV1519" s="59"/>
      <c r="AW1519" s="59"/>
      <c r="AX1519" s="60"/>
      <c r="AY1519" s="61">
        <v>1</v>
      </c>
      <c r="AZ1519" s="62">
        <f t="shared" si="985"/>
        <v>1</v>
      </c>
      <c r="BA1519" s="61">
        <f t="shared" si="986"/>
        <v>0</v>
      </c>
      <c r="BB1519" s="62" t="str">
        <f t="shared" si="987"/>
        <v/>
      </c>
    </row>
    <row r="1520" spans="1:54" hidden="1" x14ac:dyDescent="0.35">
      <c r="A1520" s="73">
        <f t="shared" si="945"/>
        <v>2019</v>
      </c>
      <c r="B1520" s="73" t="str">
        <f t="shared" si="963"/>
        <v>Nov</v>
      </c>
      <c r="C1520" s="74">
        <f t="shared" si="964"/>
        <v>17</v>
      </c>
      <c r="D1520" s="75">
        <f t="shared" si="965"/>
        <v>14</v>
      </c>
      <c r="E1520" s="76">
        <v>50</v>
      </c>
      <c r="F1520" s="80">
        <v>26</v>
      </c>
      <c r="G1520" s="83"/>
      <c r="H1520" s="69" t="str">
        <f t="shared" si="966"/>
        <v>Senbur6_20191117_14_00</v>
      </c>
      <c r="I1520" s="70">
        <f t="shared" ref="I1520:N1520" si="995">I1519</f>
        <v>1</v>
      </c>
      <c r="J1520" s="77" t="str">
        <f t="shared" si="995"/>
        <v>Senecio</v>
      </c>
      <c r="K1520" s="77" t="str">
        <f t="shared" si="995"/>
        <v>burtoni</v>
      </c>
      <c r="L1520" s="78">
        <f t="shared" si="995"/>
        <v>6</v>
      </c>
      <c r="M1520" s="78">
        <f t="shared" si="995"/>
        <v>12</v>
      </c>
      <c r="N1520" s="72">
        <f t="shared" si="995"/>
        <v>0</v>
      </c>
      <c r="O1520" s="45"/>
      <c r="P1520" s="46">
        <f t="shared" si="968"/>
        <v>1</v>
      </c>
      <c r="Q1520" s="47" t="str">
        <f t="shared" si="969"/>
        <v>14:50:26</v>
      </c>
      <c r="R1520" s="48" t="str">
        <f t="shared" si="970"/>
        <v>50:26</v>
      </c>
      <c r="S1520" s="49">
        <f t="shared" si="971"/>
        <v>16</v>
      </c>
      <c r="T1520" s="48" t="str">
        <f t="shared" si="972"/>
        <v>14</v>
      </c>
      <c r="U1520" s="50">
        <v>50</v>
      </c>
      <c r="V1520" s="51">
        <v>42</v>
      </c>
      <c r="W1520" s="52" t="str">
        <f t="shared" si="973"/>
        <v>50:42</v>
      </c>
      <c r="X1520" s="53" t="s">
        <v>61</v>
      </c>
      <c r="Y1520" s="97" t="s">
        <v>82</v>
      </c>
      <c r="Z1520" s="97"/>
      <c r="AA1520" s="48" t="s">
        <v>60</v>
      </c>
      <c r="AB1520" s="48" t="str">
        <f t="shared" si="974"/>
        <v>NA</v>
      </c>
      <c r="AC1520" s="54">
        <f t="shared" si="975"/>
        <v>0</v>
      </c>
      <c r="AD1520" s="55">
        <f t="shared" si="976"/>
        <v>1</v>
      </c>
      <c r="AE1520" s="55"/>
      <c r="AF1520" s="55"/>
      <c r="AG1520" s="56">
        <v>1</v>
      </c>
      <c r="AH1520" s="57">
        <v>1</v>
      </c>
      <c r="AI1520" s="56"/>
      <c r="AJ1520" s="57" t="str">
        <f t="shared" si="979"/>
        <v/>
      </c>
      <c r="AK1520" s="56">
        <v>1</v>
      </c>
      <c r="AL1520" s="57">
        <v>15</v>
      </c>
      <c r="AM1520" s="56"/>
      <c r="AN1520" s="57" t="str">
        <f t="shared" si="981"/>
        <v/>
      </c>
      <c r="AO1520" s="56"/>
      <c r="AP1520" s="57" t="str">
        <f t="shared" si="982"/>
        <v/>
      </c>
      <c r="AQ1520" s="56"/>
      <c r="AR1520" s="57" t="str">
        <f t="shared" si="983"/>
        <v/>
      </c>
      <c r="AS1520" s="56"/>
      <c r="AT1520" s="57" t="str">
        <f t="shared" si="984"/>
        <v/>
      </c>
      <c r="AU1520" s="58"/>
      <c r="AV1520" s="59"/>
      <c r="AW1520" s="59"/>
      <c r="AX1520" s="60"/>
      <c r="AY1520" s="61">
        <v>1</v>
      </c>
      <c r="AZ1520" s="62">
        <f t="shared" si="985"/>
        <v>1</v>
      </c>
      <c r="BA1520" s="61">
        <f t="shared" si="986"/>
        <v>0</v>
      </c>
      <c r="BB1520" s="62" t="str">
        <f t="shared" si="987"/>
        <v/>
      </c>
    </row>
    <row r="1521" spans="1:54" hidden="1" x14ac:dyDescent="0.35">
      <c r="A1521" s="73">
        <f t="shared" si="945"/>
        <v>2019</v>
      </c>
      <c r="B1521" s="73" t="str">
        <f t="shared" si="963"/>
        <v>Nov</v>
      </c>
      <c r="C1521" s="74">
        <f t="shared" si="964"/>
        <v>17</v>
      </c>
      <c r="D1521" s="75">
        <f t="shared" si="965"/>
        <v>14</v>
      </c>
      <c r="E1521" s="76">
        <v>50</v>
      </c>
      <c r="F1521" s="80">
        <v>43</v>
      </c>
      <c r="G1521" s="83"/>
      <c r="H1521" s="69" t="str">
        <f t="shared" si="966"/>
        <v>Senbur6_20191117_14_00</v>
      </c>
      <c r="I1521" s="70">
        <f t="shared" ref="I1521:N1521" si="996">I1520</f>
        <v>1</v>
      </c>
      <c r="J1521" s="77" t="str">
        <f t="shared" si="996"/>
        <v>Senecio</v>
      </c>
      <c r="K1521" s="77" t="str">
        <f t="shared" si="996"/>
        <v>burtoni</v>
      </c>
      <c r="L1521" s="78">
        <f t="shared" si="996"/>
        <v>6</v>
      </c>
      <c r="M1521" s="78">
        <f t="shared" si="996"/>
        <v>12</v>
      </c>
      <c r="N1521" s="72">
        <f t="shared" si="996"/>
        <v>0</v>
      </c>
      <c r="O1521" s="45"/>
      <c r="P1521" s="46">
        <f t="shared" si="968"/>
        <v>1</v>
      </c>
      <c r="Q1521" s="47" t="str">
        <f t="shared" si="969"/>
        <v>14:50:43</v>
      </c>
      <c r="R1521" s="48" t="str">
        <f t="shared" si="970"/>
        <v>50:43</v>
      </c>
      <c r="S1521" s="49">
        <f t="shared" si="971"/>
        <v>115</v>
      </c>
      <c r="T1521" s="48" t="str">
        <f t="shared" si="972"/>
        <v>14</v>
      </c>
      <c r="U1521" s="50">
        <v>52</v>
      </c>
      <c r="V1521" s="51">
        <v>38</v>
      </c>
      <c r="W1521" s="52" t="str">
        <f t="shared" si="973"/>
        <v>52:38</v>
      </c>
      <c r="X1521" s="53" t="s">
        <v>61</v>
      </c>
      <c r="Y1521" s="97" t="s">
        <v>84</v>
      </c>
      <c r="Z1521" s="97" t="s">
        <v>80</v>
      </c>
      <c r="AA1521" s="48" t="s">
        <v>60</v>
      </c>
      <c r="AB1521" s="48" t="str">
        <f t="shared" si="974"/>
        <v>NA</v>
      </c>
      <c r="AC1521" s="54">
        <f t="shared" si="975"/>
        <v>0</v>
      </c>
      <c r="AD1521" s="55">
        <v>3</v>
      </c>
      <c r="AE1521" s="55"/>
      <c r="AF1521" s="55"/>
      <c r="AG1521" s="56" t="str">
        <f t="shared" si="977"/>
        <v/>
      </c>
      <c r="AH1521" s="57" t="str">
        <f t="shared" si="978"/>
        <v/>
      </c>
      <c r="AI1521" s="56">
        <v>1</v>
      </c>
      <c r="AJ1521" s="57">
        <v>3</v>
      </c>
      <c r="AK1521" s="56">
        <v>1</v>
      </c>
      <c r="AL1521" s="57">
        <v>112</v>
      </c>
      <c r="AM1521" s="56"/>
      <c r="AN1521" s="57" t="str">
        <f t="shared" si="981"/>
        <v/>
      </c>
      <c r="AO1521" s="56"/>
      <c r="AP1521" s="57" t="str">
        <f t="shared" si="982"/>
        <v/>
      </c>
      <c r="AQ1521" s="56"/>
      <c r="AR1521" s="57" t="str">
        <f t="shared" si="983"/>
        <v/>
      </c>
      <c r="AS1521" s="56"/>
      <c r="AT1521" s="57" t="str">
        <f t="shared" si="984"/>
        <v/>
      </c>
      <c r="AU1521" s="58"/>
      <c r="AV1521" s="59"/>
      <c r="AW1521" s="59"/>
      <c r="AX1521" s="60"/>
      <c r="AY1521" s="61">
        <v>1</v>
      </c>
      <c r="AZ1521" s="62">
        <f t="shared" si="985"/>
        <v>3</v>
      </c>
      <c r="BA1521" s="61">
        <f t="shared" si="986"/>
        <v>0</v>
      </c>
      <c r="BB1521" s="62" t="str">
        <f t="shared" si="987"/>
        <v/>
      </c>
    </row>
    <row r="1522" spans="1:54" hidden="1" x14ac:dyDescent="0.35">
      <c r="A1522" s="73">
        <f t="shared" si="945"/>
        <v>2019</v>
      </c>
      <c r="B1522" s="73" t="str">
        <f t="shared" si="963"/>
        <v>Nov</v>
      </c>
      <c r="C1522" s="74">
        <f t="shared" si="964"/>
        <v>17</v>
      </c>
      <c r="D1522" s="75">
        <f t="shared" si="965"/>
        <v>14</v>
      </c>
      <c r="E1522" s="76">
        <f t="shared" si="946"/>
        <v>51</v>
      </c>
      <c r="F1522" s="80">
        <v>43</v>
      </c>
      <c r="G1522" s="83"/>
      <c r="H1522" s="69" t="str">
        <f t="shared" si="966"/>
        <v>Senbur6_20191117_14_00</v>
      </c>
      <c r="I1522" s="70">
        <f t="shared" ref="I1522:N1522" si="997">I1521</f>
        <v>1</v>
      </c>
      <c r="J1522" s="77" t="str">
        <f t="shared" si="997"/>
        <v>Senecio</v>
      </c>
      <c r="K1522" s="77" t="str">
        <f t="shared" si="997"/>
        <v>burtoni</v>
      </c>
      <c r="L1522" s="78">
        <f t="shared" si="997"/>
        <v>6</v>
      </c>
      <c r="M1522" s="78">
        <f t="shared" si="997"/>
        <v>12</v>
      </c>
      <c r="N1522" s="72">
        <f t="shared" si="997"/>
        <v>0</v>
      </c>
      <c r="O1522" s="45"/>
      <c r="P1522" s="46">
        <f t="shared" si="968"/>
        <v>1</v>
      </c>
      <c r="Q1522" s="47" t="str">
        <f t="shared" si="969"/>
        <v>14:51:43</v>
      </c>
      <c r="R1522" s="48" t="str">
        <f t="shared" si="970"/>
        <v>51:43</v>
      </c>
      <c r="S1522" s="49">
        <f t="shared" si="971"/>
        <v>11</v>
      </c>
      <c r="T1522" s="48" t="str">
        <f t="shared" si="972"/>
        <v>14</v>
      </c>
      <c r="U1522" s="50">
        <v>51</v>
      </c>
      <c r="V1522" s="51">
        <v>54</v>
      </c>
      <c r="W1522" s="52" t="str">
        <f t="shared" si="973"/>
        <v>51:54</v>
      </c>
      <c r="X1522" s="53" t="s">
        <v>61</v>
      </c>
      <c r="Y1522" s="97" t="s">
        <v>84</v>
      </c>
      <c r="Z1522" s="97" t="s">
        <v>80</v>
      </c>
      <c r="AA1522" s="48" t="s">
        <v>60</v>
      </c>
      <c r="AB1522" s="48" t="str">
        <f t="shared" si="974"/>
        <v>NA</v>
      </c>
      <c r="AC1522" s="54">
        <f t="shared" si="975"/>
        <v>0</v>
      </c>
      <c r="AD1522" s="55">
        <f t="shared" si="976"/>
        <v>1</v>
      </c>
      <c r="AE1522" s="55"/>
      <c r="AF1522" s="55"/>
      <c r="AG1522" s="56" t="str">
        <f t="shared" si="977"/>
        <v/>
      </c>
      <c r="AH1522" s="57" t="str">
        <f t="shared" si="978"/>
        <v/>
      </c>
      <c r="AI1522" s="56"/>
      <c r="AJ1522" s="57" t="str">
        <f t="shared" si="979"/>
        <v/>
      </c>
      <c r="AK1522" s="56">
        <v>1</v>
      </c>
      <c r="AL1522" s="57">
        <f t="shared" si="980"/>
        <v>11</v>
      </c>
      <c r="AM1522" s="56"/>
      <c r="AN1522" s="57" t="str">
        <f t="shared" si="981"/>
        <v/>
      </c>
      <c r="AO1522" s="56"/>
      <c r="AP1522" s="57" t="str">
        <f t="shared" si="982"/>
        <v/>
      </c>
      <c r="AQ1522" s="56"/>
      <c r="AR1522" s="57" t="str">
        <f t="shared" si="983"/>
        <v/>
      </c>
      <c r="AS1522" s="56"/>
      <c r="AT1522" s="57" t="str">
        <f t="shared" si="984"/>
        <v/>
      </c>
      <c r="AU1522" s="58"/>
      <c r="AV1522" s="59"/>
      <c r="AW1522" s="59"/>
      <c r="AX1522" s="60"/>
      <c r="AY1522" s="61">
        <v>1</v>
      </c>
      <c r="AZ1522" s="62">
        <f t="shared" si="985"/>
        <v>1</v>
      </c>
      <c r="BA1522" s="61">
        <f t="shared" si="986"/>
        <v>0</v>
      </c>
      <c r="BB1522" s="62" t="str">
        <f t="shared" si="987"/>
        <v/>
      </c>
    </row>
    <row r="1523" spans="1:54" hidden="1" x14ac:dyDescent="0.35">
      <c r="A1523" s="73">
        <f t="shared" si="945"/>
        <v>2019</v>
      </c>
      <c r="B1523" s="73" t="str">
        <f t="shared" si="963"/>
        <v>Nov</v>
      </c>
      <c r="C1523" s="74">
        <f t="shared" si="964"/>
        <v>17</v>
      </c>
      <c r="D1523" s="75">
        <f t="shared" si="965"/>
        <v>14</v>
      </c>
      <c r="E1523" s="76">
        <v>51</v>
      </c>
      <c r="F1523" s="80">
        <v>56</v>
      </c>
      <c r="G1523" s="83"/>
      <c r="H1523" s="69" t="str">
        <f t="shared" si="966"/>
        <v>Senbur6_20191117_14_00</v>
      </c>
      <c r="I1523" s="70">
        <f t="shared" ref="I1523:N1523" si="998">I1522</f>
        <v>1</v>
      </c>
      <c r="J1523" s="77" t="str">
        <f t="shared" si="998"/>
        <v>Senecio</v>
      </c>
      <c r="K1523" s="77" t="str">
        <f t="shared" si="998"/>
        <v>burtoni</v>
      </c>
      <c r="L1523" s="78">
        <f t="shared" si="998"/>
        <v>6</v>
      </c>
      <c r="M1523" s="78">
        <f t="shared" si="998"/>
        <v>12</v>
      </c>
      <c r="N1523" s="72">
        <f t="shared" si="998"/>
        <v>0</v>
      </c>
      <c r="O1523" s="45"/>
      <c r="P1523" s="46">
        <f t="shared" si="968"/>
        <v>1</v>
      </c>
      <c r="Q1523" s="47" t="str">
        <f t="shared" si="969"/>
        <v>14:51:56</v>
      </c>
      <c r="R1523" s="48" t="str">
        <f t="shared" si="970"/>
        <v>51:56</v>
      </c>
      <c r="S1523" s="49">
        <f t="shared" si="971"/>
        <v>28</v>
      </c>
      <c r="T1523" s="48" t="str">
        <f t="shared" si="972"/>
        <v>14</v>
      </c>
      <c r="U1523" s="50">
        <v>52</v>
      </c>
      <c r="V1523" s="51">
        <v>24</v>
      </c>
      <c r="W1523" s="52" t="str">
        <f t="shared" si="973"/>
        <v>52:24</v>
      </c>
      <c r="X1523" s="53" t="s">
        <v>61</v>
      </c>
      <c r="Y1523" s="97" t="s">
        <v>84</v>
      </c>
      <c r="Z1523" s="97" t="s">
        <v>80</v>
      </c>
      <c r="AA1523" s="48" t="s">
        <v>60</v>
      </c>
      <c r="AB1523" s="48" t="str">
        <f t="shared" si="974"/>
        <v>NA</v>
      </c>
      <c r="AC1523" s="54">
        <f t="shared" si="975"/>
        <v>0</v>
      </c>
      <c r="AD1523" s="55">
        <f t="shared" si="976"/>
        <v>1</v>
      </c>
      <c r="AE1523" s="55"/>
      <c r="AF1523" s="55"/>
      <c r="AG1523" s="56" t="str">
        <f t="shared" si="977"/>
        <v/>
      </c>
      <c r="AH1523" s="57" t="str">
        <f t="shared" si="978"/>
        <v/>
      </c>
      <c r="AI1523" s="56"/>
      <c r="AJ1523" s="57" t="str">
        <f t="shared" si="979"/>
        <v/>
      </c>
      <c r="AK1523" s="56">
        <v>1</v>
      </c>
      <c r="AL1523" s="57">
        <f t="shared" si="980"/>
        <v>28</v>
      </c>
      <c r="AM1523" s="56"/>
      <c r="AN1523" s="57" t="str">
        <f t="shared" si="981"/>
        <v/>
      </c>
      <c r="AO1523" s="56"/>
      <c r="AP1523" s="57" t="str">
        <f t="shared" si="982"/>
        <v/>
      </c>
      <c r="AQ1523" s="56"/>
      <c r="AR1523" s="57" t="str">
        <f t="shared" si="983"/>
        <v/>
      </c>
      <c r="AS1523" s="56"/>
      <c r="AT1523" s="57" t="str">
        <f t="shared" si="984"/>
        <v/>
      </c>
      <c r="AU1523" s="58"/>
      <c r="AV1523" s="59"/>
      <c r="AW1523" s="59"/>
      <c r="AX1523" s="60"/>
      <c r="AY1523" s="61">
        <v>1</v>
      </c>
      <c r="AZ1523" s="62">
        <f t="shared" si="985"/>
        <v>1</v>
      </c>
      <c r="BA1523" s="61">
        <f t="shared" si="986"/>
        <v>0</v>
      </c>
      <c r="BB1523" s="62" t="str">
        <f t="shared" si="987"/>
        <v/>
      </c>
    </row>
    <row r="1524" spans="1:54" hidden="1" x14ac:dyDescent="0.35">
      <c r="A1524" s="73">
        <f>A1523</f>
        <v>2019</v>
      </c>
      <c r="B1524" s="73" t="str">
        <f>IF(C1523-C1524&gt;0, TEXT(DATE(2016,(MONTH(DATEVALUE(B1523&amp;"1"))+1),1),"mmm"), B1523)</f>
        <v>Nov</v>
      </c>
      <c r="C1524" s="74">
        <f>IF(AND(D1524=0, E1524=0), IF(TEXT(C1523,"dd")=TEXT(EOMONTH(DATE(A1523,MONTH(DATEVALUE(B1523&amp;"1")),C1523),0), "dd"), 1, C1523+1), C1523)</f>
        <v>17</v>
      </c>
      <c r="D1524" s="75">
        <f>IF(IF(E1523=59,D1523+1,D1523)=24,0,IF(E1523=59,D1523+1,D1523))</f>
        <v>14</v>
      </c>
      <c r="E1524" s="76">
        <v>51</v>
      </c>
      <c r="F1524" s="80">
        <v>58</v>
      </c>
      <c r="G1524" s="83"/>
      <c r="H1524" s="69" t="str">
        <f>IF(AND(OR(E1523=$G$3,E1523=$G$4,E1523=$G$5,E1523=$G$6,E1523=$G$7,E1523=$G$8),E1523&lt;&gt;RIGHT(H1523,2)),CONCATENATE(LEFT(J1524,3),LEFT(K1524,3),L1524,"_",A1524,TEXT(MONTH(DATEVALUE(B1524&amp;"1")),"00"),TEXT(C1524,"00"),"_",TEXT(D1524,"00"),"_",TEXT(E1523,"00")),IF(AND(OR(E1524=$G$3,E1524=$G$4,E1524=$G$5,E1524=$G$6,E1524=$G$7,E1524=$G$8),OR(F1524="",F1524&gt;$G$9-1)),CONCATENATE(LEFT(J1524,3),LEFT(K1524,3),L1524,"_",A1524,TEXT(MONTH(DATEVALUE(B1524&amp;"1")),"00"),TEXT(C1524,"00"),"_",TEXT(D1524,"00"),"_",TEXT(E1524,"00")),H1523))</f>
        <v>Senbur6_20191117_14_00</v>
      </c>
      <c r="I1524" s="70">
        <f t="shared" ref="I1524:N1525" si="999">I1523</f>
        <v>1</v>
      </c>
      <c r="J1524" s="77" t="str">
        <f t="shared" si="999"/>
        <v>Senecio</v>
      </c>
      <c r="K1524" s="77" t="str">
        <f t="shared" si="999"/>
        <v>burtoni</v>
      </c>
      <c r="L1524" s="78">
        <f t="shared" si="999"/>
        <v>6</v>
      </c>
      <c r="M1524" s="78">
        <f t="shared" si="999"/>
        <v>12</v>
      </c>
      <c r="N1524" s="72">
        <f t="shared" si="999"/>
        <v>0</v>
      </c>
      <c r="O1524" s="45"/>
      <c r="P1524" s="46">
        <f t="shared" si="968"/>
        <v>1</v>
      </c>
      <c r="Q1524" s="47" t="str">
        <f t="shared" si="969"/>
        <v>14:51:58</v>
      </c>
      <c r="R1524" s="48" t="str">
        <f t="shared" si="970"/>
        <v>51:58</v>
      </c>
      <c r="S1524" s="49">
        <f t="shared" si="971"/>
        <v>23</v>
      </c>
      <c r="T1524" s="48" t="str">
        <f t="shared" si="972"/>
        <v>14</v>
      </c>
      <c r="U1524" s="50">
        <v>52</v>
      </c>
      <c r="V1524" s="51">
        <v>21</v>
      </c>
      <c r="W1524" s="52" t="str">
        <f t="shared" si="973"/>
        <v>52:21</v>
      </c>
      <c r="X1524" s="53" t="s">
        <v>61</v>
      </c>
      <c r="Y1524" s="97" t="s">
        <v>84</v>
      </c>
      <c r="Z1524" s="97" t="s">
        <v>80</v>
      </c>
      <c r="AA1524" s="48" t="s">
        <v>60</v>
      </c>
      <c r="AB1524" s="48" t="str">
        <f t="shared" si="974"/>
        <v>NA</v>
      </c>
      <c r="AC1524" s="54">
        <f t="shared" si="975"/>
        <v>0</v>
      </c>
      <c r="AD1524" s="55">
        <v>2</v>
      </c>
      <c r="AE1524" s="55"/>
      <c r="AF1524" s="55"/>
      <c r="AG1524" s="56" t="str">
        <f t="shared" si="977"/>
        <v/>
      </c>
      <c r="AH1524" s="57" t="str">
        <f t="shared" si="978"/>
        <v/>
      </c>
      <c r="AI1524" s="56">
        <v>1</v>
      </c>
      <c r="AJ1524" s="57">
        <v>1</v>
      </c>
      <c r="AK1524" s="56">
        <v>1</v>
      </c>
      <c r="AL1524" s="57">
        <v>22</v>
      </c>
      <c r="AM1524" s="56"/>
      <c r="AN1524" s="57" t="str">
        <f t="shared" si="981"/>
        <v/>
      </c>
      <c r="AO1524" s="56"/>
      <c r="AP1524" s="57" t="str">
        <f t="shared" si="982"/>
        <v/>
      </c>
      <c r="AQ1524" s="56"/>
      <c r="AR1524" s="57" t="str">
        <f t="shared" si="983"/>
        <v/>
      </c>
      <c r="AS1524" s="56"/>
      <c r="AT1524" s="57" t="str">
        <f t="shared" si="984"/>
        <v/>
      </c>
      <c r="AU1524" s="58"/>
      <c r="AV1524" s="59"/>
      <c r="AW1524" s="59"/>
      <c r="AX1524" s="60"/>
      <c r="AY1524" s="61">
        <v>1</v>
      </c>
      <c r="AZ1524" s="62">
        <f t="shared" si="985"/>
        <v>2</v>
      </c>
      <c r="BA1524" s="61">
        <f t="shared" si="986"/>
        <v>0</v>
      </c>
      <c r="BB1524" s="62" t="str">
        <f t="shared" si="987"/>
        <v/>
      </c>
    </row>
    <row r="1525" spans="1:54" hidden="1" x14ac:dyDescent="0.35">
      <c r="A1525" s="73">
        <f>A1524</f>
        <v>2019</v>
      </c>
      <c r="B1525" s="73" t="str">
        <f>IF(C1524-C1525&gt;0, TEXT(DATE(2016,(MONTH(DATEVALUE(B1524&amp;"1"))+1),1),"mmm"), B1524)</f>
        <v>Nov</v>
      </c>
      <c r="C1525" s="74">
        <f>IF(AND(D1525=0, E1525=0), IF(TEXT(C1524,"dd")=TEXT(EOMONTH(DATE(A1524,MONTH(DATEVALUE(B1524&amp;"1")),C1524),0), "dd"), 1, C1524+1), C1524)</f>
        <v>17</v>
      </c>
      <c r="D1525" s="75">
        <f>IF(IF(E1524=59,D1524+1,D1524)=24,0,IF(E1524=59,D1524+1,D1524))</f>
        <v>14</v>
      </c>
      <c r="E1525" s="76">
        <v>52</v>
      </c>
      <c r="F1525" s="80">
        <v>42</v>
      </c>
      <c r="G1525" s="83"/>
      <c r="H1525" s="69" t="str">
        <f>IF(AND(OR(E1524=$G$3,E1524=$G$4,E1524=$G$5,E1524=$G$6,E1524=$G$7,E1524=$G$8),E1524&lt;&gt;RIGHT(H1524,2)),CONCATENATE(LEFT(J1525,3),LEFT(K1525,3),L1525,"_",A1525,TEXT(MONTH(DATEVALUE(B1525&amp;"1")),"00"),TEXT(C1525,"00"),"_",TEXT(D1525,"00"),"_",TEXT(E1524,"00")),IF(AND(OR(E1525=$G$3,E1525=$G$4,E1525=$G$5,E1525=$G$6,E1525=$G$7,E1525=$G$8),OR(F1525="",F1525&gt;$G$9-1)),CONCATENATE(LEFT(J1525,3),LEFT(K1525,3),L1525,"_",A1525,TEXT(MONTH(DATEVALUE(B1525&amp;"1")),"00"),TEXT(C1525,"00"),"_",TEXT(D1525,"00"),"_",TEXT(E1525,"00")),H1524))</f>
        <v>Senbur6_20191117_14_00</v>
      </c>
      <c r="I1525" s="70">
        <f t="shared" si="999"/>
        <v>1</v>
      </c>
      <c r="J1525" s="77" t="str">
        <f t="shared" si="999"/>
        <v>Senecio</v>
      </c>
      <c r="K1525" s="77" t="str">
        <f t="shared" si="999"/>
        <v>burtoni</v>
      </c>
      <c r="L1525" s="78">
        <f t="shared" si="999"/>
        <v>6</v>
      </c>
      <c r="M1525" s="78">
        <f t="shared" si="999"/>
        <v>12</v>
      </c>
      <c r="N1525" s="72">
        <f t="shared" si="999"/>
        <v>0</v>
      </c>
      <c r="O1525" s="45"/>
      <c r="P1525" s="46">
        <f t="shared" ref="P1525" si="1000">IF(F1525="","",1)</f>
        <v>1</v>
      </c>
      <c r="Q1525" s="47" t="str">
        <f t="shared" ref="Q1525" si="1001">TEXT(IF(P1525=1,CONCATENATE($D1525,":",$E1525,":",(LEFT($F1525,2))),""),"hh:mm:ss")</f>
        <v>14:52:42</v>
      </c>
      <c r="R1525" s="48" t="str">
        <f t="shared" ref="R1525" si="1002">TEXT(Q1525-TIME(0,RIGHT($H1525,2),$G$9)+(Q1525&gt;TIME(0,RIGHT($H1525,2),$G$9)),"mm:ss")</f>
        <v>52:42</v>
      </c>
      <c r="S1525" s="49">
        <f t="shared" ref="S1525" si="1003">IF(T1525&lt;D1525, (T1525*3600+U1525*60+V1525)+((23*3600+59*60+60)-(D1525*3600+E1525*60+LEFT(F1525,2))), (T1525*3600+U1525*60+V1525)-(D1525*3600+E1525*60+LEFT(F1525,2)))</f>
        <v>47</v>
      </c>
      <c r="T1525" s="48" t="str">
        <f t="shared" ref="T1525" si="1004">TEXT(IF(P1525=1,D1525,""),"00")</f>
        <v>14</v>
      </c>
      <c r="U1525" s="50">
        <v>53</v>
      </c>
      <c r="V1525" s="51">
        <v>29</v>
      </c>
      <c r="W1525" s="52" t="str">
        <f t="shared" ref="W1525" si="1005">IF(O1525=0,TEXT(TIME(T1525,U1525,V1525)-TIME(D1525,E1525,RIGHT(F1525,2))+TIME(0,LEFT(R1525,2),RIGHT(R1525,2)),"mm:ss"),TEXT(TIME(T1525,U1525,V1525)-TIME(D1525,E1525,RIGHT(F1525,2))+TIME(0,LEFT(R1525,2),RIGHT(R1525,2))-TIME(0,($G$10*O1525),0),"mm:ss"))</f>
        <v>53:29</v>
      </c>
      <c r="X1525" s="53" t="s">
        <v>73</v>
      </c>
      <c r="Y1525" s="97" t="s">
        <v>90</v>
      </c>
      <c r="Z1525" s="97"/>
      <c r="AA1525" s="48" t="s">
        <v>63</v>
      </c>
      <c r="AB1525" s="48" t="str">
        <f t="shared" ref="AB1525" si="1006">IF(AA1525&lt;&gt;0,"NA","")</f>
        <v>NA</v>
      </c>
      <c r="AC1525" s="54">
        <f t="shared" ref="AC1525" si="1007">IF(SUM(AH1525,AJ1525,AL1525,AN1525,AP1525,AR1525,AT1525)=S1525,,"")</f>
        <v>0</v>
      </c>
      <c r="AD1525" s="55">
        <v>1</v>
      </c>
      <c r="AE1525" s="55"/>
      <c r="AF1525" s="55"/>
      <c r="AG1525" s="56" t="str">
        <f t="shared" ref="AG1525" si="1008">IF(OR(X1525="Something small"),1,"")</f>
        <v/>
      </c>
      <c r="AH1525" s="57" t="str">
        <f t="shared" ref="AH1525" si="1009">IF(AG1525=1,$S1525,"")</f>
        <v/>
      </c>
      <c r="AI1525" s="56"/>
      <c r="AJ1525" s="57"/>
      <c r="AK1525" s="56">
        <v>1</v>
      </c>
      <c r="AL1525" s="57">
        <v>47</v>
      </c>
      <c r="AM1525" s="56"/>
      <c r="AN1525" s="57" t="str">
        <f t="shared" ref="AN1525" si="1010">IF(AM1525=1,$S1525,"")</f>
        <v/>
      </c>
      <c r="AO1525" s="56"/>
      <c r="AP1525" s="57" t="str">
        <f t="shared" ref="AP1525" si="1011">IF(AO1525=1,$S1525,"")</f>
        <v/>
      </c>
      <c r="AQ1525" s="56"/>
      <c r="AR1525" s="57" t="str">
        <f t="shared" ref="AR1525" si="1012">IF(AQ1525=1,$S1525,"")</f>
        <v/>
      </c>
      <c r="AS1525" s="56"/>
      <c r="AT1525" s="57" t="str">
        <f t="shared" ref="AT1525" si="1013">IF(AS1525=1,$S1525,"")</f>
        <v/>
      </c>
      <c r="AU1525" s="58"/>
      <c r="AV1525" s="59"/>
      <c r="AW1525" s="59"/>
      <c r="AX1525" s="60"/>
      <c r="AY1525" s="61">
        <v>1</v>
      </c>
      <c r="AZ1525" s="62">
        <f t="shared" ref="AZ1525" si="1014">IF(AY1525=1,AD1525,"")</f>
        <v>1</v>
      </c>
      <c r="BA1525" s="61">
        <f t="shared" ref="BA1525" si="1015">IF(P1525=1,0,"")</f>
        <v>0</v>
      </c>
      <c r="BB1525" s="62" t="str">
        <f t="shared" ref="BB1525" si="1016">IF(BA1525=1,AD1525,"")</f>
        <v/>
      </c>
    </row>
    <row r="1526" spans="1:54" hidden="1" x14ac:dyDescent="0.35">
      <c r="A1526" s="73">
        <f>A1524</f>
        <v>2019</v>
      </c>
      <c r="B1526" s="73" t="str">
        <f>IF(C1524-C1526&gt;0, TEXT(DATE(2016,(MONTH(DATEVALUE(B1524&amp;"1"))+1),1),"mmm"), B1524)</f>
        <v>Nov</v>
      </c>
      <c r="C1526" s="74">
        <f>IF(AND(D1526=0, E1526=0), IF(TEXT(C1524,"dd")=TEXT(EOMONTH(DATE(A1524,MONTH(DATEVALUE(B1524&amp;"1")),C1524),0), "dd"), 1, C1524+1), C1524)</f>
        <v>17</v>
      </c>
      <c r="D1526" s="75">
        <f>IF(IF(E1524=59,D1524+1,D1524)=24,0,IF(E1524=59,D1524+1,D1524))</f>
        <v>14</v>
      </c>
      <c r="E1526" s="76">
        <f>IF(E1524&lt;59,E1524+1,0)</f>
        <v>52</v>
      </c>
      <c r="F1526" s="80">
        <v>46</v>
      </c>
      <c r="G1526" s="83"/>
      <c r="H1526" s="69" t="str">
        <f>IF(AND(OR(E1524=$G$3,E1524=$G$4,E1524=$G$5,E1524=$G$6,E1524=$G$7,E1524=$G$8),E1524&lt;&gt;RIGHT(H1524,2)),CONCATENATE(LEFT(J1526,3),LEFT(K1526,3),L1526,"_",A1526,TEXT(MONTH(DATEVALUE(B1526&amp;"1")),"00"),TEXT(C1526,"00"),"_",TEXT(D1526,"00"),"_",TEXT(E1524,"00")),IF(AND(OR(E1526=$G$3,E1526=$G$4,E1526=$G$5,E1526=$G$6,E1526=$G$7,E1526=$G$8),OR(F1526="",F1526&gt;$G$9-1)),CONCATENATE(LEFT(J1526,3),LEFT(K1526,3),L1526,"_",A1526,TEXT(MONTH(DATEVALUE(B1526&amp;"1")),"00"),TEXT(C1526,"00"),"_",TEXT(D1526,"00"),"_",TEXT(E1526,"00")),H1524))</f>
        <v>Senbur6_20191117_14_00</v>
      </c>
      <c r="I1526" s="70">
        <f t="shared" ref="I1526:N1526" si="1017">I1524</f>
        <v>1</v>
      </c>
      <c r="J1526" s="77" t="str">
        <f t="shared" si="1017"/>
        <v>Senecio</v>
      </c>
      <c r="K1526" s="77" t="str">
        <f t="shared" si="1017"/>
        <v>burtoni</v>
      </c>
      <c r="L1526" s="78">
        <f t="shared" si="1017"/>
        <v>6</v>
      </c>
      <c r="M1526" s="78">
        <f t="shared" si="1017"/>
        <v>12</v>
      </c>
      <c r="N1526" s="72">
        <f t="shared" si="1017"/>
        <v>0</v>
      </c>
      <c r="O1526" s="45"/>
      <c r="P1526" s="46">
        <f t="shared" si="968"/>
        <v>1</v>
      </c>
      <c r="Q1526" s="47" t="str">
        <f t="shared" si="969"/>
        <v>14:52:46</v>
      </c>
      <c r="R1526" s="48" t="str">
        <f t="shared" si="970"/>
        <v>52:46</v>
      </c>
      <c r="S1526" s="49">
        <f t="shared" si="971"/>
        <v>126</v>
      </c>
      <c r="T1526" s="48" t="str">
        <f t="shared" si="972"/>
        <v>14</v>
      </c>
      <c r="U1526" s="50">
        <v>54</v>
      </c>
      <c r="V1526" s="51">
        <v>52</v>
      </c>
      <c r="W1526" s="52" t="str">
        <f t="shared" si="973"/>
        <v>54:52</v>
      </c>
      <c r="X1526" s="53" t="s">
        <v>61</v>
      </c>
      <c r="Y1526" s="97" t="s">
        <v>84</v>
      </c>
      <c r="Z1526" s="97" t="s">
        <v>80</v>
      </c>
      <c r="AA1526" s="48" t="s">
        <v>60</v>
      </c>
      <c r="AB1526" s="48" t="str">
        <f t="shared" si="974"/>
        <v>NA</v>
      </c>
      <c r="AC1526" s="54">
        <f t="shared" si="975"/>
        <v>0</v>
      </c>
      <c r="AD1526" s="55">
        <v>4</v>
      </c>
      <c r="AE1526" s="55"/>
      <c r="AF1526" s="55"/>
      <c r="AG1526" s="56">
        <v>1</v>
      </c>
      <c r="AH1526" s="57">
        <v>50</v>
      </c>
      <c r="AI1526" s="56"/>
      <c r="AJ1526" s="57"/>
      <c r="AK1526" s="56"/>
      <c r="AL1526" s="57" t="str">
        <f t="shared" si="980"/>
        <v/>
      </c>
      <c r="AM1526" s="56">
        <v>1</v>
      </c>
      <c r="AN1526" s="57">
        <v>76</v>
      </c>
      <c r="AO1526" s="56"/>
      <c r="AP1526" s="57" t="str">
        <f t="shared" si="982"/>
        <v/>
      </c>
      <c r="AQ1526" s="56"/>
      <c r="AR1526" s="57" t="str">
        <f t="shared" si="983"/>
        <v/>
      </c>
      <c r="AS1526" s="56"/>
      <c r="AT1526" s="57" t="str">
        <f t="shared" si="984"/>
        <v/>
      </c>
      <c r="AU1526" s="58"/>
      <c r="AV1526" s="59"/>
      <c r="AW1526" s="59"/>
      <c r="AX1526" s="60"/>
      <c r="AY1526" s="61">
        <v>1</v>
      </c>
      <c r="AZ1526" s="62">
        <f t="shared" si="985"/>
        <v>4</v>
      </c>
      <c r="BA1526" s="61">
        <f t="shared" si="986"/>
        <v>0</v>
      </c>
      <c r="BB1526" s="62" t="str">
        <f t="shared" si="987"/>
        <v/>
      </c>
    </row>
    <row r="1527" spans="1:54" hidden="1" x14ac:dyDescent="0.35">
      <c r="A1527" s="73">
        <f t="shared" si="945"/>
        <v>2019</v>
      </c>
      <c r="B1527" s="73" t="str">
        <f t="shared" si="963"/>
        <v>Nov</v>
      </c>
      <c r="C1527" s="74">
        <f t="shared" si="964"/>
        <v>17</v>
      </c>
      <c r="D1527" s="75">
        <f t="shared" si="965"/>
        <v>14</v>
      </c>
      <c r="E1527" s="76">
        <f t="shared" si="946"/>
        <v>53</v>
      </c>
      <c r="F1527" s="80">
        <v>16</v>
      </c>
      <c r="G1527" s="83"/>
      <c r="H1527" s="69" t="str">
        <f t="shared" si="966"/>
        <v>Senbur6_20191117_14_00</v>
      </c>
      <c r="I1527" s="70">
        <f t="shared" ref="I1527:N1527" si="1018">I1526</f>
        <v>1</v>
      </c>
      <c r="J1527" s="77" t="str">
        <f t="shared" si="1018"/>
        <v>Senecio</v>
      </c>
      <c r="K1527" s="77" t="str">
        <f t="shared" si="1018"/>
        <v>burtoni</v>
      </c>
      <c r="L1527" s="78">
        <f t="shared" si="1018"/>
        <v>6</v>
      </c>
      <c r="M1527" s="78">
        <f t="shared" si="1018"/>
        <v>12</v>
      </c>
      <c r="N1527" s="72">
        <f t="shared" si="1018"/>
        <v>0</v>
      </c>
      <c r="O1527" s="45"/>
      <c r="P1527" s="46">
        <f t="shared" si="968"/>
        <v>1</v>
      </c>
      <c r="Q1527" s="47" t="str">
        <f t="shared" si="969"/>
        <v>14:53:16</v>
      </c>
      <c r="R1527" s="48" t="str">
        <f t="shared" si="970"/>
        <v>53:16</v>
      </c>
      <c r="S1527" s="49">
        <f t="shared" si="971"/>
        <v>26</v>
      </c>
      <c r="T1527" s="48" t="str">
        <f t="shared" si="972"/>
        <v>14</v>
      </c>
      <c r="U1527" s="50">
        <v>53</v>
      </c>
      <c r="V1527" s="51">
        <v>42</v>
      </c>
      <c r="W1527" s="52" t="str">
        <f t="shared" si="973"/>
        <v>53:42</v>
      </c>
      <c r="X1527" s="53" t="s">
        <v>61</v>
      </c>
      <c r="Y1527" s="97" t="s">
        <v>84</v>
      </c>
      <c r="Z1527" s="97" t="s">
        <v>80</v>
      </c>
      <c r="AA1527" s="48" t="s">
        <v>60</v>
      </c>
      <c r="AB1527" s="48" t="str">
        <f t="shared" si="974"/>
        <v>NA</v>
      </c>
      <c r="AC1527" s="54">
        <f t="shared" si="975"/>
        <v>0</v>
      </c>
      <c r="AD1527" s="55">
        <v>2</v>
      </c>
      <c r="AE1527" s="55"/>
      <c r="AF1527" s="55"/>
      <c r="AG1527" s="56" t="str">
        <f t="shared" si="977"/>
        <v/>
      </c>
      <c r="AH1527" s="57" t="str">
        <f t="shared" si="978"/>
        <v/>
      </c>
      <c r="AI1527" s="56">
        <v>1</v>
      </c>
      <c r="AJ1527" s="57">
        <v>1</v>
      </c>
      <c r="AK1527" s="56">
        <v>1</v>
      </c>
      <c r="AL1527" s="57">
        <v>25</v>
      </c>
      <c r="AM1527" s="56"/>
      <c r="AN1527" s="57" t="str">
        <f t="shared" si="981"/>
        <v/>
      </c>
      <c r="AO1527" s="56"/>
      <c r="AP1527" s="57" t="str">
        <f t="shared" si="982"/>
        <v/>
      </c>
      <c r="AQ1527" s="56"/>
      <c r="AR1527" s="57" t="str">
        <f t="shared" si="983"/>
        <v/>
      </c>
      <c r="AS1527" s="56"/>
      <c r="AT1527" s="57" t="str">
        <f t="shared" si="984"/>
        <v/>
      </c>
      <c r="AU1527" s="58"/>
      <c r="AV1527" s="59"/>
      <c r="AW1527" s="59"/>
      <c r="AX1527" s="60"/>
      <c r="AY1527" s="61">
        <v>1</v>
      </c>
      <c r="AZ1527" s="62">
        <f t="shared" si="985"/>
        <v>2</v>
      </c>
      <c r="BA1527" s="61">
        <f t="shared" si="986"/>
        <v>0</v>
      </c>
      <c r="BB1527" s="62" t="str">
        <f t="shared" si="987"/>
        <v/>
      </c>
    </row>
    <row r="1528" spans="1:54" hidden="1" x14ac:dyDescent="0.35">
      <c r="A1528" s="73">
        <f t="shared" si="945"/>
        <v>2019</v>
      </c>
      <c r="B1528" s="73" t="str">
        <f t="shared" si="963"/>
        <v>Nov</v>
      </c>
      <c r="C1528" s="74">
        <f t="shared" si="964"/>
        <v>17</v>
      </c>
      <c r="D1528" s="75">
        <f t="shared" si="965"/>
        <v>14</v>
      </c>
      <c r="E1528" s="76">
        <v>53</v>
      </c>
      <c r="F1528" s="80">
        <v>35</v>
      </c>
      <c r="G1528" s="83"/>
      <c r="H1528" s="69" t="str">
        <f t="shared" si="966"/>
        <v>Senbur6_20191117_14_00</v>
      </c>
      <c r="I1528" s="70">
        <f t="shared" ref="I1528:N1528" si="1019">I1527</f>
        <v>1</v>
      </c>
      <c r="J1528" s="77" t="str">
        <f t="shared" si="1019"/>
        <v>Senecio</v>
      </c>
      <c r="K1528" s="77" t="str">
        <f t="shared" si="1019"/>
        <v>burtoni</v>
      </c>
      <c r="L1528" s="78">
        <f t="shared" si="1019"/>
        <v>6</v>
      </c>
      <c r="M1528" s="78">
        <f t="shared" si="1019"/>
        <v>12</v>
      </c>
      <c r="N1528" s="72">
        <f t="shared" si="1019"/>
        <v>0</v>
      </c>
      <c r="O1528" s="45"/>
      <c r="P1528" s="46">
        <f t="shared" si="968"/>
        <v>1</v>
      </c>
      <c r="Q1528" s="47" t="str">
        <f t="shared" si="969"/>
        <v>14:53:35</v>
      </c>
      <c r="R1528" s="48" t="str">
        <f t="shared" si="970"/>
        <v>53:35</v>
      </c>
      <c r="S1528" s="49">
        <f t="shared" si="971"/>
        <v>24</v>
      </c>
      <c r="T1528" s="48" t="str">
        <f t="shared" si="972"/>
        <v>14</v>
      </c>
      <c r="U1528" s="50">
        <v>53</v>
      </c>
      <c r="V1528" s="51">
        <v>59</v>
      </c>
      <c r="W1528" s="52" t="str">
        <f t="shared" si="973"/>
        <v>53:59</v>
      </c>
      <c r="X1528" s="53" t="s">
        <v>59</v>
      </c>
      <c r="Y1528" s="97" t="s">
        <v>91</v>
      </c>
      <c r="Z1528" s="97"/>
      <c r="AA1528" s="48" t="s">
        <v>63</v>
      </c>
      <c r="AB1528" s="48" t="str">
        <f t="shared" si="974"/>
        <v>NA</v>
      </c>
      <c r="AC1528" s="54">
        <f t="shared" si="975"/>
        <v>0</v>
      </c>
      <c r="AD1528" s="55">
        <v>2</v>
      </c>
      <c r="AE1528" s="55"/>
      <c r="AF1528" s="55"/>
      <c r="AG1528" s="56">
        <v>1</v>
      </c>
      <c r="AH1528" s="57">
        <v>6</v>
      </c>
      <c r="AI1528" s="56">
        <v>1</v>
      </c>
      <c r="AJ1528" s="57">
        <v>1</v>
      </c>
      <c r="AK1528" s="56">
        <v>1</v>
      </c>
      <c r="AL1528" s="57">
        <v>17</v>
      </c>
      <c r="AM1528" s="56"/>
      <c r="AN1528" s="57" t="str">
        <f t="shared" si="981"/>
        <v/>
      </c>
      <c r="AO1528" s="56"/>
      <c r="AP1528" s="57" t="str">
        <f t="shared" si="982"/>
        <v/>
      </c>
      <c r="AQ1528" s="56"/>
      <c r="AR1528" s="57" t="str">
        <f t="shared" si="983"/>
        <v/>
      </c>
      <c r="AS1528" s="56"/>
      <c r="AT1528" s="57" t="str">
        <f t="shared" si="984"/>
        <v/>
      </c>
      <c r="AU1528" s="58"/>
      <c r="AV1528" s="59"/>
      <c r="AW1528" s="59"/>
      <c r="AX1528" s="60"/>
      <c r="AY1528" s="61">
        <v>1</v>
      </c>
      <c r="AZ1528" s="62">
        <f t="shared" si="985"/>
        <v>2</v>
      </c>
      <c r="BA1528" s="61">
        <f t="shared" si="986"/>
        <v>0</v>
      </c>
      <c r="BB1528" s="62" t="str">
        <f t="shared" si="987"/>
        <v/>
      </c>
    </row>
    <row r="1529" spans="1:54" hidden="1" x14ac:dyDescent="0.35">
      <c r="A1529" s="73">
        <f t="shared" si="945"/>
        <v>2019</v>
      </c>
      <c r="B1529" s="73" t="str">
        <f t="shared" si="963"/>
        <v>Nov</v>
      </c>
      <c r="C1529" s="74">
        <f t="shared" si="964"/>
        <v>17</v>
      </c>
      <c r="D1529" s="75">
        <f t="shared" si="965"/>
        <v>14</v>
      </c>
      <c r="E1529" s="76">
        <v>53</v>
      </c>
      <c r="F1529" s="80">
        <v>52</v>
      </c>
      <c r="G1529" s="83"/>
      <c r="H1529" s="69" t="str">
        <f t="shared" si="966"/>
        <v>Senbur6_20191117_14_00</v>
      </c>
      <c r="I1529" s="70">
        <f t="shared" ref="I1529:N1529" si="1020">I1528</f>
        <v>1</v>
      </c>
      <c r="J1529" s="77" t="str">
        <f t="shared" si="1020"/>
        <v>Senecio</v>
      </c>
      <c r="K1529" s="77" t="str">
        <f t="shared" si="1020"/>
        <v>burtoni</v>
      </c>
      <c r="L1529" s="78">
        <f t="shared" si="1020"/>
        <v>6</v>
      </c>
      <c r="M1529" s="78">
        <f t="shared" si="1020"/>
        <v>12</v>
      </c>
      <c r="N1529" s="72">
        <f t="shared" si="1020"/>
        <v>0</v>
      </c>
      <c r="O1529" s="45"/>
      <c r="P1529" s="46">
        <f t="shared" si="968"/>
        <v>1</v>
      </c>
      <c r="Q1529" s="47" t="str">
        <f t="shared" si="969"/>
        <v>14:53:52</v>
      </c>
      <c r="R1529" s="48" t="str">
        <f t="shared" si="970"/>
        <v>53:52</v>
      </c>
      <c r="S1529" s="49">
        <f t="shared" si="971"/>
        <v>18</v>
      </c>
      <c r="T1529" s="48" t="str">
        <f t="shared" si="972"/>
        <v>14</v>
      </c>
      <c r="U1529" s="50">
        <v>54</v>
      </c>
      <c r="V1529" s="51">
        <v>10</v>
      </c>
      <c r="W1529" s="52" t="str">
        <f t="shared" si="973"/>
        <v>54:10</v>
      </c>
      <c r="X1529" s="53" t="s">
        <v>61</v>
      </c>
      <c r="Y1529" s="97" t="s">
        <v>82</v>
      </c>
      <c r="Z1529" s="97"/>
      <c r="AA1529" s="48" t="s">
        <v>60</v>
      </c>
      <c r="AB1529" s="48" t="str">
        <f t="shared" si="974"/>
        <v>NA</v>
      </c>
      <c r="AC1529" s="54">
        <f t="shared" si="975"/>
        <v>0</v>
      </c>
      <c r="AD1529" s="55">
        <f t="shared" si="976"/>
        <v>1</v>
      </c>
      <c r="AE1529" s="55"/>
      <c r="AF1529" s="55"/>
      <c r="AG1529" s="56" t="str">
        <f t="shared" si="977"/>
        <v/>
      </c>
      <c r="AH1529" s="57" t="str">
        <f t="shared" si="978"/>
        <v/>
      </c>
      <c r="AI1529" s="56"/>
      <c r="AJ1529" s="57" t="str">
        <f t="shared" si="979"/>
        <v/>
      </c>
      <c r="AK1529" s="56">
        <v>1</v>
      </c>
      <c r="AL1529" s="57">
        <f t="shared" si="980"/>
        <v>18</v>
      </c>
      <c r="AM1529" s="56"/>
      <c r="AN1529" s="57" t="str">
        <f t="shared" si="981"/>
        <v/>
      </c>
      <c r="AO1529" s="56"/>
      <c r="AP1529" s="57" t="str">
        <f t="shared" si="982"/>
        <v/>
      </c>
      <c r="AQ1529" s="56"/>
      <c r="AR1529" s="57" t="str">
        <f t="shared" si="983"/>
        <v/>
      </c>
      <c r="AS1529" s="56"/>
      <c r="AT1529" s="57" t="str">
        <f t="shared" si="984"/>
        <v/>
      </c>
      <c r="AU1529" s="58"/>
      <c r="AV1529" s="59"/>
      <c r="AW1529" s="59"/>
      <c r="AX1529" s="60"/>
      <c r="AY1529" s="61">
        <v>1</v>
      </c>
      <c r="AZ1529" s="62">
        <v>1</v>
      </c>
      <c r="BA1529" s="61">
        <f t="shared" si="986"/>
        <v>0</v>
      </c>
      <c r="BB1529" s="62" t="str">
        <f t="shared" si="987"/>
        <v/>
      </c>
    </row>
    <row r="1530" spans="1:54" hidden="1" x14ac:dyDescent="0.35">
      <c r="A1530" s="73">
        <f t="shared" si="945"/>
        <v>2019</v>
      </c>
      <c r="B1530" s="73" t="str">
        <f t="shared" si="963"/>
        <v>Nov</v>
      </c>
      <c r="C1530" s="74">
        <f t="shared" si="964"/>
        <v>17</v>
      </c>
      <c r="D1530" s="75">
        <f t="shared" si="965"/>
        <v>14</v>
      </c>
      <c r="E1530" s="76">
        <f t="shared" si="946"/>
        <v>54</v>
      </c>
      <c r="F1530" s="80">
        <v>30</v>
      </c>
      <c r="G1530" s="83"/>
      <c r="H1530" s="69" t="str">
        <f t="shared" si="966"/>
        <v>Senbur6_20191117_14_00</v>
      </c>
      <c r="I1530" s="70">
        <f t="shared" ref="I1530:N1530" si="1021">I1529</f>
        <v>1</v>
      </c>
      <c r="J1530" s="77" t="str">
        <f t="shared" si="1021"/>
        <v>Senecio</v>
      </c>
      <c r="K1530" s="77" t="str">
        <f t="shared" si="1021"/>
        <v>burtoni</v>
      </c>
      <c r="L1530" s="78">
        <f t="shared" si="1021"/>
        <v>6</v>
      </c>
      <c r="M1530" s="78">
        <f t="shared" si="1021"/>
        <v>12</v>
      </c>
      <c r="N1530" s="72">
        <f t="shared" si="1021"/>
        <v>0</v>
      </c>
      <c r="O1530" s="45"/>
      <c r="P1530" s="46">
        <f t="shared" si="968"/>
        <v>1</v>
      </c>
      <c r="Q1530" s="47" t="str">
        <f t="shared" si="969"/>
        <v>14:54:30</v>
      </c>
      <c r="R1530" s="48" t="str">
        <f t="shared" si="970"/>
        <v>54:30</v>
      </c>
      <c r="S1530" s="49">
        <f t="shared" si="971"/>
        <v>192</v>
      </c>
      <c r="T1530" s="48" t="str">
        <f t="shared" si="972"/>
        <v>14</v>
      </c>
      <c r="U1530" s="50">
        <v>57</v>
      </c>
      <c r="V1530" s="51">
        <v>42</v>
      </c>
      <c r="W1530" s="52" t="str">
        <f t="shared" si="973"/>
        <v>57:42</v>
      </c>
      <c r="X1530" s="53" t="s">
        <v>61</v>
      </c>
      <c r="Y1530" s="97" t="s">
        <v>84</v>
      </c>
      <c r="Z1530" s="97" t="s">
        <v>80</v>
      </c>
      <c r="AA1530" s="48" t="s">
        <v>60</v>
      </c>
      <c r="AB1530" s="48" t="str">
        <f t="shared" si="974"/>
        <v>NA</v>
      </c>
      <c r="AC1530" s="54">
        <f t="shared" si="975"/>
        <v>0</v>
      </c>
      <c r="AD1530" s="55">
        <v>3</v>
      </c>
      <c r="AE1530" s="55"/>
      <c r="AF1530" s="55"/>
      <c r="AG1530" s="56">
        <v>1</v>
      </c>
      <c r="AH1530" s="57">
        <v>92</v>
      </c>
      <c r="AI1530" s="56"/>
      <c r="AJ1530" s="57"/>
      <c r="AK1530" s="56">
        <v>1</v>
      </c>
      <c r="AL1530" s="57">
        <v>100</v>
      </c>
      <c r="AM1530" s="56"/>
      <c r="AN1530" s="57" t="str">
        <f t="shared" si="981"/>
        <v/>
      </c>
      <c r="AO1530" s="56"/>
      <c r="AP1530" s="57" t="str">
        <f t="shared" si="982"/>
        <v/>
      </c>
      <c r="AQ1530" s="56"/>
      <c r="AR1530" s="57" t="str">
        <f t="shared" si="983"/>
        <v/>
      </c>
      <c r="AS1530" s="56"/>
      <c r="AT1530" s="57" t="str">
        <f t="shared" si="984"/>
        <v/>
      </c>
      <c r="AU1530" s="58"/>
      <c r="AV1530" s="59"/>
      <c r="AW1530" s="59"/>
      <c r="AX1530" s="60"/>
      <c r="AY1530" s="61">
        <v>1</v>
      </c>
      <c r="AZ1530" s="62">
        <f t="shared" si="985"/>
        <v>3</v>
      </c>
      <c r="BA1530" s="61">
        <f t="shared" si="986"/>
        <v>0</v>
      </c>
      <c r="BB1530" s="62" t="str">
        <f t="shared" si="987"/>
        <v/>
      </c>
    </row>
    <row r="1531" spans="1:54" hidden="1" x14ac:dyDescent="0.35">
      <c r="A1531" s="73">
        <f t="shared" si="945"/>
        <v>2019</v>
      </c>
      <c r="B1531" s="73" t="str">
        <f t="shared" si="963"/>
        <v>Nov</v>
      </c>
      <c r="C1531" s="74">
        <f t="shared" si="964"/>
        <v>17</v>
      </c>
      <c r="D1531" s="75">
        <f t="shared" si="965"/>
        <v>14</v>
      </c>
      <c r="E1531" s="76">
        <v>54</v>
      </c>
      <c r="F1531" s="80">
        <v>33</v>
      </c>
      <c r="G1531" s="83"/>
      <c r="H1531" s="69" t="str">
        <f t="shared" si="966"/>
        <v>Senbur6_20191117_14_00</v>
      </c>
      <c r="I1531" s="70">
        <f t="shared" ref="I1531:N1531" si="1022">I1530</f>
        <v>1</v>
      </c>
      <c r="J1531" s="77" t="str">
        <f t="shared" si="1022"/>
        <v>Senecio</v>
      </c>
      <c r="K1531" s="77" t="str">
        <f t="shared" si="1022"/>
        <v>burtoni</v>
      </c>
      <c r="L1531" s="78">
        <f t="shared" si="1022"/>
        <v>6</v>
      </c>
      <c r="M1531" s="78">
        <f t="shared" si="1022"/>
        <v>12</v>
      </c>
      <c r="N1531" s="72">
        <f t="shared" si="1022"/>
        <v>0</v>
      </c>
      <c r="O1531" s="45"/>
      <c r="P1531" s="46">
        <f t="shared" si="968"/>
        <v>1</v>
      </c>
      <c r="Q1531" s="47" t="str">
        <f t="shared" si="969"/>
        <v>14:54:33</v>
      </c>
      <c r="R1531" s="48" t="str">
        <f t="shared" si="970"/>
        <v>54:33</v>
      </c>
      <c r="S1531" s="49">
        <f t="shared" si="971"/>
        <v>21</v>
      </c>
      <c r="T1531" s="48" t="str">
        <f t="shared" si="972"/>
        <v>14</v>
      </c>
      <c r="U1531" s="50">
        <v>54</v>
      </c>
      <c r="V1531" s="51">
        <v>54</v>
      </c>
      <c r="W1531" s="52" t="str">
        <f t="shared" si="973"/>
        <v>54:54</v>
      </c>
      <c r="X1531" s="53" t="s">
        <v>61</v>
      </c>
      <c r="Y1531" s="97" t="s">
        <v>84</v>
      </c>
      <c r="Z1531" s="97" t="s">
        <v>80</v>
      </c>
      <c r="AA1531" s="48" t="s">
        <v>60</v>
      </c>
      <c r="AB1531" s="48" t="str">
        <f t="shared" si="974"/>
        <v>NA</v>
      </c>
      <c r="AC1531" s="54">
        <f t="shared" si="975"/>
        <v>0</v>
      </c>
      <c r="AD1531" s="55">
        <f t="shared" si="976"/>
        <v>1</v>
      </c>
      <c r="AE1531" s="55"/>
      <c r="AF1531" s="55"/>
      <c r="AG1531" s="56" t="str">
        <f t="shared" si="977"/>
        <v/>
      </c>
      <c r="AH1531" s="57" t="str">
        <f t="shared" si="978"/>
        <v/>
      </c>
      <c r="AI1531" s="56"/>
      <c r="AJ1531" s="57" t="str">
        <f t="shared" si="979"/>
        <v/>
      </c>
      <c r="AK1531" s="56">
        <v>1</v>
      </c>
      <c r="AL1531" s="57">
        <f t="shared" si="980"/>
        <v>21</v>
      </c>
      <c r="AM1531" s="56"/>
      <c r="AN1531" s="57" t="str">
        <f t="shared" si="981"/>
        <v/>
      </c>
      <c r="AO1531" s="56"/>
      <c r="AP1531" s="57" t="str">
        <f t="shared" si="982"/>
        <v/>
      </c>
      <c r="AQ1531" s="56"/>
      <c r="AR1531" s="57" t="str">
        <f t="shared" si="983"/>
        <v/>
      </c>
      <c r="AS1531" s="56"/>
      <c r="AT1531" s="57" t="str">
        <f t="shared" si="984"/>
        <v/>
      </c>
      <c r="AU1531" s="58"/>
      <c r="AV1531" s="59"/>
      <c r="AW1531" s="59"/>
      <c r="AX1531" s="60"/>
      <c r="AY1531" s="61">
        <v>1</v>
      </c>
      <c r="AZ1531" s="62">
        <f t="shared" si="985"/>
        <v>1</v>
      </c>
      <c r="BA1531" s="61">
        <f t="shared" si="986"/>
        <v>0</v>
      </c>
      <c r="BB1531" s="62" t="str">
        <f t="shared" si="987"/>
        <v/>
      </c>
    </row>
    <row r="1532" spans="1:54" hidden="1" x14ac:dyDescent="0.35">
      <c r="A1532" s="73">
        <f t="shared" si="945"/>
        <v>2019</v>
      </c>
      <c r="B1532" s="73" t="str">
        <f t="shared" si="963"/>
        <v>Nov</v>
      </c>
      <c r="C1532" s="74">
        <f t="shared" si="964"/>
        <v>17</v>
      </c>
      <c r="D1532" s="75">
        <f t="shared" si="965"/>
        <v>14</v>
      </c>
      <c r="E1532" s="76">
        <v>54</v>
      </c>
      <c r="F1532" s="80">
        <v>55</v>
      </c>
      <c r="G1532" s="83"/>
      <c r="H1532" s="69" t="str">
        <f t="shared" si="966"/>
        <v>Senbur6_20191117_14_00</v>
      </c>
      <c r="I1532" s="70">
        <f t="shared" ref="I1532:N1532" si="1023">I1531</f>
        <v>1</v>
      </c>
      <c r="J1532" s="77" t="str">
        <f t="shared" si="1023"/>
        <v>Senecio</v>
      </c>
      <c r="K1532" s="77" t="str">
        <f t="shared" si="1023"/>
        <v>burtoni</v>
      </c>
      <c r="L1532" s="78">
        <f t="shared" si="1023"/>
        <v>6</v>
      </c>
      <c r="M1532" s="78">
        <f t="shared" si="1023"/>
        <v>12</v>
      </c>
      <c r="N1532" s="72">
        <f t="shared" si="1023"/>
        <v>0</v>
      </c>
      <c r="O1532" s="45"/>
      <c r="P1532" s="46">
        <f t="shared" si="968"/>
        <v>1</v>
      </c>
      <c r="Q1532" s="47" t="str">
        <f t="shared" si="969"/>
        <v>14:54:55</v>
      </c>
      <c r="R1532" s="48" t="str">
        <f t="shared" si="970"/>
        <v>54:55</v>
      </c>
      <c r="S1532" s="49">
        <f t="shared" si="971"/>
        <v>51</v>
      </c>
      <c r="T1532" s="48" t="str">
        <f t="shared" si="972"/>
        <v>14</v>
      </c>
      <c r="U1532" s="50">
        <v>55</v>
      </c>
      <c r="V1532" s="51">
        <v>46</v>
      </c>
      <c r="W1532" s="52" t="str">
        <f t="shared" si="973"/>
        <v>55:46</v>
      </c>
      <c r="X1532" s="53" t="s">
        <v>61</v>
      </c>
      <c r="Y1532" s="97" t="s">
        <v>78</v>
      </c>
      <c r="Z1532" s="97"/>
      <c r="AA1532" s="48" t="s">
        <v>60</v>
      </c>
      <c r="AB1532" s="48" t="str">
        <f t="shared" si="974"/>
        <v>NA</v>
      </c>
      <c r="AC1532" s="54">
        <f t="shared" si="975"/>
        <v>0</v>
      </c>
      <c r="AD1532" s="55">
        <v>2</v>
      </c>
      <c r="AE1532" s="55"/>
      <c r="AF1532" s="55"/>
      <c r="AG1532" s="56" t="str">
        <f t="shared" si="977"/>
        <v/>
      </c>
      <c r="AH1532" s="57" t="str">
        <f t="shared" si="978"/>
        <v/>
      </c>
      <c r="AI1532" s="56">
        <v>1</v>
      </c>
      <c r="AJ1532" s="57">
        <v>2</v>
      </c>
      <c r="AK1532" s="56">
        <v>1</v>
      </c>
      <c r="AL1532" s="57">
        <v>49</v>
      </c>
      <c r="AM1532" s="56"/>
      <c r="AN1532" s="57" t="str">
        <f t="shared" si="981"/>
        <v/>
      </c>
      <c r="AO1532" s="56"/>
      <c r="AP1532" s="57" t="str">
        <f t="shared" si="982"/>
        <v/>
      </c>
      <c r="AQ1532" s="56"/>
      <c r="AR1532" s="57" t="str">
        <f t="shared" si="983"/>
        <v/>
      </c>
      <c r="AS1532" s="56"/>
      <c r="AT1532" s="57" t="str">
        <f t="shared" si="984"/>
        <v/>
      </c>
      <c r="AU1532" s="58"/>
      <c r="AV1532" s="59"/>
      <c r="AW1532" s="59"/>
      <c r="AX1532" s="60"/>
      <c r="AY1532" s="61">
        <v>1</v>
      </c>
      <c r="AZ1532" s="62" t="s">
        <v>76</v>
      </c>
      <c r="BA1532" s="61">
        <f t="shared" si="986"/>
        <v>0</v>
      </c>
      <c r="BB1532" s="62" t="str">
        <f t="shared" si="987"/>
        <v/>
      </c>
    </row>
    <row r="1533" spans="1:54" hidden="1" x14ac:dyDescent="0.35">
      <c r="A1533" s="73">
        <f t="shared" si="945"/>
        <v>2019</v>
      </c>
      <c r="B1533" s="73" t="str">
        <f t="shared" si="963"/>
        <v>Nov</v>
      </c>
      <c r="C1533" s="74">
        <f t="shared" si="964"/>
        <v>17</v>
      </c>
      <c r="D1533" s="75">
        <f t="shared" si="965"/>
        <v>14</v>
      </c>
      <c r="E1533" s="76">
        <f t="shared" si="946"/>
        <v>55</v>
      </c>
      <c r="F1533" s="80">
        <v>14</v>
      </c>
      <c r="G1533" s="83"/>
      <c r="H1533" s="69" t="str">
        <f t="shared" si="966"/>
        <v>Senbur6_20191117_14_00</v>
      </c>
      <c r="I1533" s="70">
        <f t="shared" ref="I1533:N1533" si="1024">I1532</f>
        <v>1</v>
      </c>
      <c r="J1533" s="77" t="str">
        <f t="shared" si="1024"/>
        <v>Senecio</v>
      </c>
      <c r="K1533" s="77" t="str">
        <f t="shared" si="1024"/>
        <v>burtoni</v>
      </c>
      <c r="L1533" s="78">
        <f t="shared" si="1024"/>
        <v>6</v>
      </c>
      <c r="M1533" s="78">
        <f t="shared" si="1024"/>
        <v>12</v>
      </c>
      <c r="N1533" s="72">
        <f t="shared" si="1024"/>
        <v>0</v>
      </c>
      <c r="O1533" s="45"/>
      <c r="P1533" s="46">
        <f t="shared" si="968"/>
        <v>1</v>
      </c>
      <c r="Q1533" s="47" t="str">
        <f t="shared" si="969"/>
        <v>14:55:14</v>
      </c>
      <c r="R1533" s="48" t="str">
        <f t="shared" si="970"/>
        <v>55:14</v>
      </c>
      <c r="S1533" s="49">
        <f t="shared" si="971"/>
        <v>54</v>
      </c>
      <c r="T1533" s="48" t="str">
        <f t="shared" si="972"/>
        <v>14</v>
      </c>
      <c r="U1533" s="50">
        <v>56</v>
      </c>
      <c r="V1533" s="51">
        <v>8</v>
      </c>
      <c r="W1533" s="52" t="str">
        <f t="shared" si="973"/>
        <v>56:08</v>
      </c>
      <c r="X1533" s="53" t="s">
        <v>61</v>
      </c>
      <c r="Y1533" s="97" t="s">
        <v>78</v>
      </c>
      <c r="Z1533" s="97"/>
      <c r="AA1533" s="48" t="s">
        <v>60</v>
      </c>
      <c r="AB1533" s="48" t="str">
        <f t="shared" si="974"/>
        <v>NA</v>
      </c>
      <c r="AC1533" s="54">
        <f t="shared" si="975"/>
        <v>0</v>
      </c>
      <c r="AD1533" s="55">
        <f t="shared" si="976"/>
        <v>1</v>
      </c>
      <c r="AE1533" s="55"/>
      <c r="AF1533" s="55"/>
      <c r="AG1533" s="56">
        <v>1</v>
      </c>
      <c r="AH1533" s="57">
        <v>19</v>
      </c>
      <c r="AI1533" s="56"/>
      <c r="AJ1533" s="57" t="str">
        <f t="shared" si="979"/>
        <v/>
      </c>
      <c r="AK1533" s="56">
        <v>1</v>
      </c>
      <c r="AL1533" s="57">
        <v>35</v>
      </c>
      <c r="AM1533" s="56"/>
      <c r="AN1533" s="57" t="str">
        <f t="shared" si="981"/>
        <v/>
      </c>
      <c r="AO1533" s="56"/>
      <c r="AP1533" s="57" t="str">
        <f t="shared" si="982"/>
        <v/>
      </c>
      <c r="AQ1533" s="56"/>
      <c r="AR1533" s="57" t="str">
        <f t="shared" si="983"/>
        <v/>
      </c>
      <c r="AS1533" s="56"/>
      <c r="AT1533" s="57"/>
      <c r="AU1533" s="58"/>
      <c r="AV1533" s="59"/>
      <c r="AW1533" s="59"/>
      <c r="AX1533" s="60"/>
      <c r="AY1533" s="61">
        <v>1</v>
      </c>
      <c r="AZ1533" s="62">
        <f t="shared" si="985"/>
        <v>1</v>
      </c>
      <c r="BA1533" s="61">
        <f t="shared" si="986"/>
        <v>0</v>
      </c>
      <c r="BB1533" s="62" t="str">
        <f t="shared" si="987"/>
        <v/>
      </c>
    </row>
    <row r="1534" spans="1:54" hidden="1" x14ac:dyDescent="0.35">
      <c r="A1534" s="73">
        <f t="shared" si="945"/>
        <v>2019</v>
      </c>
      <c r="B1534" s="73" t="str">
        <f t="shared" si="963"/>
        <v>Nov</v>
      </c>
      <c r="C1534" s="74">
        <f t="shared" si="964"/>
        <v>17</v>
      </c>
      <c r="D1534" s="75">
        <f t="shared" si="965"/>
        <v>14</v>
      </c>
      <c r="E1534" s="76">
        <v>55</v>
      </c>
      <c r="F1534" s="80">
        <v>29</v>
      </c>
      <c r="G1534" s="83"/>
      <c r="H1534" s="69" t="str">
        <f t="shared" si="966"/>
        <v>Senbur6_20191117_14_00</v>
      </c>
      <c r="I1534" s="70">
        <f t="shared" ref="I1534:N1534" si="1025">I1533</f>
        <v>1</v>
      </c>
      <c r="J1534" s="77" t="str">
        <f t="shared" si="1025"/>
        <v>Senecio</v>
      </c>
      <c r="K1534" s="77" t="str">
        <f t="shared" si="1025"/>
        <v>burtoni</v>
      </c>
      <c r="L1534" s="78">
        <f t="shared" si="1025"/>
        <v>6</v>
      </c>
      <c r="M1534" s="78">
        <f t="shared" si="1025"/>
        <v>12</v>
      </c>
      <c r="N1534" s="72">
        <f t="shared" si="1025"/>
        <v>0</v>
      </c>
      <c r="O1534" s="45"/>
      <c r="P1534" s="46">
        <f t="shared" si="968"/>
        <v>1</v>
      </c>
      <c r="Q1534" s="47" t="str">
        <f t="shared" si="969"/>
        <v>14:55:29</v>
      </c>
      <c r="R1534" s="48" t="str">
        <f t="shared" si="970"/>
        <v>55:29</v>
      </c>
      <c r="S1534" s="49">
        <f t="shared" si="971"/>
        <v>39</v>
      </c>
      <c r="T1534" s="48" t="str">
        <f t="shared" si="972"/>
        <v>14</v>
      </c>
      <c r="U1534" s="50">
        <v>56</v>
      </c>
      <c r="V1534" s="51">
        <v>8</v>
      </c>
      <c r="W1534" s="52" t="str">
        <f t="shared" si="973"/>
        <v>56:08</v>
      </c>
      <c r="X1534" s="53" t="s">
        <v>61</v>
      </c>
      <c r="Y1534" s="97" t="s">
        <v>84</v>
      </c>
      <c r="Z1534" s="97" t="s">
        <v>80</v>
      </c>
      <c r="AA1534" s="48" t="s">
        <v>60</v>
      </c>
      <c r="AB1534" s="48" t="str">
        <f t="shared" si="974"/>
        <v>NA</v>
      </c>
      <c r="AC1534" s="54">
        <f t="shared" si="975"/>
        <v>0</v>
      </c>
      <c r="AD1534" s="55">
        <f t="shared" si="976"/>
        <v>1</v>
      </c>
      <c r="AE1534" s="55"/>
      <c r="AF1534" s="55"/>
      <c r="AG1534" s="56" t="str">
        <f t="shared" si="977"/>
        <v/>
      </c>
      <c r="AH1534" s="57" t="str">
        <f t="shared" si="978"/>
        <v/>
      </c>
      <c r="AI1534" s="56"/>
      <c r="AJ1534" s="57" t="str">
        <f t="shared" si="979"/>
        <v/>
      </c>
      <c r="AK1534" s="56">
        <v>1</v>
      </c>
      <c r="AL1534" s="57">
        <f t="shared" si="980"/>
        <v>39</v>
      </c>
      <c r="AM1534" s="56"/>
      <c r="AN1534" s="57" t="str">
        <f t="shared" si="981"/>
        <v/>
      </c>
      <c r="AO1534" s="56"/>
      <c r="AP1534" s="57" t="str">
        <f t="shared" si="982"/>
        <v/>
      </c>
      <c r="AQ1534" s="56"/>
      <c r="AR1534" s="57" t="str">
        <f t="shared" si="983"/>
        <v/>
      </c>
      <c r="AS1534" s="56"/>
      <c r="AT1534" s="57" t="str">
        <f t="shared" si="984"/>
        <v/>
      </c>
      <c r="AU1534" s="58"/>
      <c r="AV1534" s="59"/>
      <c r="AW1534" s="59"/>
      <c r="AX1534" s="60"/>
      <c r="AY1534" s="61">
        <v>1</v>
      </c>
      <c r="AZ1534" s="62">
        <f t="shared" si="985"/>
        <v>1</v>
      </c>
      <c r="BA1534" s="61">
        <f t="shared" si="986"/>
        <v>0</v>
      </c>
      <c r="BB1534" s="62" t="str">
        <f t="shared" si="987"/>
        <v/>
      </c>
    </row>
    <row r="1535" spans="1:54" hidden="1" x14ac:dyDescent="0.35">
      <c r="A1535" s="73">
        <f t="shared" si="945"/>
        <v>2019</v>
      </c>
      <c r="B1535" s="73" t="str">
        <f t="shared" si="963"/>
        <v>Nov</v>
      </c>
      <c r="C1535" s="74">
        <f t="shared" si="964"/>
        <v>17</v>
      </c>
      <c r="D1535" s="75">
        <f t="shared" si="965"/>
        <v>14</v>
      </c>
      <c r="E1535" s="76">
        <v>55</v>
      </c>
      <c r="F1535" s="80">
        <v>38</v>
      </c>
      <c r="G1535" s="83"/>
      <c r="H1535" s="69" t="str">
        <f t="shared" si="966"/>
        <v>Senbur6_20191117_14_00</v>
      </c>
      <c r="I1535" s="70">
        <f t="shared" ref="I1535:N1535" si="1026">I1534</f>
        <v>1</v>
      </c>
      <c r="J1535" s="77" t="str">
        <f t="shared" si="1026"/>
        <v>Senecio</v>
      </c>
      <c r="K1535" s="77" t="str">
        <f t="shared" si="1026"/>
        <v>burtoni</v>
      </c>
      <c r="L1535" s="78">
        <f t="shared" si="1026"/>
        <v>6</v>
      </c>
      <c r="M1535" s="78">
        <f t="shared" si="1026"/>
        <v>12</v>
      </c>
      <c r="N1535" s="72">
        <f t="shared" si="1026"/>
        <v>0</v>
      </c>
      <c r="O1535" s="45"/>
      <c r="P1535" s="46">
        <f t="shared" si="968"/>
        <v>1</v>
      </c>
      <c r="Q1535" s="47" t="str">
        <f t="shared" si="969"/>
        <v>14:55:38</v>
      </c>
      <c r="R1535" s="48" t="str">
        <f t="shared" si="970"/>
        <v>55:38</v>
      </c>
      <c r="S1535" s="49">
        <f t="shared" si="971"/>
        <v>81</v>
      </c>
      <c r="T1535" s="48" t="str">
        <f t="shared" si="972"/>
        <v>14</v>
      </c>
      <c r="U1535" s="50">
        <v>56</v>
      </c>
      <c r="V1535" s="51">
        <v>59</v>
      </c>
      <c r="W1535" s="52" t="str">
        <f t="shared" si="973"/>
        <v>56:59</v>
      </c>
      <c r="X1535" s="53" t="s">
        <v>61</v>
      </c>
      <c r="Y1535" s="97" t="s">
        <v>84</v>
      </c>
      <c r="Z1535" s="97" t="s">
        <v>80</v>
      </c>
      <c r="AA1535" s="48" t="s">
        <v>60</v>
      </c>
      <c r="AB1535" s="48" t="str">
        <f t="shared" si="974"/>
        <v>NA</v>
      </c>
      <c r="AC1535" s="54">
        <f t="shared" si="975"/>
        <v>0</v>
      </c>
      <c r="AD1535" s="55">
        <v>2</v>
      </c>
      <c r="AE1535" s="55"/>
      <c r="AF1535" s="55"/>
      <c r="AG1535" s="56">
        <v>1</v>
      </c>
      <c r="AH1535" s="57">
        <v>1</v>
      </c>
      <c r="AI1535" s="56">
        <v>1</v>
      </c>
      <c r="AJ1535" s="57">
        <v>1</v>
      </c>
      <c r="AK1535" s="56">
        <v>1</v>
      </c>
      <c r="AL1535" s="57">
        <v>79</v>
      </c>
      <c r="AM1535" s="56"/>
      <c r="AN1535" s="57" t="str">
        <f t="shared" si="981"/>
        <v/>
      </c>
      <c r="AO1535" s="56"/>
      <c r="AP1535" s="57" t="str">
        <f t="shared" si="982"/>
        <v/>
      </c>
      <c r="AQ1535" s="56"/>
      <c r="AR1535" s="57" t="str">
        <f t="shared" si="983"/>
        <v/>
      </c>
      <c r="AS1535" s="56"/>
      <c r="AT1535" s="57" t="str">
        <f t="shared" si="984"/>
        <v/>
      </c>
      <c r="AU1535" s="58"/>
      <c r="AV1535" s="59"/>
      <c r="AW1535" s="59"/>
      <c r="AX1535" s="60"/>
      <c r="AY1535" s="61">
        <v>1</v>
      </c>
      <c r="AZ1535" s="62">
        <f t="shared" si="985"/>
        <v>2</v>
      </c>
      <c r="BA1535" s="61">
        <f t="shared" si="986"/>
        <v>0</v>
      </c>
      <c r="BB1535" s="62" t="str">
        <f t="shared" si="987"/>
        <v/>
      </c>
    </row>
    <row r="1536" spans="1:54" hidden="1" x14ac:dyDescent="0.35">
      <c r="A1536" s="73">
        <f t="shared" si="945"/>
        <v>2019</v>
      </c>
      <c r="B1536" s="73" t="str">
        <f t="shared" si="963"/>
        <v>Nov</v>
      </c>
      <c r="C1536" s="74">
        <f t="shared" si="964"/>
        <v>17</v>
      </c>
      <c r="D1536" s="75">
        <f t="shared" si="965"/>
        <v>14</v>
      </c>
      <c r="E1536" s="76">
        <v>55</v>
      </c>
      <c r="F1536" s="80">
        <v>56</v>
      </c>
      <c r="G1536" s="83"/>
      <c r="H1536" s="69" t="str">
        <f t="shared" si="966"/>
        <v>Senbur6_20191117_14_00</v>
      </c>
      <c r="I1536" s="70">
        <f t="shared" ref="I1536:N1536" si="1027">I1535</f>
        <v>1</v>
      </c>
      <c r="J1536" s="77" t="str">
        <f t="shared" si="1027"/>
        <v>Senecio</v>
      </c>
      <c r="K1536" s="77" t="str">
        <f t="shared" si="1027"/>
        <v>burtoni</v>
      </c>
      <c r="L1536" s="78">
        <f t="shared" si="1027"/>
        <v>6</v>
      </c>
      <c r="M1536" s="78">
        <f t="shared" si="1027"/>
        <v>12</v>
      </c>
      <c r="N1536" s="72">
        <f t="shared" si="1027"/>
        <v>0</v>
      </c>
      <c r="O1536" s="45"/>
      <c r="P1536" s="46">
        <f t="shared" si="968"/>
        <v>1</v>
      </c>
      <c r="Q1536" s="47" t="str">
        <f t="shared" si="969"/>
        <v>14:55:56</v>
      </c>
      <c r="R1536" s="48" t="str">
        <f t="shared" si="970"/>
        <v>55:56</v>
      </c>
      <c r="S1536" s="49">
        <f t="shared" si="971"/>
        <v>70</v>
      </c>
      <c r="T1536" s="48" t="str">
        <f t="shared" si="972"/>
        <v>14</v>
      </c>
      <c r="U1536" s="50">
        <v>57</v>
      </c>
      <c r="V1536" s="51">
        <v>6</v>
      </c>
      <c r="W1536" s="52" t="str">
        <f t="shared" si="973"/>
        <v>57:06</v>
      </c>
      <c r="X1536" s="53" t="s">
        <v>61</v>
      </c>
      <c r="Y1536" s="97" t="s">
        <v>84</v>
      </c>
      <c r="Z1536" s="97" t="s">
        <v>80</v>
      </c>
      <c r="AA1536" s="48" t="s">
        <v>60</v>
      </c>
      <c r="AB1536" s="48" t="str">
        <f t="shared" si="974"/>
        <v>NA</v>
      </c>
      <c r="AC1536" s="54">
        <f t="shared" si="975"/>
        <v>0</v>
      </c>
      <c r="AD1536" s="55">
        <f t="shared" si="976"/>
        <v>1</v>
      </c>
      <c r="AE1536" s="55"/>
      <c r="AF1536" s="55"/>
      <c r="AG1536" s="56" t="str">
        <f t="shared" si="977"/>
        <v/>
      </c>
      <c r="AH1536" s="57" t="str">
        <f t="shared" si="978"/>
        <v/>
      </c>
      <c r="AI1536" s="56"/>
      <c r="AJ1536" s="57" t="str">
        <f t="shared" si="979"/>
        <v/>
      </c>
      <c r="AK1536" s="56">
        <v>1</v>
      </c>
      <c r="AL1536" s="57">
        <f t="shared" si="980"/>
        <v>70</v>
      </c>
      <c r="AM1536" s="56"/>
      <c r="AN1536" s="57" t="str">
        <f t="shared" si="981"/>
        <v/>
      </c>
      <c r="AO1536" s="56"/>
      <c r="AP1536" s="57" t="str">
        <f t="shared" si="982"/>
        <v/>
      </c>
      <c r="AQ1536" s="56"/>
      <c r="AR1536" s="57" t="str">
        <f t="shared" si="983"/>
        <v/>
      </c>
      <c r="AS1536" s="56"/>
      <c r="AT1536" s="57" t="str">
        <f t="shared" si="984"/>
        <v/>
      </c>
      <c r="AU1536" s="58"/>
      <c r="AV1536" s="59"/>
      <c r="AW1536" s="59"/>
      <c r="AX1536" s="60"/>
      <c r="AY1536" s="61">
        <v>1</v>
      </c>
      <c r="AZ1536" s="62">
        <f t="shared" si="985"/>
        <v>1</v>
      </c>
      <c r="BA1536" s="61">
        <f t="shared" si="986"/>
        <v>0</v>
      </c>
      <c r="BB1536" s="62" t="str">
        <f t="shared" si="987"/>
        <v/>
      </c>
    </row>
    <row r="1537" spans="1:54" hidden="1" x14ac:dyDescent="0.35">
      <c r="A1537" s="73">
        <f t="shared" si="945"/>
        <v>2019</v>
      </c>
      <c r="B1537" s="73" t="str">
        <f t="shared" si="963"/>
        <v>Nov</v>
      </c>
      <c r="C1537" s="74">
        <f t="shared" si="964"/>
        <v>17</v>
      </c>
      <c r="D1537" s="75">
        <f t="shared" si="965"/>
        <v>14</v>
      </c>
      <c r="E1537" s="76">
        <f t="shared" si="946"/>
        <v>56</v>
      </c>
      <c r="F1537" s="80">
        <v>52</v>
      </c>
      <c r="G1537" s="83"/>
      <c r="H1537" s="69" t="str">
        <f t="shared" si="966"/>
        <v>Senbur6_20191117_14_00</v>
      </c>
      <c r="I1537" s="70">
        <f t="shared" ref="I1537:N1537" si="1028">I1536</f>
        <v>1</v>
      </c>
      <c r="J1537" s="77" t="str">
        <f t="shared" si="1028"/>
        <v>Senecio</v>
      </c>
      <c r="K1537" s="77" t="str">
        <f t="shared" si="1028"/>
        <v>burtoni</v>
      </c>
      <c r="L1537" s="78">
        <f t="shared" si="1028"/>
        <v>6</v>
      </c>
      <c r="M1537" s="78">
        <f t="shared" si="1028"/>
        <v>12</v>
      </c>
      <c r="N1537" s="72">
        <f t="shared" si="1028"/>
        <v>0</v>
      </c>
      <c r="O1537" s="45"/>
      <c r="P1537" s="46">
        <f t="shared" si="968"/>
        <v>1</v>
      </c>
      <c r="Q1537" s="47" t="str">
        <f t="shared" si="969"/>
        <v>14:56:52</v>
      </c>
      <c r="R1537" s="48" t="str">
        <f t="shared" si="970"/>
        <v>56:52</v>
      </c>
      <c r="S1537" s="49">
        <f t="shared" si="971"/>
        <v>65</v>
      </c>
      <c r="T1537" s="48" t="str">
        <f t="shared" si="972"/>
        <v>14</v>
      </c>
      <c r="U1537" s="50">
        <v>57</v>
      </c>
      <c r="V1537" s="51">
        <v>57</v>
      </c>
      <c r="W1537" s="52" t="str">
        <f t="shared" si="973"/>
        <v>57:57</v>
      </c>
      <c r="X1537" s="53" t="s">
        <v>59</v>
      </c>
      <c r="Y1537" s="97" t="s">
        <v>84</v>
      </c>
      <c r="Z1537" s="97" t="s">
        <v>80</v>
      </c>
      <c r="AA1537" s="48" t="s">
        <v>60</v>
      </c>
      <c r="AB1537" s="48" t="str">
        <f t="shared" si="974"/>
        <v>NA</v>
      </c>
      <c r="AC1537" s="54">
        <f t="shared" si="975"/>
        <v>0</v>
      </c>
      <c r="AD1537" s="55">
        <v>2</v>
      </c>
      <c r="AE1537" s="55"/>
      <c r="AF1537" s="55"/>
      <c r="AG1537" s="56">
        <v>1</v>
      </c>
      <c r="AH1537" s="57">
        <v>3</v>
      </c>
      <c r="AI1537" s="56">
        <v>1</v>
      </c>
      <c r="AJ1537" s="57">
        <v>1</v>
      </c>
      <c r="AK1537" s="56">
        <v>1</v>
      </c>
      <c r="AL1537" s="57">
        <v>61</v>
      </c>
      <c r="AM1537" s="56"/>
      <c r="AN1537" s="57" t="str">
        <f t="shared" si="981"/>
        <v/>
      </c>
      <c r="AO1537" s="56"/>
      <c r="AP1537" s="57" t="str">
        <f t="shared" si="982"/>
        <v/>
      </c>
      <c r="AQ1537" s="56"/>
      <c r="AR1537" s="57" t="str">
        <f t="shared" si="983"/>
        <v/>
      </c>
      <c r="AS1537" s="56"/>
      <c r="AT1537" s="57" t="str">
        <f t="shared" si="984"/>
        <v/>
      </c>
      <c r="AU1537" s="58"/>
      <c r="AV1537" s="59"/>
      <c r="AW1537" s="59"/>
      <c r="AX1537" s="60"/>
      <c r="AY1537" s="61">
        <v>1</v>
      </c>
      <c r="AZ1537" s="62">
        <f t="shared" si="985"/>
        <v>2</v>
      </c>
      <c r="BA1537" s="61">
        <f t="shared" si="986"/>
        <v>0</v>
      </c>
      <c r="BB1537" s="62" t="str">
        <f t="shared" si="987"/>
        <v/>
      </c>
    </row>
    <row r="1538" spans="1:54" hidden="1" x14ac:dyDescent="0.35">
      <c r="A1538" s="73">
        <f t="shared" si="945"/>
        <v>2019</v>
      </c>
      <c r="B1538" s="73" t="str">
        <f t="shared" si="963"/>
        <v>Nov</v>
      </c>
      <c r="C1538" s="74">
        <f t="shared" si="964"/>
        <v>17</v>
      </c>
      <c r="D1538" s="75">
        <f t="shared" si="965"/>
        <v>14</v>
      </c>
      <c r="E1538" s="76">
        <v>56</v>
      </c>
      <c r="F1538" s="80">
        <v>59</v>
      </c>
      <c r="G1538" s="83"/>
      <c r="H1538" s="69" t="str">
        <f t="shared" si="966"/>
        <v>Senbur6_20191117_14_00</v>
      </c>
      <c r="I1538" s="70">
        <f t="shared" ref="I1538:N1538" si="1029">I1537</f>
        <v>1</v>
      </c>
      <c r="J1538" s="77" t="str">
        <f t="shared" si="1029"/>
        <v>Senecio</v>
      </c>
      <c r="K1538" s="77" t="str">
        <f t="shared" si="1029"/>
        <v>burtoni</v>
      </c>
      <c r="L1538" s="78">
        <f t="shared" si="1029"/>
        <v>6</v>
      </c>
      <c r="M1538" s="78">
        <f t="shared" si="1029"/>
        <v>12</v>
      </c>
      <c r="N1538" s="72">
        <f t="shared" si="1029"/>
        <v>0</v>
      </c>
      <c r="O1538" s="45"/>
      <c r="P1538" s="46">
        <f t="shared" si="968"/>
        <v>1</v>
      </c>
      <c r="Q1538" s="47" t="str">
        <f t="shared" si="969"/>
        <v>14:56:59</v>
      </c>
      <c r="R1538" s="48" t="str">
        <f t="shared" si="970"/>
        <v>56:59</v>
      </c>
      <c r="S1538" s="49">
        <f t="shared" si="971"/>
        <v>3</v>
      </c>
      <c r="T1538" s="48" t="str">
        <f t="shared" si="972"/>
        <v>14</v>
      </c>
      <c r="U1538" s="50">
        <v>57</v>
      </c>
      <c r="V1538" s="51">
        <v>2</v>
      </c>
      <c r="W1538" s="52" t="str">
        <f t="shared" si="973"/>
        <v>57:02</v>
      </c>
      <c r="X1538" s="53" t="s">
        <v>61</v>
      </c>
      <c r="Y1538" s="97" t="s">
        <v>78</v>
      </c>
      <c r="Z1538" s="97"/>
      <c r="AA1538" s="48" t="s">
        <v>60</v>
      </c>
      <c r="AB1538" s="48" t="str">
        <f t="shared" si="974"/>
        <v>NA</v>
      </c>
      <c r="AC1538" s="54">
        <f t="shared" si="975"/>
        <v>0</v>
      </c>
      <c r="AD1538" s="55">
        <f t="shared" si="976"/>
        <v>1</v>
      </c>
      <c r="AE1538" s="55"/>
      <c r="AF1538" s="55"/>
      <c r="AG1538" s="56">
        <v>1</v>
      </c>
      <c r="AH1538" s="57">
        <f t="shared" si="978"/>
        <v>3</v>
      </c>
      <c r="AI1538" s="56"/>
      <c r="AJ1538" s="57" t="str">
        <f t="shared" si="979"/>
        <v/>
      </c>
      <c r="AK1538" s="56"/>
      <c r="AL1538" s="57" t="str">
        <f t="shared" si="980"/>
        <v/>
      </c>
      <c r="AM1538" s="56"/>
      <c r="AN1538" s="57" t="str">
        <f t="shared" si="981"/>
        <v/>
      </c>
      <c r="AO1538" s="56"/>
      <c r="AP1538" s="57" t="str">
        <f t="shared" si="982"/>
        <v/>
      </c>
      <c r="AQ1538" s="56"/>
      <c r="AR1538" s="57" t="str">
        <f t="shared" si="983"/>
        <v/>
      </c>
      <c r="AS1538" s="56"/>
      <c r="AT1538" s="57" t="str">
        <f t="shared" si="984"/>
        <v/>
      </c>
      <c r="AU1538" s="58"/>
      <c r="AV1538" s="59"/>
      <c r="AW1538" s="59"/>
      <c r="AX1538" s="60"/>
      <c r="AY1538" s="61">
        <f t="shared" si="990"/>
        <v>0</v>
      </c>
      <c r="AZ1538" s="62" t="str">
        <f t="shared" si="985"/>
        <v/>
      </c>
      <c r="BA1538" s="61">
        <f t="shared" si="986"/>
        <v>0</v>
      </c>
      <c r="BB1538" s="62" t="str">
        <f t="shared" si="987"/>
        <v/>
      </c>
    </row>
    <row r="1539" spans="1:54" hidden="1" x14ac:dyDescent="0.35">
      <c r="A1539" s="73">
        <f t="shared" si="945"/>
        <v>2019</v>
      </c>
      <c r="B1539" s="73" t="str">
        <f t="shared" si="963"/>
        <v>Nov</v>
      </c>
      <c r="C1539" s="74">
        <f t="shared" si="964"/>
        <v>17</v>
      </c>
      <c r="D1539" s="75">
        <f t="shared" si="965"/>
        <v>14</v>
      </c>
      <c r="E1539" s="76">
        <f t="shared" si="946"/>
        <v>57</v>
      </c>
      <c r="F1539" s="80">
        <v>23</v>
      </c>
      <c r="G1539" s="83"/>
      <c r="H1539" s="69" t="str">
        <f t="shared" si="966"/>
        <v>Senbur6_20191117_14_00</v>
      </c>
      <c r="I1539" s="70">
        <f t="shared" ref="I1539:N1539" si="1030">I1538</f>
        <v>1</v>
      </c>
      <c r="J1539" s="77" t="str">
        <f t="shared" si="1030"/>
        <v>Senecio</v>
      </c>
      <c r="K1539" s="77" t="str">
        <f t="shared" si="1030"/>
        <v>burtoni</v>
      </c>
      <c r="L1539" s="78">
        <f t="shared" si="1030"/>
        <v>6</v>
      </c>
      <c r="M1539" s="78">
        <f t="shared" si="1030"/>
        <v>12</v>
      </c>
      <c r="N1539" s="72">
        <f t="shared" si="1030"/>
        <v>0</v>
      </c>
      <c r="O1539" s="45"/>
      <c r="P1539" s="46">
        <f t="shared" si="968"/>
        <v>1</v>
      </c>
      <c r="Q1539" s="47" t="str">
        <f t="shared" si="969"/>
        <v>14:57:23</v>
      </c>
      <c r="R1539" s="48" t="str">
        <f t="shared" si="970"/>
        <v>57:23</v>
      </c>
      <c r="S1539" s="49">
        <f t="shared" si="971"/>
        <v>100</v>
      </c>
      <c r="T1539" s="48" t="str">
        <f t="shared" si="972"/>
        <v>14</v>
      </c>
      <c r="U1539" s="50">
        <v>59</v>
      </c>
      <c r="V1539" s="51">
        <v>3</v>
      </c>
      <c r="W1539" s="52" t="str">
        <f t="shared" si="973"/>
        <v>59:03</v>
      </c>
      <c r="X1539" s="53" t="s">
        <v>61</v>
      </c>
      <c r="Y1539" s="97" t="s">
        <v>84</v>
      </c>
      <c r="Z1539" s="97" t="s">
        <v>80</v>
      </c>
      <c r="AA1539" s="48" t="s">
        <v>60</v>
      </c>
      <c r="AB1539" s="48" t="str">
        <f t="shared" si="974"/>
        <v>NA</v>
      </c>
      <c r="AC1539" s="54">
        <f t="shared" si="975"/>
        <v>0</v>
      </c>
      <c r="AD1539" s="55">
        <v>2</v>
      </c>
      <c r="AE1539" s="55"/>
      <c r="AF1539" s="55"/>
      <c r="AG1539" s="56">
        <v>1</v>
      </c>
      <c r="AH1539" s="57">
        <v>3</v>
      </c>
      <c r="AI1539" s="56"/>
      <c r="AJ1539" s="57" t="str">
        <f t="shared" si="979"/>
        <v/>
      </c>
      <c r="AK1539" s="56">
        <v>1</v>
      </c>
      <c r="AL1539" s="57">
        <v>97</v>
      </c>
      <c r="AM1539" s="56"/>
      <c r="AN1539" s="57" t="str">
        <f t="shared" si="981"/>
        <v/>
      </c>
      <c r="AO1539" s="56"/>
      <c r="AP1539" s="57" t="str">
        <f t="shared" si="982"/>
        <v/>
      </c>
      <c r="AQ1539" s="56"/>
      <c r="AR1539" s="57" t="str">
        <f t="shared" si="983"/>
        <v/>
      </c>
      <c r="AS1539" s="56"/>
      <c r="AT1539" s="57" t="str">
        <f t="shared" si="984"/>
        <v/>
      </c>
      <c r="AU1539" s="58"/>
      <c r="AV1539" s="59"/>
      <c r="AW1539" s="59"/>
      <c r="AX1539" s="60"/>
      <c r="AY1539" s="61">
        <v>1</v>
      </c>
      <c r="AZ1539" s="62">
        <f t="shared" si="985"/>
        <v>2</v>
      </c>
      <c r="BA1539" s="61">
        <f t="shared" si="986"/>
        <v>0</v>
      </c>
      <c r="BB1539" s="62" t="str">
        <f t="shared" si="987"/>
        <v/>
      </c>
    </row>
    <row r="1540" spans="1:54" hidden="1" x14ac:dyDescent="0.35">
      <c r="A1540" s="73">
        <f t="shared" si="945"/>
        <v>2019</v>
      </c>
      <c r="B1540" s="73" t="str">
        <f t="shared" si="963"/>
        <v>Nov</v>
      </c>
      <c r="C1540" s="74">
        <f t="shared" si="964"/>
        <v>17</v>
      </c>
      <c r="D1540" s="75">
        <f t="shared" si="965"/>
        <v>14</v>
      </c>
      <c r="E1540" s="76">
        <v>57</v>
      </c>
      <c r="F1540" s="80">
        <v>14</v>
      </c>
      <c r="G1540" s="83"/>
      <c r="H1540" s="69" t="str">
        <f t="shared" si="966"/>
        <v>Senbur6_20191117_14_00</v>
      </c>
      <c r="I1540" s="70">
        <f t="shared" ref="I1540:N1540" si="1031">I1539</f>
        <v>1</v>
      </c>
      <c r="J1540" s="77" t="str">
        <f t="shared" si="1031"/>
        <v>Senecio</v>
      </c>
      <c r="K1540" s="77" t="str">
        <f t="shared" si="1031"/>
        <v>burtoni</v>
      </c>
      <c r="L1540" s="78">
        <f t="shared" si="1031"/>
        <v>6</v>
      </c>
      <c r="M1540" s="78">
        <f t="shared" si="1031"/>
        <v>12</v>
      </c>
      <c r="N1540" s="72">
        <f t="shared" si="1031"/>
        <v>0</v>
      </c>
      <c r="O1540" s="45"/>
      <c r="P1540" s="46">
        <f t="shared" si="968"/>
        <v>1</v>
      </c>
      <c r="Q1540" s="47" t="str">
        <f t="shared" si="969"/>
        <v>14:57:14</v>
      </c>
      <c r="R1540" s="48" t="str">
        <f t="shared" si="970"/>
        <v>57:14</v>
      </c>
      <c r="S1540" s="49">
        <f t="shared" si="971"/>
        <v>11</v>
      </c>
      <c r="T1540" s="48" t="str">
        <f t="shared" si="972"/>
        <v>14</v>
      </c>
      <c r="U1540" s="50">
        <v>57</v>
      </c>
      <c r="V1540" s="51">
        <v>25</v>
      </c>
      <c r="W1540" s="52" t="str">
        <f t="shared" si="973"/>
        <v>57:25</v>
      </c>
      <c r="X1540" s="53" t="s">
        <v>61</v>
      </c>
      <c r="Y1540" s="97" t="s">
        <v>78</v>
      </c>
      <c r="Z1540" s="97"/>
      <c r="AA1540" s="48" t="s">
        <v>60</v>
      </c>
      <c r="AB1540" s="48" t="str">
        <f t="shared" si="974"/>
        <v>NA</v>
      </c>
      <c r="AC1540" s="54">
        <f t="shared" si="975"/>
        <v>0</v>
      </c>
      <c r="AD1540" s="55">
        <f t="shared" si="976"/>
        <v>1</v>
      </c>
      <c r="AE1540" s="55"/>
      <c r="AF1540" s="55"/>
      <c r="AG1540" s="56">
        <v>1</v>
      </c>
      <c r="AH1540" s="57">
        <v>6</v>
      </c>
      <c r="AI1540" s="56"/>
      <c r="AJ1540" s="57" t="str">
        <f t="shared" si="979"/>
        <v/>
      </c>
      <c r="AK1540" s="56">
        <v>1</v>
      </c>
      <c r="AL1540" s="57">
        <v>5</v>
      </c>
      <c r="AM1540" s="56"/>
      <c r="AN1540" s="57" t="str">
        <f t="shared" si="981"/>
        <v/>
      </c>
      <c r="AO1540" s="56"/>
      <c r="AP1540" s="57" t="str">
        <f t="shared" si="982"/>
        <v/>
      </c>
      <c r="AQ1540" s="56"/>
      <c r="AR1540" s="57" t="str">
        <f t="shared" si="983"/>
        <v/>
      </c>
      <c r="AS1540" s="56"/>
      <c r="AT1540" s="57" t="str">
        <f t="shared" si="984"/>
        <v/>
      </c>
      <c r="AU1540" s="58"/>
      <c r="AV1540" s="59"/>
      <c r="AW1540" s="59"/>
      <c r="AX1540" s="60"/>
      <c r="AY1540" s="61">
        <v>1</v>
      </c>
      <c r="AZ1540" s="62">
        <f t="shared" si="985"/>
        <v>1</v>
      </c>
      <c r="BA1540" s="61">
        <f t="shared" si="986"/>
        <v>0</v>
      </c>
      <c r="BB1540" s="62" t="str">
        <f t="shared" si="987"/>
        <v/>
      </c>
    </row>
    <row r="1541" spans="1:54" hidden="1" x14ac:dyDescent="0.35">
      <c r="A1541" s="73">
        <f t="shared" si="945"/>
        <v>2019</v>
      </c>
      <c r="B1541" s="73" t="str">
        <f t="shared" si="963"/>
        <v>Nov</v>
      </c>
      <c r="C1541" s="74">
        <f t="shared" si="964"/>
        <v>17</v>
      </c>
      <c r="D1541" s="75">
        <f t="shared" si="965"/>
        <v>14</v>
      </c>
      <c r="E1541" s="76">
        <v>57</v>
      </c>
      <c r="F1541" s="80">
        <v>25</v>
      </c>
      <c r="G1541" s="83"/>
      <c r="H1541" s="69" t="str">
        <f t="shared" si="966"/>
        <v>Senbur6_20191117_14_00</v>
      </c>
      <c r="I1541" s="70">
        <f t="shared" ref="I1541:N1542" si="1032">I1540</f>
        <v>1</v>
      </c>
      <c r="J1541" s="77" t="str">
        <f t="shared" si="1032"/>
        <v>Senecio</v>
      </c>
      <c r="K1541" s="77" t="str">
        <f t="shared" si="1032"/>
        <v>burtoni</v>
      </c>
      <c r="L1541" s="78">
        <f t="shared" si="1032"/>
        <v>6</v>
      </c>
      <c r="M1541" s="78">
        <f t="shared" si="1032"/>
        <v>12</v>
      </c>
      <c r="N1541" s="72">
        <f t="shared" si="1032"/>
        <v>0</v>
      </c>
      <c r="O1541" s="45"/>
      <c r="P1541" s="46">
        <f t="shared" si="968"/>
        <v>1</v>
      </c>
      <c r="Q1541" s="47" t="str">
        <f t="shared" si="969"/>
        <v>14:57:25</v>
      </c>
      <c r="R1541" s="48" t="str">
        <f t="shared" si="970"/>
        <v>57:25</v>
      </c>
      <c r="S1541" s="49">
        <f t="shared" si="971"/>
        <v>34</v>
      </c>
      <c r="T1541" s="48" t="str">
        <f t="shared" si="972"/>
        <v>14</v>
      </c>
      <c r="U1541" s="50">
        <v>57</v>
      </c>
      <c r="V1541" s="51">
        <v>59</v>
      </c>
      <c r="W1541" s="52" t="str">
        <f t="shared" si="973"/>
        <v>57:59</v>
      </c>
      <c r="X1541" s="53" t="s">
        <v>61</v>
      </c>
      <c r="Y1541" s="97" t="s">
        <v>78</v>
      </c>
      <c r="Z1541" s="97"/>
      <c r="AA1541" s="48" t="s">
        <v>60</v>
      </c>
      <c r="AB1541" s="48" t="str">
        <f t="shared" si="974"/>
        <v>NA</v>
      </c>
      <c r="AC1541" s="54">
        <f t="shared" si="975"/>
        <v>0</v>
      </c>
      <c r="AD1541" s="55">
        <v>2</v>
      </c>
      <c r="AE1541" s="55"/>
      <c r="AF1541" s="55"/>
      <c r="AG1541" s="56">
        <v>1</v>
      </c>
      <c r="AH1541" s="57">
        <v>2</v>
      </c>
      <c r="AI1541" s="56"/>
      <c r="AJ1541" s="57" t="str">
        <f t="shared" si="979"/>
        <v/>
      </c>
      <c r="AK1541" s="56">
        <v>1</v>
      </c>
      <c r="AL1541" s="57">
        <v>32</v>
      </c>
      <c r="AM1541" s="56"/>
      <c r="AN1541" s="57" t="str">
        <f t="shared" si="981"/>
        <v/>
      </c>
      <c r="AO1541" s="56"/>
      <c r="AP1541" s="57" t="str">
        <f t="shared" si="982"/>
        <v/>
      </c>
      <c r="AQ1541" s="56"/>
      <c r="AR1541" s="57" t="str">
        <f t="shared" si="983"/>
        <v/>
      </c>
      <c r="AS1541" s="56"/>
      <c r="AT1541" s="57" t="str">
        <f t="shared" si="984"/>
        <v/>
      </c>
      <c r="AU1541" s="58"/>
      <c r="AV1541" s="59"/>
      <c r="AW1541" s="59"/>
      <c r="AX1541" s="60"/>
      <c r="AY1541" s="61">
        <v>1</v>
      </c>
      <c r="AZ1541" s="62">
        <f t="shared" si="985"/>
        <v>2</v>
      </c>
      <c r="BA1541" s="61">
        <f t="shared" si="986"/>
        <v>0</v>
      </c>
      <c r="BB1541" s="62" t="str">
        <f t="shared" si="987"/>
        <v/>
      </c>
    </row>
    <row r="1542" spans="1:54" hidden="1" x14ac:dyDescent="0.35">
      <c r="A1542" s="73">
        <f t="shared" si="945"/>
        <v>2019</v>
      </c>
      <c r="B1542" s="73" t="str">
        <f t="shared" ref="B1542" si="1033">IF(C1541-C1542&gt;0, TEXT(DATE(2016,(MONTH(DATEVALUE(B1541&amp;"1"))+1),1),"mmm"), B1541)</f>
        <v>Nov</v>
      </c>
      <c r="C1542" s="74">
        <f t="shared" ref="C1542" si="1034">IF(AND(D1542=0, E1542=0), IF(TEXT(C1541,"dd")=TEXT(EOMONTH(DATE(A1541,MONTH(DATEVALUE(B1541&amp;"1")),C1541),0), "dd"), 1, C1541+1), C1541)</f>
        <v>17</v>
      </c>
      <c r="D1542" s="75">
        <f t="shared" ref="D1542" si="1035">IF(IF(E1541=59,D1541+1,D1541)=24,0,IF(E1541=59,D1541+1,D1541))</f>
        <v>14</v>
      </c>
      <c r="E1542" s="76">
        <v>57</v>
      </c>
      <c r="F1542" s="80">
        <v>49</v>
      </c>
      <c r="G1542" s="83"/>
      <c r="H1542" s="69" t="str">
        <f t="shared" ref="H1542" si="1036">IF(AND(OR(E1541=$G$3,E1541=$G$4,E1541=$G$5,E1541=$G$6,E1541=$G$7,E1541=$G$8),E1541&lt;&gt;RIGHT(H1541,2)),CONCATENATE(LEFT(J1542,3),LEFT(K1542,3),L1542,"_",A1542,TEXT(MONTH(DATEVALUE(B1542&amp;"1")),"00"),TEXT(C1542,"00"),"_",TEXT(D1542,"00"),"_",TEXT(E1541,"00")),IF(AND(OR(E1542=$G$3,E1542=$G$4,E1542=$G$5,E1542=$G$6,E1542=$G$7,E1542=$G$8),OR(F1542="",F1542&gt;$G$9-1)),CONCATENATE(LEFT(J1542,3),LEFT(K1542,3),L1542,"_",A1542,TEXT(MONTH(DATEVALUE(B1542&amp;"1")),"00"),TEXT(C1542,"00"),"_",TEXT(D1542,"00"),"_",TEXT(E1542,"00")),H1541))</f>
        <v>Senbur6_20191117_14_00</v>
      </c>
      <c r="I1542" s="70">
        <f t="shared" si="1032"/>
        <v>1</v>
      </c>
      <c r="J1542" s="77" t="str">
        <f t="shared" si="1032"/>
        <v>Senecio</v>
      </c>
      <c r="K1542" s="77" t="str">
        <f t="shared" si="1032"/>
        <v>burtoni</v>
      </c>
      <c r="L1542" s="78">
        <f t="shared" si="1032"/>
        <v>6</v>
      </c>
      <c r="M1542" s="78">
        <f t="shared" si="1032"/>
        <v>12</v>
      </c>
      <c r="N1542" s="72">
        <f t="shared" si="1032"/>
        <v>0</v>
      </c>
      <c r="O1542" s="45"/>
      <c r="P1542" s="46">
        <f t="shared" ref="P1542" si="1037">IF(F1542="","",1)</f>
        <v>1</v>
      </c>
      <c r="Q1542" s="47" t="str">
        <f t="shared" ref="Q1542" si="1038">TEXT(IF(P1542=1,CONCATENATE($D1542,":",$E1542,":",(LEFT($F1542,2))),""),"hh:mm:ss")</f>
        <v>14:57:49</v>
      </c>
      <c r="R1542" s="48" t="str">
        <f t="shared" ref="R1542" si="1039">TEXT(Q1542-TIME(0,RIGHT($H1542,2),$G$9)+(Q1542&gt;TIME(0,RIGHT($H1542,2),$G$9)),"mm:ss")</f>
        <v>57:49</v>
      </c>
      <c r="S1542" s="49">
        <f t="shared" ref="S1542" si="1040">IF(T1542&lt;D1542, (T1542*3600+U1542*60+V1542)+((23*3600+59*60+60)-(D1542*3600+E1542*60+LEFT(F1542,2))), (T1542*3600+U1542*60+V1542)-(D1542*3600+E1542*60+LEFT(F1542,2)))</f>
        <v>99</v>
      </c>
      <c r="T1542" s="48" t="str">
        <f t="shared" ref="T1542" si="1041">TEXT(IF(P1542=1,D1542,""),"00")</f>
        <v>14</v>
      </c>
      <c r="U1542" s="50">
        <v>59</v>
      </c>
      <c r="V1542" s="51">
        <v>28</v>
      </c>
      <c r="W1542" s="52" t="str">
        <f t="shared" ref="W1542" si="1042">IF(O1542=0,TEXT(TIME(T1542,U1542,V1542)-TIME(D1542,E1542,RIGHT(F1542,2))+TIME(0,LEFT(R1542,2),RIGHT(R1542,2)),"mm:ss"),TEXT(TIME(T1542,U1542,V1542)-TIME(D1542,E1542,RIGHT(F1542,2))+TIME(0,LEFT(R1542,2),RIGHT(R1542,2))-TIME(0,($G$10*O1542),0),"mm:ss"))</f>
        <v>59:28</v>
      </c>
      <c r="X1542" s="53" t="s">
        <v>61</v>
      </c>
      <c r="Y1542" s="97" t="s">
        <v>78</v>
      </c>
      <c r="Z1542" s="97"/>
      <c r="AA1542" s="48" t="s">
        <v>60</v>
      </c>
      <c r="AB1542" s="48" t="str">
        <f t="shared" ref="AB1542" si="1043">IF(AA1542&lt;&gt;0,"NA","")</f>
        <v>NA</v>
      </c>
      <c r="AC1542" s="54">
        <f t="shared" ref="AC1542" si="1044">IF(SUM(AH1542,AJ1542,AL1542,AN1542,AP1542,AR1542,AT1542)=S1542,,"")</f>
        <v>0</v>
      </c>
      <c r="AD1542" s="55">
        <v>3</v>
      </c>
      <c r="AE1542" s="55"/>
      <c r="AF1542" s="55"/>
      <c r="AG1542" s="56">
        <v>1</v>
      </c>
      <c r="AH1542" s="57">
        <v>2</v>
      </c>
      <c r="AI1542" s="56">
        <v>1</v>
      </c>
      <c r="AJ1542" s="57">
        <v>3</v>
      </c>
      <c r="AK1542" s="56">
        <v>1</v>
      </c>
      <c r="AL1542" s="57">
        <v>94</v>
      </c>
      <c r="AM1542" s="56"/>
      <c r="AN1542" s="57" t="str">
        <f t="shared" ref="AN1542" si="1045">IF(AM1542=1,$S1542,"")</f>
        <v/>
      </c>
      <c r="AO1542" s="56"/>
      <c r="AP1542" s="57" t="str">
        <f t="shared" ref="AP1542" si="1046">IF(AO1542=1,$S1542,"")</f>
        <v/>
      </c>
      <c r="AQ1542" s="56"/>
      <c r="AR1542" s="57" t="str">
        <f t="shared" ref="AR1542" si="1047">IF(AQ1542=1,$S1542,"")</f>
        <v/>
      </c>
      <c r="AS1542" s="56"/>
      <c r="AT1542" s="57" t="str">
        <f t="shared" ref="AT1542" si="1048">IF(AS1542=1,$S1542,"")</f>
        <v/>
      </c>
      <c r="AU1542" s="58"/>
      <c r="AV1542" s="59"/>
      <c r="AW1542" s="59"/>
      <c r="AX1542" s="60"/>
      <c r="AY1542" s="61">
        <v>1</v>
      </c>
      <c r="AZ1542" s="62">
        <f t="shared" ref="AZ1542" si="1049">IF(AY1542=1,AD1542,"")</f>
        <v>3</v>
      </c>
      <c r="BA1542" s="61">
        <f t="shared" ref="BA1542" si="1050">IF(P1542=1,0,"")</f>
        <v>0</v>
      </c>
      <c r="BB1542" s="62" t="str">
        <f t="shared" ref="BB1542" si="1051">IF(BA1542=1,AD1542,"")</f>
        <v/>
      </c>
    </row>
    <row r="1543" spans="1:54" hidden="1" x14ac:dyDescent="0.35">
      <c r="A1543" s="73">
        <f>A1541</f>
        <v>2019</v>
      </c>
      <c r="B1543" s="73" t="str">
        <f>IF(C1541-C1543&gt;0, TEXT(DATE(2016,(MONTH(DATEVALUE(B1541&amp;"1"))+1),1),"mmm"), B1541)</f>
        <v>Nov</v>
      </c>
      <c r="C1543" s="74">
        <f>IF(AND(D1543=0, E1543=0), IF(TEXT(C1541,"dd")=TEXT(EOMONTH(DATE(A1541,MONTH(DATEVALUE(B1541&amp;"1")),C1541),0), "dd"), 1, C1541+1), C1541)</f>
        <v>17</v>
      </c>
      <c r="D1543" s="75">
        <f>IF(IF(E1541=59,D1541+1,D1541)=24,0,IF(E1541=59,D1541+1,D1541))</f>
        <v>14</v>
      </c>
      <c r="E1543" s="76">
        <v>57</v>
      </c>
      <c r="F1543" s="80">
        <v>54</v>
      </c>
      <c r="G1543" s="83"/>
      <c r="H1543" s="69" t="str">
        <f>IF(AND(OR(E1541=$G$3,E1541=$G$4,E1541=$G$5,E1541=$G$6,E1541=$G$7,E1541=$G$8),E1541&lt;&gt;RIGHT(H1541,2)),CONCATENATE(LEFT(J1543,3),LEFT(K1543,3),L1543,"_",A1543,TEXT(MONTH(DATEVALUE(B1543&amp;"1")),"00"),TEXT(C1543,"00"),"_",TEXT(D1543,"00"),"_",TEXT(E1541,"00")),IF(AND(OR(E1543=$G$3,E1543=$G$4,E1543=$G$5,E1543=$G$6,E1543=$G$7,E1543=$G$8),OR(F1543="",F1543&gt;$G$9-1)),CONCATENATE(LEFT(J1543,3),LEFT(K1543,3),L1543,"_",A1543,TEXT(MONTH(DATEVALUE(B1543&amp;"1")),"00"),TEXT(C1543,"00"),"_",TEXT(D1543,"00"),"_",TEXT(E1543,"00")),H1541))</f>
        <v>Senbur6_20191117_14_00</v>
      </c>
      <c r="I1543" s="70">
        <f t="shared" ref="I1543:N1543" si="1052">I1541</f>
        <v>1</v>
      </c>
      <c r="J1543" s="77" t="str">
        <f t="shared" si="1052"/>
        <v>Senecio</v>
      </c>
      <c r="K1543" s="77" t="str">
        <f t="shared" si="1052"/>
        <v>burtoni</v>
      </c>
      <c r="L1543" s="78">
        <f t="shared" si="1052"/>
        <v>6</v>
      </c>
      <c r="M1543" s="78">
        <f t="shared" si="1052"/>
        <v>12</v>
      </c>
      <c r="N1543" s="72">
        <f t="shared" si="1052"/>
        <v>0</v>
      </c>
      <c r="O1543" s="45"/>
      <c r="P1543" s="46">
        <f t="shared" si="968"/>
        <v>1</v>
      </c>
      <c r="Q1543" s="47" t="str">
        <f t="shared" si="969"/>
        <v>14:57:54</v>
      </c>
      <c r="R1543" s="48" t="str">
        <f t="shared" si="970"/>
        <v>57:54</v>
      </c>
      <c r="S1543" s="49">
        <f t="shared" si="971"/>
        <v>18</v>
      </c>
      <c r="T1543" s="48" t="str">
        <f t="shared" si="972"/>
        <v>14</v>
      </c>
      <c r="U1543" s="50">
        <v>58</v>
      </c>
      <c r="V1543" s="51">
        <v>12</v>
      </c>
      <c r="W1543" s="52" t="str">
        <f t="shared" si="973"/>
        <v>58:12</v>
      </c>
      <c r="X1543" s="53" t="s">
        <v>61</v>
      </c>
      <c r="Y1543" s="97" t="s">
        <v>84</v>
      </c>
      <c r="Z1543" s="97" t="s">
        <v>80</v>
      </c>
      <c r="AA1543" s="48" t="s">
        <v>60</v>
      </c>
      <c r="AB1543" s="48" t="str">
        <f t="shared" si="974"/>
        <v>NA</v>
      </c>
      <c r="AC1543" s="54">
        <f t="shared" si="975"/>
        <v>0</v>
      </c>
      <c r="AD1543" s="55">
        <f t="shared" si="976"/>
        <v>1</v>
      </c>
      <c r="AE1543" s="55"/>
      <c r="AF1543" s="55"/>
      <c r="AG1543" s="56" t="str">
        <f t="shared" si="977"/>
        <v/>
      </c>
      <c r="AH1543" s="57" t="str">
        <f t="shared" si="978"/>
        <v/>
      </c>
      <c r="AI1543" s="56"/>
      <c r="AJ1543" s="57" t="str">
        <f t="shared" si="979"/>
        <v/>
      </c>
      <c r="AK1543" s="56">
        <v>1</v>
      </c>
      <c r="AL1543" s="57">
        <f t="shared" si="980"/>
        <v>18</v>
      </c>
      <c r="AM1543" s="56"/>
      <c r="AN1543" s="57" t="str">
        <f t="shared" si="981"/>
        <v/>
      </c>
      <c r="AO1543" s="56"/>
      <c r="AP1543" s="57" t="str">
        <f t="shared" si="982"/>
        <v/>
      </c>
      <c r="AQ1543" s="56"/>
      <c r="AR1543" s="57" t="str">
        <f t="shared" si="983"/>
        <v/>
      </c>
      <c r="AS1543" s="56"/>
      <c r="AT1543" s="57" t="str">
        <f t="shared" si="984"/>
        <v/>
      </c>
      <c r="AU1543" s="58"/>
      <c r="AV1543" s="59"/>
      <c r="AW1543" s="59"/>
      <c r="AX1543" s="60"/>
      <c r="AY1543" s="61">
        <v>1</v>
      </c>
      <c r="AZ1543" s="62">
        <f t="shared" si="985"/>
        <v>1</v>
      </c>
      <c r="BA1543" s="61">
        <f t="shared" si="986"/>
        <v>0</v>
      </c>
      <c r="BB1543" s="62" t="str">
        <f t="shared" si="987"/>
        <v/>
      </c>
    </row>
    <row r="1544" spans="1:54" hidden="1" x14ac:dyDescent="0.35">
      <c r="A1544" s="73">
        <f t="shared" si="945"/>
        <v>2019</v>
      </c>
      <c r="B1544" s="73" t="str">
        <f t="shared" si="963"/>
        <v>Nov</v>
      </c>
      <c r="C1544" s="74">
        <f t="shared" si="964"/>
        <v>17</v>
      </c>
      <c r="D1544" s="75">
        <f t="shared" si="965"/>
        <v>14</v>
      </c>
      <c r="E1544" s="76">
        <v>57</v>
      </c>
      <c r="F1544" s="80">
        <v>56</v>
      </c>
      <c r="G1544" s="83"/>
      <c r="H1544" s="69" t="str">
        <f t="shared" si="966"/>
        <v>Senbur6_20191117_14_00</v>
      </c>
      <c r="I1544" s="70">
        <f t="shared" ref="I1544:N1544" si="1053">I1543</f>
        <v>1</v>
      </c>
      <c r="J1544" s="77" t="str">
        <f t="shared" si="1053"/>
        <v>Senecio</v>
      </c>
      <c r="K1544" s="77" t="str">
        <f t="shared" si="1053"/>
        <v>burtoni</v>
      </c>
      <c r="L1544" s="78">
        <f t="shared" si="1053"/>
        <v>6</v>
      </c>
      <c r="M1544" s="78">
        <f t="shared" si="1053"/>
        <v>12</v>
      </c>
      <c r="N1544" s="72">
        <f t="shared" si="1053"/>
        <v>0</v>
      </c>
      <c r="O1544" s="45"/>
      <c r="P1544" s="46">
        <f t="shared" si="968"/>
        <v>1</v>
      </c>
      <c r="Q1544" s="47" t="str">
        <f t="shared" si="969"/>
        <v>14:57:56</v>
      </c>
      <c r="R1544" s="48" t="str">
        <f t="shared" si="970"/>
        <v>57:56</v>
      </c>
      <c r="S1544" s="49">
        <f t="shared" si="971"/>
        <v>4</v>
      </c>
      <c r="T1544" s="48" t="str">
        <f t="shared" si="972"/>
        <v>14</v>
      </c>
      <c r="U1544" s="50">
        <v>58</v>
      </c>
      <c r="V1544" s="51">
        <v>0</v>
      </c>
      <c r="W1544" s="52" t="str">
        <f t="shared" si="973"/>
        <v>58:00</v>
      </c>
      <c r="X1544" s="53" t="s">
        <v>61</v>
      </c>
      <c r="Y1544" s="97" t="s">
        <v>84</v>
      </c>
      <c r="Z1544" s="97" t="s">
        <v>80</v>
      </c>
      <c r="AA1544" s="48" t="s">
        <v>60</v>
      </c>
      <c r="AB1544" s="48" t="str">
        <f t="shared" si="974"/>
        <v>NA</v>
      </c>
      <c r="AC1544" s="54">
        <f t="shared" si="975"/>
        <v>0</v>
      </c>
      <c r="AD1544" s="55">
        <v>3</v>
      </c>
      <c r="AE1544" s="55"/>
      <c r="AF1544" s="55"/>
      <c r="AG1544" s="56">
        <v>1</v>
      </c>
      <c r="AH1544" s="57">
        <v>3</v>
      </c>
      <c r="AI1544" s="56">
        <v>1</v>
      </c>
      <c r="AJ1544" s="57">
        <v>1</v>
      </c>
      <c r="AK1544" s="56"/>
      <c r="AL1544" s="57" t="str">
        <f t="shared" si="980"/>
        <v/>
      </c>
      <c r="AM1544" s="56"/>
      <c r="AN1544" s="57" t="str">
        <f t="shared" si="981"/>
        <v/>
      </c>
      <c r="AO1544" s="56"/>
      <c r="AP1544" s="57" t="str">
        <f t="shared" si="982"/>
        <v/>
      </c>
      <c r="AQ1544" s="56"/>
      <c r="AR1544" s="57" t="str">
        <f t="shared" si="983"/>
        <v/>
      </c>
      <c r="AS1544" s="56"/>
      <c r="AT1544" s="57" t="str">
        <f t="shared" si="984"/>
        <v/>
      </c>
      <c r="AU1544" s="58"/>
      <c r="AV1544" s="59"/>
      <c r="AW1544" s="59"/>
      <c r="AX1544" s="60"/>
      <c r="AY1544" s="61">
        <f t="shared" si="990"/>
        <v>0</v>
      </c>
      <c r="AZ1544" s="62" t="str">
        <f t="shared" si="985"/>
        <v/>
      </c>
      <c r="BA1544" s="61">
        <f t="shared" si="986"/>
        <v>0</v>
      </c>
      <c r="BB1544" s="62" t="str">
        <f t="shared" si="987"/>
        <v/>
      </c>
    </row>
    <row r="1545" spans="1:54" hidden="1" x14ac:dyDescent="0.35">
      <c r="A1545" s="73">
        <f t="shared" si="945"/>
        <v>2019</v>
      </c>
      <c r="B1545" s="73" t="str">
        <f t="shared" si="963"/>
        <v>Nov</v>
      </c>
      <c r="C1545" s="74">
        <f t="shared" si="964"/>
        <v>17</v>
      </c>
      <c r="D1545" s="75">
        <f t="shared" si="965"/>
        <v>14</v>
      </c>
      <c r="E1545" s="76">
        <f t="shared" si="946"/>
        <v>58</v>
      </c>
      <c r="F1545" s="80">
        <v>4</v>
      </c>
      <c r="G1545" s="83"/>
      <c r="H1545" s="69" t="str">
        <f t="shared" si="966"/>
        <v>Senbur6_20191117_14_00</v>
      </c>
      <c r="I1545" s="70">
        <f t="shared" ref="I1545:N1546" si="1054">I1544</f>
        <v>1</v>
      </c>
      <c r="J1545" s="77" t="str">
        <f t="shared" si="1054"/>
        <v>Senecio</v>
      </c>
      <c r="K1545" s="77" t="str">
        <f t="shared" si="1054"/>
        <v>burtoni</v>
      </c>
      <c r="L1545" s="78">
        <f t="shared" si="1054"/>
        <v>6</v>
      </c>
      <c r="M1545" s="78">
        <f t="shared" si="1054"/>
        <v>12</v>
      </c>
      <c r="N1545" s="72">
        <f t="shared" si="1054"/>
        <v>0</v>
      </c>
      <c r="O1545" s="45"/>
      <c r="P1545" s="46">
        <f t="shared" si="968"/>
        <v>1</v>
      </c>
      <c r="Q1545" s="47" t="str">
        <f t="shared" si="969"/>
        <v>14:58:04</v>
      </c>
      <c r="R1545" s="48" t="str">
        <f t="shared" si="970"/>
        <v>58:04</v>
      </c>
      <c r="S1545" s="49">
        <f t="shared" si="971"/>
        <v>46</v>
      </c>
      <c r="T1545" s="48" t="str">
        <f t="shared" si="972"/>
        <v>14</v>
      </c>
      <c r="U1545" s="50">
        <v>58</v>
      </c>
      <c r="V1545" s="51">
        <v>50</v>
      </c>
      <c r="W1545" s="52" t="str">
        <f t="shared" si="973"/>
        <v>58:50</v>
      </c>
      <c r="X1545" s="53" t="s">
        <v>59</v>
      </c>
      <c r="Y1545" s="97" t="s">
        <v>84</v>
      </c>
      <c r="Z1545" s="97" t="s">
        <v>80</v>
      </c>
      <c r="AA1545" s="48" t="s">
        <v>60</v>
      </c>
      <c r="AB1545" s="48" t="str">
        <f t="shared" si="974"/>
        <v>NA</v>
      </c>
      <c r="AC1545" s="54">
        <f t="shared" si="975"/>
        <v>0</v>
      </c>
      <c r="AD1545" s="55">
        <f t="shared" si="976"/>
        <v>1</v>
      </c>
      <c r="AE1545" s="55"/>
      <c r="AF1545" s="55"/>
      <c r="AG1545" s="56">
        <v>1</v>
      </c>
      <c r="AH1545" s="57">
        <v>8</v>
      </c>
      <c r="AI1545" s="56"/>
      <c r="AJ1545" s="57" t="str">
        <f t="shared" si="979"/>
        <v/>
      </c>
      <c r="AK1545" s="56">
        <v>1</v>
      </c>
      <c r="AL1545" s="57">
        <v>38</v>
      </c>
      <c r="AM1545" s="56"/>
      <c r="AN1545" s="57" t="str">
        <f t="shared" si="981"/>
        <v/>
      </c>
      <c r="AO1545" s="56"/>
      <c r="AP1545" s="57" t="str">
        <f t="shared" si="982"/>
        <v/>
      </c>
      <c r="AQ1545" s="56"/>
      <c r="AR1545" s="57" t="str">
        <f t="shared" si="983"/>
        <v/>
      </c>
      <c r="AS1545" s="56"/>
      <c r="AT1545" s="57" t="str">
        <f t="shared" si="984"/>
        <v/>
      </c>
      <c r="AU1545" s="58"/>
      <c r="AV1545" s="59"/>
      <c r="AW1545" s="59"/>
      <c r="AX1545" s="60"/>
      <c r="AY1545" s="61">
        <v>1</v>
      </c>
      <c r="AZ1545" s="62">
        <f t="shared" si="985"/>
        <v>1</v>
      </c>
      <c r="BA1545" s="61">
        <f t="shared" si="986"/>
        <v>0</v>
      </c>
      <c r="BB1545" s="62" t="str">
        <f t="shared" si="987"/>
        <v/>
      </c>
    </row>
    <row r="1546" spans="1:54" hidden="1" x14ac:dyDescent="0.35">
      <c r="A1546" s="73">
        <f t="shared" si="945"/>
        <v>2019</v>
      </c>
      <c r="B1546" s="73" t="str">
        <f t="shared" ref="B1546" si="1055">IF(C1545-C1546&gt;0, TEXT(DATE(2016,(MONTH(DATEVALUE(B1545&amp;"1"))+1),1),"mmm"), B1545)</f>
        <v>Nov</v>
      </c>
      <c r="C1546" s="74">
        <f t="shared" ref="C1546" si="1056">IF(AND(D1546=0, E1546=0), IF(TEXT(C1545,"dd")=TEXT(EOMONTH(DATE(A1545,MONTH(DATEVALUE(B1545&amp;"1")),C1545),0), "dd"), 1, C1545+1), C1545)</f>
        <v>17</v>
      </c>
      <c r="D1546" s="75">
        <f t="shared" ref="D1546" si="1057">IF(IF(E1545=59,D1545+1,D1545)=24,0,IF(E1545=59,D1545+1,D1545))</f>
        <v>14</v>
      </c>
      <c r="E1546" s="76">
        <v>58</v>
      </c>
      <c r="F1546" s="80">
        <v>59</v>
      </c>
      <c r="G1546" s="83"/>
      <c r="H1546" s="69" t="str">
        <f t="shared" ref="H1546" si="1058">IF(AND(OR(E1545=$G$3,E1545=$G$4,E1545=$G$5,E1545=$G$6,E1545=$G$7,E1545=$G$8),E1545&lt;&gt;RIGHT(H1545,2)),CONCATENATE(LEFT(J1546,3),LEFT(K1546,3),L1546,"_",A1546,TEXT(MONTH(DATEVALUE(B1546&amp;"1")),"00"),TEXT(C1546,"00"),"_",TEXT(D1546,"00"),"_",TEXT(E1545,"00")),IF(AND(OR(E1546=$G$3,E1546=$G$4,E1546=$G$5,E1546=$G$6,E1546=$G$7,E1546=$G$8),OR(F1546="",F1546&gt;$G$9-1)),CONCATENATE(LEFT(J1546,3),LEFT(K1546,3),L1546,"_",A1546,TEXT(MONTH(DATEVALUE(B1546&amp;"1")),"00"),TEXT(C1546,"00"),"_",TEXT(D1546,"00"),"_",TEXT(E1546,"00")),H1545))</f>
        <v>Senbur6_20191117_14_00</v>
      </c>
      <c r="I1546" s="70">
        <f t="shared" si="1054"/>
        <v>1</v>
      </c>
      <c r="J1546" s="77" t="str">
        <f t="shared" si="1054"/>
        <v>Senecio</v>
      </c>
      <c r="K1546" s="77" t="str">
        <f t="shared" si="1054"/>
        <v>burtoni</v>
      </c>
      <c r="L1546" s="78">
        <f t="shared" si="1054"/>
        <v>6</v>
      </c>
      <c r="M1546" s="78">
        <f t="shared" si="1054"/>
        <v>12</v>
      </c>
      <c r="N1546" s="72">
        <f t="shared" si="1054"/>
        <v>0</v>
      </c>
      <c r="O1546" s="45"/>
      <c r="P1546" s="46">
        <f t="shared" ref="P1546" si="1059">IF(F1546="","",1)</f>
        <v>1</v>
      </c>
      <c r="Q1546" s="47" t="str">
        <f t="shared" ref="Q1546" si="1060">TEXT(IF(P1546=1,CONCATENATE($D1546,":",$E1546,":",(LEFT($F1546,2))),""),"hh:mm:ss")</f>
        <v>14:58:59</v>
      </c>
      <c r="R1546" s="48" t="str">
        <f t="shared" ref="R1546" si="1061">TEXT(Q1546-TIME(0,RIGHT($H1546,2),$G$9)+(Q1546&gt;TIME(0,RIGHT($H1546,2),$G$9)),"mm:ss")</f>
        <v>58:59</v>
      </c>
      <c r="S1546" s="49">
        <f t="shared" ref="S1546" si="1062">IF(T1546&lt;D1546, (T1546*3600+U1546*60+V1546)+((23*3600+59*60+60)-(D1546*3600+E1546*60+LEFT(F1546,2))), (T1546*3600+U1546*60+V1546)-(D1546*3600+E1546*60+LEFT(F1546,2)))</f>
        <v>30</v>
      </c>
      <c r="T1546" s="48" t="str">
        <f t="shared" ref="T1546" si="1063">TEXT(IF(P1546=1,D1546,""),"00")</f>
        <v>14</v>
      </c>
      <c r="U1546" s="50">
        <v>59</v>
      </c>
      <c r="V1546" s="51">
        <v>29</v>
      </c>
      <c r="W1546" s="52" t="str">
        <f t="shared" ref="W1546" si="1064">IF(O1546=0,TEXT(TIME(T1546,U1546,V1546)-TIME(D1546,E1546,RIGHT(F1546,2))+TIME(0,LEFT(R1546,2),RIGHT(R1546,2)),"mm:ss"),TEXT(TIME(T1546,U1546,V1546)-TIME(D1546,E1546,RIGHT(F1546,2))+TIME(0,LEFT(R1546,2),RIGHT(R1546,2))-TIME(0,($G$10*O1546),0),"mm:ss"))</f>
        <v>59:29</v>
      </c>
      <c r="X1546" s="53" t="s">
        <v>59</v>
      </c>
      <c r="Y1546" s="97" t="s">
        <v>84</v>
      </c>
      <c r="Z1546" s="97" t="s">
        <v>80</v>
      </c>
      <c r="AA1546" s="48" t="s">
        <v>60</v>
      </c>
      <c r="AB1546" s="48" t="str">
        <f t="shared" ref="AB1546" si="1065">IF(AA1546&lt;&gt;0,"NA","")</f>
        <v>NA</v>
      </c>
      <c r="AC1546" s="54">
        <f t="shared" ref="AC1546" si="1066">IF(SUM(AH1546,AJ1546,AL1546,AN1546,AP1546,AR1546,AT1546)=S1546,,"")</f>
        <v>0</v>
      </c>
      <c r="AD1546" s="55">
        <v>2</v>
      </c>
      <c r="AE1546" s="55"/>
      <c r="AF1546" s="55"/>
      <c r="AG1546" s="56"/>
      <c r="AH1546" s="57"/>
      <c r="AI1546" s="56">
        <v>1</v>
      </c>
      <c r="AJ1546" s="57">
        <v>1</v>
      </c>
      <c r="AK1546" s="56">
        <v>1</v>
      </c>
      <c r="AL1546" s="57">
        <v>29</v>
      </c>
      <c r="AM1546" s="56"/>
      <c r="AN1546" s="57" t="str">
        <f t="shared" ref="AN1546" si="1067">IF(AM1546=1,$S1546,"")</f>
        <v/>
      </c>
      <c r="AO1546" s="56"/>
      <c r="AP1546" s="57" t="str">
        <f t="shared" ref="AP1546" si="1068">IF(AO1546=1,$S1546,"")</f>
        <v/>
      </c>
      <c r="AQ1546" s="56"/>
      <c r="AR1546" s="57" t="str">
        <f t="shared" ref="AR1546" si="1069">IF(AQ1546=1,$S1546,"")</f>
        <v/>
      </c>
      <c r="AS1546" s="56"/>
      <c r="AT1546" s="57" t="str">
        <f t="shared" ref="AT1546" si="1070">IF(AS1546=1,$S1546,"")</f>
        <v/>
      </c>
      <c r="AU1546" s="58"/>
      <c r="AV1546" s="59"/>
      <c r="AW1546" s="59"/>
      <c r="AX1546" s="60"/>
      <c r="AY1546" s="61">
        <v>1</v>
      </c>
      <c r="AZ1546" s="62">
        <f t="shared" ref="AZ1546" si="1071">IF(AY1546=1,AD1546,"")</f>
        <v>2</v>
      </c>
      <c r="BA1546" s="61">
        <f t="shared" ref="BA1546" si="1072">IF(P1546=1,0,"")</f>
        <v>0</v>
      </c>
      <c r="BB1546" s="62" t="str">
        <f t="shared" ref="BB1546" si="1073">IF(BA1546=1,AD1546,"")</f>
        <v/>
      </c>
    </row>
    <row r="1547" spans="1:54" hidden="1" x14ac:dyDescent="0.35">
      <c r="A1547" s="73">
        <f>A1545</f>
        <v>2019</v>
      </c>
      <c r="B1547" s="73" t="str">
        <f>IF(C1545-C1547&gt;0, TEXT(DATE(2016,(MONTH(DATEVALUE(B1545&amp;"1"))+1),1),"mmm"), B1545)</f>
        <v>Nov</v>
      </c>
      <c r="C1547" s="74">
        <f>IF(AND(D1547=0, E1547=0), IF(TEXT(C1545,"dd")=TEXT(EOMONTH(DATE(A1545,MONTH(DATEVALUE(B1545&amp;"1")),C1545),0), "dd"), 1, C1545+1), C1545)</f>
        <v>17</v>
      </c>
      <c r="D1547" s="75">
        <f>IF(IF(E1545=59,D1545+1,D1545)=24,0,IF(E1545=59,D1545+1,D1545))</f>
        <v>14</v>
      </c>
      <c r="E1547" s="76">
        <v>58</v>
      </c>
      <c r="F1547" s="80">
        <v>59</v>
      </c>
      <c r="G1547" s="83"/>
      <c r="H1547" s="69" t="str">
        <f>IF(AND(OR(E1545=$G$3,E1545=$G$4,E1545=$G$5,E1545=$G$6,E1545=$G$7,E1545=$G$8),E1545&lt;&gt;RIGHT(H1545,2)),CONCATENATE(LEFT(J1547,3),LEFT(K1547,3),L1547,"_",A1547,TEXT(MONTH(DATEVALUE(B1547&amp;"1")),"00"),TEXT(C1547,"00"),"_",TEXT(D1547,"00"),"_",TEXT(E1545,"00")),IF(AND(OR(E1547=$G$3,E1547=$G$4,E1547=$G$5,E1547=$G$6,E1547=$G$7,E1547=$G$8),OR(F1547="",F1547&gt;$G$9-1)),CONCATENATE(LEFT(J1547,3),LEFT(K1547,3),L1547,"_",A1547,TEXT(MONTH(DATEVALUE(B1547&amp;"1")),"00"),TEXT(C1547,"00"),"_",TEXT(D1547,"00"),"_",TEXT(E1547,"00")),H1545))</f>
        <v>Senbur6_20191117_14_00</v>
      </c>
      <c r="I1547" s="70">
        <f t="shared" ref="I1547:N1547" si="1074">I1545</f>
        <v>1</v>
      </c>
      <c r="J1547" s="77" t="str">
        <f t="shared" si="1074"/>
        <v>Senecio</v>
      </c>
      <c r="K1547" s="77" t="str">
        <f t="shared" si="1074"/>
        <v>burtoni</v>
      </c>
      <c r="L1547" s="78">
        <f t="shared" si="1074"/>
        <v>6</v>
      </c>
      <c r="M1547" s="78">
        <f t="shared" si="1074"/>
        <v>12</v>
      </c>
      <c r="N1547" s="72">
        <f t="shared" si="1074"/>
        <v>0</v>
      </c>
      <c r="O1547" s="45"/>
      <c r="P1547" s="46">
        <f t="shared" si="968"/>
        <v>1</v>
      </c>
      <c r="Q1547" s="47" t="str">
        <f t="shared" si="969"/>
        <v>14:58:59</v>
      </c>
      <c r="R1547" s="48" t="str">
        <f t="shared" si="970"/>
        <v>58:59</v>
      </c>
      <c r="S1547" s="49">
        <f t="shared" si="971"/>
        <v>8</v>
      </c>
      <c r="T1547" s="48" t="str">
        <f t="shared" si="972"/>
        <v>14</v>
      </c>
      <c r="U1547" s="50">
        <v>59</v>
      </c>
      <c r="V1547" s="51">
        <v>7</v>
      </c>
      <c r="W1547" s="52" t="str">
        <f t="shared" si="973"/>
        <v>59:07</v>
      </c>
      <c r="X1547" s="53" t="s">
        <v>61</v>
      </c>
      <c r="Y1547" s="97" t="s">
        <v>78</v>
      </c>
      <c r="Z1547" s="97"/>
      <c r="AA1547" s="48" t="s">
        <v>60</v>
      </c>
      <c r="AB1547" s="48" t="str">
        <f t="shared" si="974"/>
        <v>NA</v>
      </c>
      <c r="AC1547" s="54">
        <f t="shared" si="975"/>
        <v>0</v>
      </c>
      <c r="AD1547" s="55">
        <v>1</v>
      </c>
      <c r="AE1547" s="55"/>
      <c r="AF1547" s="55"/>
      <c r="AG1547" s="56" t="str">
        <f t="shared" si="977"/>
        <v/>
      </c>
      <c r="AH1547" s="57" t="str">
        <f t="shared" si="978"/>
        <v/>
      </c>
      <c r="AI1547" s="56"/>
      <c r="AJ1547" s="57"/>
      <c r="AK1547" s="56">
        <v>1</v>
      </c>
      <c r="AL1547" s="57">
        <v>8</v>
      </c>
      <c r="AM1547" s="56"/>
      <c r="AN1547" s="57" t="str">
        <f t="shared" si="981"/>
        <v/>
      </c>
      <c r="AO1547" s="56"/>
      <c r="AP1547" s="57" t="str">
        <f t="shared" si="982"/>
        <v/>
      </c>
      <c r="AQ1547" s="56"/>
      <c r="AR1547" s="57" t="str">
        <f t="shared" si="983"/>
        <v/>
      </c>
      <c r="AS1547" s="56"/>
      <c r="AT1547" s="57" t="str">
        <f t="shared" si="984"/>
        <v/>
      </c>
      <c r="AU1547" s="58"/>
      <c r="AV1547" s="59"/>
      <c r="AW1547" s="59"/>
      <c r="AX1547" s="60"/>
      <c r="AY1547" s="61">
        <v>1</v>
      </c>
      <c r="AZ1547" s="62">
        <f t="shared" si="985"/>
        <v>1</v>
      </c>
      <c r="BA1547" s="61">
        <f t="shared" si="986"/>
        <v>0</v>
      </c>
      <c r="BB1547" s="62" t="str">
        <f t="shared" si="987"/>
        <v/>
      </c>
    </row>
    <row r="1548" spans="1:54" hidden="1" x14ac:dyDescent="0.35">
      <c r="A1548" s="73">
        <f t="shared" si="945"/>
        <v>2019</v>
      </c>
      <c r="B1548" s="73" t="str">
        <f t="shared" si="963"/>
        <v>Nov</v>
      </c>
      <c r="C1548" s="74">
        <f t="shared" si="964"/>
        <v>17</v>
      </c>
      <c r="D1548" s="75">
        <f t="shared" si="965"/>
        <v>14</v>
      </c>
      <c r="E1548" s="76">
        <f t="shared" si="946"/>
        <v>59</v>
      </c>
      <c r="F1548" s="80">
        <v>0</v>
      </c>
      <c r="G1548" s="83"/>
      <c r="H1548" s="69" t="str">
        <f t="shared" si="966"/>
        <v>Senbur6_20191117_14_00</v>
      </c>
      <c r="I1548" s="70">
        <f t="shared" ref="I1548:N1548" si="1075">I1547</f>
        <v>1</v>
      </c>
      <c r="J1548" s="77" t="str">
        <f t="shared" si="1075"/>
        <v>Senecio</v>
      </c>
      <c r="K1548" s="77" t="str">
        <f t="shared" si="1075"/>
        <v>burtoni</v>
      </c>
      <c r="L1548" s="78">
        <f t="shared" si="1075"/>
        <v>6</v>
      </c>
      <c r="M1548" s="78">
        <f t="shared" si="1075"/>
        <v>12</v>
      </c>
      <c r="N1548" s="72">
        <f t="shared" si="1075"/>
        <v>0</v>
      </c>
      <c r="O1548" s="45"/>
      <c r="P1548" s="46">
        <f t="shared" si="968"/>
        <v>1</v>
      </c>
      <c r="Q1548" s="47" t="str">
        <f t="shared" si="969"/>
        <v>14:59:00</v>
      </c>
      <c r="R1548" s="48" t="str">
        <f t="shared" si="970"/>
        <v>59:00</v>
      </c>
      <c r="S1548" s="49">
        <f t="shared" si="971"/>
        <v>16</v>
      </c>
      <c r="T1548" s="48" t="str">
        <f t="shared" si="972"/>
        <v>14</v>
      </c>
      <c r="U1548" s="50">
        <v>59</v>
      </c>
      <c r="V1548" s="51">
        <v>16</v>
      </c>
      <c r="W1548" s="52" t="str">
        <f t="shared" si="973"/>
        <v>59:16</v>
      </c>
      <c r="X1548" s="53" t="s">
        <v>61</v>
      </c>
      <c r="Y1548" s="97" t="s">
        <v>78</v>
      </c>
      <c r="Z1548" s="97"/>
      <c r="AA1548" s="48" t="s">
        <v>60</v>
      </c>
      <c r="AB1548" s="48" t="str">
        <f t="shared" si="974"/>
        <v>NA</v>
      </c>
      <c r="AC1548" s="54">
        <f t="shared" si="975"/>
        <v>0</v>
      </c>
      <c r="AD1548" s="55">
        <v>2</v>
      </c>
      <c r="AE1548" s="55"/>
      <c r="AF1548" s="55"/>
      <c r="AG1548" s="56">
        <v>1</v>
      </c>
      <c r="AH1548" s="57">
        <v>16</v>
      </c>
      <c r="AI1548" s="56"/>
      <c r="AJ1548" s="57" t="str">
        <f t="shared" si="979"/>
        <v/>
      </c>
      <c r="AK1548" s="56"/>
      <c r="AL1548" s="57" t="str">
        <f t="shared" si="980"/>
        <v/>
      </c>
      <c r="AM1548" s="56"/>
      <c r="AN1548" s="57" t="str">
        <f t="shared" si="981"/>
        <v/>
      </c>
      <c r="AO1548" s="56"/>
      <c r="AP1548" s="57" t="str">
        <f t="shared" si="982"/>
        <v/>
      </c>
      <c r="AQ1548" s="56"/>
      <c r="AR1548" s="57" t="str">
        <f t="shared" si="983"/>
        <v/>
      </c>
      <c r="AS1548" s="56"/>
      <c r="AT1548" s="57" t="str">
        <f t="shared" si="984"/>
        <v/>
      </c>
      <c r="AU1548" s="58" t="s">
        <v>74</v>
      </c>
      <c r="AV1548" s="59"/>
      <c r="AW1548" s="59"/>
      <c r="AX1548" s="60"/>
      <c r="AY1548" s="61">
        <f t="shared" si="990"/>
        <v>0</v>
      </c>
      <c r="AZ1548" s="62" t="str">
        <f t="shared" si="985"/>
        <v/>
      </c>
      <c r="BA1548" s="61">
        <f t="shared" si="986"/>
        <v>0</v>
      </c>
      <c r="BB1548" s="62" t="str">
        <f t="shared" si="987"/>
        <v/>
      </c>
    </row>
    <row r="1549" spans="1:54" hidden="1" x14ac:dyDescent="0.35">
      <c r="A1549" s="73">
        <f>A1548</f>
        <v>2019</v>
      </c>
      <c r="B1549" s="73" t="str">
        <f>IF(C1548-C1549&gt;0, TEXT(DATE(2016,(MONTH(DATEVALUE(B1548&amp;"1"))+1),1),"mmm"), B1548)</f>
        <v>Nov</v>
      </c>
      <c r="C1549" s="74">
        <f>IF(AND(D1549=0, E1549=0), IF(TEXT(C1548,"dd")=TEXT(EOMONTH(DATE(A1548,MONTH(DATEVALUE(B1548&amp;"1")),C1548),0), "dd"), 1, C1548+1), C1548)</f>
        <v>17</v>
      </c>
      <c r="D1549" s="75">
        <v>14</v>
      </c>
      <c r="E1549" s="76">
        <v>59</v>
      </c>
      <c r="F1549" s="80">
        <v>6</v>
      </c>
      <c r="G1549" s="83"/>
      <c r="H1549" s="69" t="str">
        <f>IF(AND(OR(E1548=$G$3,E1548=$G$4,E1548=$G$5,E1548=$G$6,E1548=$G$7,E1548=$G$8),E1548&lt;&gt;RIGHT(H1548,2)),CONCATENATE(LEFT(J1549,3),LEFT(K1549,3),L1549,"_",A1549,TEXT(MONTH(DATEVALUE(B1549&amp;"1")),"00"),TEXT(C1549,"00"),"_",TEXT(D1549,"00"),"_",TEXT(E1548,"00")),IF(AND(OR(E1549=$G$3,E1549=$G$4,E1549=$G$5,E1549=$G$6,E1549=$G$7,E1549=$G$8),OR(F1549="",F1549&gt;$G$9-1)),CONCATENATE(LEFT(J1549,3),LEFT(K1549,3),L1549,"_",A1549,TEXT(MONTH(DATEVALUE(B1549&amp;"1")),"00"),TEXT(C1549,"00"),"_",TEXT(D1549,"00"),"_",TEXT(E1549,"00")),H1548))</f>
        <v>Senbur6_20191117_14_00</v>
      </c>
      <c r="I1549" s="70">
        <f t="shared" ref="I1549:N1549" si="1076">I1548</f>
        <v>1</v>
      </c>
      <c r="J1549" s="77" t="str">
        <f t="shared" si="1076"/>
        <v>Senecio</v>
      </c>
      <c r="K1549" s="77" t="str">
        <f t="shared" si="1076"/>
        <v>burtoni</v>
      </c>
      <c r="L1549" s="78">
        <f t="shared" si="1076"/>
        <v>6</v>
      </c>
      <c r="M1549" s="78">
        <f t="shared" si="1076"/>
        <v>12</v>
      </c>
      <c r="N1549" s="72">
        <f t="shared" si="1076"/>
        <v>0</v>
      </c>
      <c r="O1549" s="45"/>
      <c r="P1549" s="46">
        <f t="shared" si="968"/>
        <v>1</v>
      </c>
      <c r="Q1549" s="47" t="str">
        <f t="shared" si="969"/>
        <v>14:59:06</v>
      </c>
      <c r="R1549" s="48" t="str">
        <f t="shared" si="970"/>
        <v>59:06</v>
      </c>
      <c r="S1549" s="49">
        <f t="shared" si="971"/>
        <v>23</v>
      </c>
      <c r="T1549" s="48" t="str">
        <f t="shared" si="972"/>
        <v>14</v>
      </c>
      <c r="U1549" s="50">
        <v>59</v>
      </c>
      <c r="V1549" s="51">
        <v>29</v>
      </c>
      <c r="W1549" s="52" t="str">
        <f t="shared" si="973"/>
        <v>59:29</v>
      </c>
      <c r="X1549" s="53" t="s">
        <v>61</v>
      </c>
      <c r="Y1549" s="97" t="s">
        <v>78</v>
      </c>
      <c r="Z1549" s="97"/>
      <c r="AA1549" s="48" t="s">
        <v>60</v>
      </c>
      <c r="AB1549" s="48" t="str">
        <f t="shared" si="974"/>
        <v>NA</v>
      </c>
      <c r="AC1549" s="54">
        <f t="shared" si="975"/>
        <v>0</v>
      </c>
      <c r="AD1549" s="55">
        <v>2</v>
      </c>
      <c r="AE1549" s="55"/>
      <c r="AF1549" s="55"/>
      <c r="AG1549" s="56">
        <v>1</v>
      </c>
      <c r="AH1549" s="57">
        <v>2</v>
      </c>
      <c r="AI1549" s="56"/>
      <c r="AJ1549" s="57" t="str">
        <f t="shared" si="979"/>
        <v/>
      </c>
      <c r="AK1549" s="56">
        <v>1</v>
      </c>
      <c r="AL1549" s="57">
        <v>21</v>
      </c>
      <c r="AM1549" s="56"/>
      <c r="AN1549" s="57" t="str">
        <f t="shared" si="981"/>
        <v/>
      </c>
      <c r="AO1549" s="56"/>
      <c r="AP1549" s="57" t="str">
        <f t="shared" si="982"/>
        <v/>
      </c>
      <c r="AQ1549" s="56"/>
      <c r="AR1549" s="57" t="str">
        <f t="shared" si="983"/>
        <v/>
      </c>
      <c r="AS1549" s="56"/>
      <c r="AT1549" s="57" t="str">
        <f t="shared" si="984"/>
        <v/>
      </c>
      <c r="AU1549" s="58"/>
      <c r="AV1549" s="59"/>
      <c r="AW1549" s="59"/>
      <c r="AX1549" s="60"/>
      <c r="AY1549" s="61">
        <v>1</v>
      </c>
      <c r="AZ1549" s="62">
        <f t="shared" si="985"/>
        <v>2</v>
      </c>
      <c r="BA1549" s="61">
        <f t="shared" si="986"/>
        <v>0</v>
      </c>
      <c r="BB1549" s="62" t="str">
        <f t="shared" si="987"/>
        <v/>
      </c>
    </row>
    <row r="1550" spans="1:54" hidden="1" x14ac:dyDescent="0.35">
      <c r="A1550" s="73">
        <f t="shared" si="945"/>
        <v>2019</v>
      </c>
      <c r="B1550" s="73" t="str">
        <f t="shared" si="963"/>
        <v>Nov</v>
      </c>
      <c r="C1550" s="74">
        <f t="shared" si="964"/>
        <v>17</v>
      </c>
      <c r="D1550" s="75">
        <v>14</v>
      </c>
      <c r="E1550" s="76">
        <v>59</v>
      </c>
      <c r="F1550" s="80">
        <v>29</v>
      </c>
      <c r="G1550" s="83"/>
      <c r="H1550" s="69" t="str">
        <f t="shared" si="966"/>
        <v>Senbur6_20191117_14_00</v>
      </c>
      <c r="I1550" s="70">
        <f t="shared" ref="I1550:N1550" si="1077">I1549</f>
        <v>1</v>
      </c>
      <c r="J1550" s="77" t="str">
        <f t="shared" si="1077"/>
        <v>Senecio</v>
      </c>
      <c r="K1550" s="77" t="str">
        <f t="shared" si="1077"/>
        <v>burtoni</v>
      </c>
      <c r="L1550" s="78">
        <f t="shared" si="1077"/>
        <v>6</v>
      </c>
      <c r="M1550" s="78">
        <f t="shared" si="1077"/>
        <v>12</v>
      </c>
      <c r="N1550" s="72">
        <f t="shared" si="1077"/>
        <v>0</v>
      </c>
      <c r="O1550" s="45"/>
      <c r="P1550" s="46">
        <f t="shared" si="968"/>
        <v>1</v>
      </c>
      <c r="Q1550" s="47" t="str">
        <f t="shared" si="969"/>
        <v>14:59:29</v>
      </c>
      <c r="R1550" s="48" t="str">
        <f t="shared" si="970"/>
        <v>59:29</v>
      </c>
      <c r="S1550" s="49">
        <f t="shared" si="971"/>
        <v>105</v>
      </c>
      <c r="T1550" s="48">
        <v>15</v>
      </c>
      <c r="U1550" s="50">
        <v>1</v>
      </c>
      <c r="V1550" s="51">
        <v>14</v>
      </c>
      <c r="W1550" s="52" t="str">
        <f t="shared" si="973"/>
        <v>01:14</v>
      </c>
      <c r="X1550" s="53" t="s">
        <v>61</v>
      </c>
      <c r="Y1550" s="97" t="s">
        <v>84</v>
      </c>
      <c r="Z1550" s="97" t="s">
        <v>80</v>
      </c>
      <c r="AA1550" s="48" t="s">
        <v>60</v>
      </c>
      <c r="AB1550" s="48" t="str">
        <f t="shared" si="974"/>
        <v>NA</v>
      </c>
      <c r="AC1550" s="54">
        <f t="shared" si="975"/>
        <v>0</v>
      </c>
      <c r="AD1550" s="55">
        <v>2</v>
      </c>
      <c r="AE1550" s="55"/>
      <c r="AF1550" s="55"/>
      <c r="AG1550" s="56">
        <v>1</v>
      </c>
      <c r="AH1550" s="57">
        <v>4</v>
      </c>
      <c r="AI1550" s="56">
        <v>1</v>
      </c>
      <c r="AJ1550" s="57">
        <v>1</v>
      </c>
      <c r="AK1550" s="56">
        <v>1</v>
      </c>
      <c r="AL1550" s="57">
        <v>100</v>
      </c>
      <c r="AM1550" s="56"/>
      <c r="AN1550" s="57" t="str">
        <f t="shared" si="981"/>
        <v/>
      </c>
      <c r="AO1550" s="56"/>
      <c r="AP1550" s="57" t="str">
        <f t="shared" si="982"/>
        <v/>
      </c>
      <c r="AQ1550" s="56"/>
      <c r="AR1550" s="57" t="str">
        <f t="shared" si="983"/>
        <v/>
      </c>
      <c r="AS1550" s="56"/>
      <c r="AT1550" s="57" t="str">
        <f t="shared" si="984"/>
        <v/>
      </c>
      <c r="AU1550" s="58"/>
      <c r="AV1550" s="59"/>
      <c r="AW1550" s="59"/>
      <c r="AX1550" s="60"/>
      <c r="AY1550" s="61">
        <v>1</v>
      </c>
      <c r="AZ1550" s="62">
        <f t="shared" si="985"/>
        <v>2</v>
      </c>
      <c r="BA1550" s="61">
        <f t="shared" si="986"/>
        <v>0</v>
      </c>
      <c r="BB1550" s="62" t="str">
        <f t="shared" si="987"/>
        <v/>
      </c>
    </row>
    <row r="1551" spans="1:54" hidden="1" x14ac:dyDescent="0.35">
      <c r="A1551" s="73">
        <f t="shared" si="945"/>
        <v>2019</v>
      </c>
      <c r="B1551" s="73" t="str">
        <f t="shared" si="963"/>
        <v>Nov</v>
      </c>
      <c r="C1551" s="74">
        <f t="shared" si="964"/>
        <v>17</v>
      </c>
      <c r="D1551" s="75">
        <v>14</v>
      </c>
      <c r="E1551" s="76">
        <v>59</v>
      </c>
      <c r="F1551" s="80">
        <v>33</v>
      </c>
      <c r="G1551" s="83"/>
      <c r="H1551" s="69" t="str">
        <f t="shared" si="966"/>
        <v>Senbur6_20191117_14_00</v>
      </c>
      <c r="I1551" s="70">
        <f t="shared" ref="I1551:N1551" si="1078">I1550</f>
        <v>1</v>
      </c>
      <c r="J1551" s="77" t="str">
        <f t="shared" si="1078"/>
        <v>Senecio</v>
      </c>
      <c r="K1551" s="77" t="str">
        <f t="shared" si="1078"/>
        <v>burtoni</v>
      </c>
      <c r="L1551" s="78">
        <f t="shared" si="1078"/>
        <v>6</v>
      </c>
      <c r="M1551" s="78">
        <f t="shared" si="1078"/>
        <v>12</v>
      </c>
      <c r="N1551" s="72">
        <f t="shared" si="1078"/>
        <v>0</v>
      </c>
      <c r="O1551" s="45"/>
      <c r="P1551" s="46">
        <f t="shared" si="968"/>
        <v>1</v>
      </c>
      <c r="Q1551" s="47" t="str">
        <f t="shared" si="969"/>
        <v>14:59:33</v>
      </c>
      <c r="R1551" s="48" t="str">
        <f t="shared" si="970"/>
        <v>59:33</v>
      </c>
      <c r="S1551" s="49">
        <f t="shared" si="971"/>
        <v>25</v>
      </c>
      <c r="T1551" s="48" t="str">
        <f t="shared" si="972"/>
        <v>14</v>
      </c>
      <c r="U1551" s="50">
        <v>59</v>
      </c>
      <c r="V1551" s="51">
        <v>58</v>
      </c>
      <c r="W1551" s="52" t="str">
        <f t="shared" si="973"/>
        <v>59:58</v>
      </c>
      <c r="X1551" s="53" t="s">
        <v>61</v>
      </c>
      <c r="Y1551" s="97" t="s">
        <v>78</v>
      </c>
      <c r="Z1551" s="97"/>
      <c r="AA1551" s="48" t="s">
        <v>60</v>
      </c>
      <c r="AB1551" s="48" t="str">
        <f t="shared" si="974"/>
        <v>NA</v>
      </c>
      <c r="AC1551" s="54">
        <f t="shared" si="975"/>
        <v>0</v>
      </c>
      <c r="AD1551" s="55">
        <f t="shared" si="976"/>
        <v>1</v>
      </c>
      <c r="AE1551" s="55"/>
      <c r="AF1551" s="55"/>
      <c r="AG1551" s="56">
        <v>1</v>
      </c>
      <c r="AH1551" s="57">
        <f t="shared" si="978"/>
        <v>25</v>
      </c>
      <c r="AI1551" s="56"/>
      <c r="AJ1551" s="57" t="str">
        <f t="shared" si="979"/>
        <v/>
      </c>
      <c r="AK1551" s="56"/>
      <c r="AL1551" s="57" t="str">
        <f t="shared" si="980"/>
        <v/>
      </c>
      <c r="AM1551" s="56"/>
      <c r="AN1551" s="57" t="str">
        <f t="shared" si="981"/>
        <v/>
      </c>
      <c r="AO1551" s="56"/>
      <c r="AP1551" s="57" t="str">
        <f t="shared" si="982"/>
        <v/>
      </c>
      <c r="AQ1551" s="56"/>
      <c r="AR1551" s="57" t="str">
        <f t="shared" si="983"/>
        <v/>
      </c>
      <c r="AS1551" s="56"/>
      <c r="AT1551" s="57" t="str">
        <f t="shared" si="984"/>
        <v/>
      </c>
      <c r="AU1551" s="58"/>
      <c r="AV1551" s="59"/>
      <c r="AW1551" s="59"/>
      <c r="AX1551" s="60"/>
      <c r="AY1551" s="61">
        <v>1</v>
      </c>
      <c r="AZ1551" s="62">
        <f t="shared" si="985"/>
        <v>1</v>
      </c>
      <c r="BA1551" s="61">
        <f t="shared" si="986"/>
        <v>0</v>
      </c>
      <c r="BB1551" s="62" t="str">
        <f t="shared" si="987"/>
        <v/>
      </c>
    </row>
    <row r="1552" spans="1:54" hidden="1" x14ac:dyDescent="0.35">
      <c r="A1552" s="73">
        <f t="shared" si="945"/>
        <v>2019</v>
      </c>
      <c r="B1552" s="73" t="str">
        <f t="shared" si="963"/>
        <v>Nov</v>
      </c>
      <c r="C1552" s="74">
        <f t="shared" si="964"/>
        <v>17</v>
      </c>
      <c r="D1552" s="75">
        <v>14</v>
      </c>
      <c r="E1552" s="76">
        <v>59</v>
      </c>
      <c r="F1552" s="80">
        <v>58</v>
      </c>
      <c r="G1552" s="83"/>
      <c r="H1552" s="69" t="str">
        <f t="shared" si="966"/>
        <v>Senbur6_20191117_14_00</v>
      </c>
      <c r="I1552" s="70">
        <f t="shared" ref="I1552:N1552" si="1079">I1551</f>
        <v>1</v>
      </c>
      <c r="J1552" s="77" t="str">
        <f t="shared" si="1079"/>
        <v>Senecio</v>
      </c>
      <c r="K1552" s="77" t="str">
        <f t="shared" si="1079"/>
        <v>burtoni</v>
      </c>
      <c r="L1552" s="78">
        <f t="shared" si="1079"/>
        <v>6</v>
      </c>
      <c r="M1552" s="78">
        <f t="shared" si="1079"/>
        <v>12</v>
      </c>
      <c r="N1552" s="72">
        <f t="shared" si="1079"/>
        <v>0</v>
      </c>
      <c r="O1552" s="45"/>
      <c r="P1552" s="46">
        <f t="shared" si="968"/>
        <v>1</v>
      </c>
      <c r="Q1552" s="47" t="str">
        <f t="shared" si="969"/>
        <v>14:59:58</v>
      </c>
      <c r="R1552" s="48" t="str">
        <f t="shared" si="970"/>
        <v>59:58</v>
      </c>
      <c r="S1552" s="49">
        <f t="shared" si="971"/>
        <v>11</v>
      </c>
      <c r="T1552" s="48">
        <v>15</v>
      </c>
      <c r="U1552" s="50">
        <v>0</v>
      </c>
      <c r="V1552" s="51">
        <v>9</v>
      </c>
      <c r="W1552" s="52" t="str">
        <f t="shared" si="973"/>
        <v>00:09</v>
      </c>
      <c r="X1552" s="53" t="s">
        <v>61</v>
      </c>
      <c r="Y1552" s="97" t="s">
        <v>78</v>
      </c>
      <c r="Z1552" s="97"/>
      <c r="AA1552" s="48" t="s">
        <v>60</v>
      </c>
      <c r="AB1552" s="48" t="str">
        <f t="shared" si="974"/>
        <v>NA</v>
      </c>
      <c r="AC1552" s="54">
        <f t="shared" si="975"/>
        <v>0</v>
      </c>
      <c r="AD1552" s="55">
        <f t="shared" si="976"/>
        <v>1</v>
      </c>
      <c r="AE1552" s="55"/>
      <c r="AF1552" s="55"/>
      <c r="AG1552" s="56">
        <v>1</v>
      </c>
      <c r="AH1552" s="57">
        <v>3</v>
      </c>
      <c r="AI1552" s="56"/>
      <c r="AJ1552" s="57" t="str">
        <f t="shared" si="979"/>
        <v/>
      </c>
      <c r="AK1552" s="56">
        <v>1</v>
      </c>
      <c r="AL1552" s="57">
        <v>8</v>
      </c>
      <c r="AM1552" s="56"/>
      <c r="AN1552" s="57" t="str">
        <f t="shared" si="981"/>
        <v/>
      </c>
      <c r="AO1552" s="56"/>
      <c r="AP1552" s="57" t="str">
        <f t="shared" si="982"/>
        <v/>
      </c>
      <c r="AQ1552" s="56"/>
      <c r="AR1552" s="57" t="str">
        <f t="shared" si="983"/>
        <v/>
      </c>
      <c r="AS1552" s="56"/>
      <c r="AT1552" s="57" t="str">
        <f t="shared" si="984"/>
        <v/>
      </c>
      <c r="AU1552" s="58"/>
      <c r="AV1552" s="59"/>
      <c r="AW1552" s="59"/>
      <c r="AX1552" s="60"/>
      <c r="AY1552" s="61">
        <v>1</v>
      </c>
      <c r="AZ1552" s="62">
        <f t="shared" si="985"/>
        <v>1</v>
      </c>
      <c r="BA1552" s="61">
        <f t="shared" si="986"/>
        <v>0</v>
      </c>
      <c r="BB1552" s="62" t="str">
        <f t="shared" si="987"/>
        <v/>
      </c>
    </row>
    <row r="1553" spans="1:54" hidden="1" x14ac:dyDescent="0.35">
      <c r="A1553" s="73">
        <f t="shared" si="945"/>
        <v>2019</v>
      </c>
      <c r="B1553" s="73" t="str">
        <f t="shared" si="963"/>
        <v>Nov</v>
      </c>
      <c r="C1553" s="74">
        <f t="shared" si="964"/>
        <v>17</v>
      </c>
      <c r="D1553" s="75">
        <f t="shared" si="965"/>
        <v>15</v>
      </c>
      <c r="E1553" s="76">
        <f t="shared" si="946"/>
        <v>0</v>
      </c>
      <c r="F1553" s="80">
        <v>13</v>
      </c>
      <c r="G1553" s="83"/>
      <c r="H1553" s="69" t="str">
        <f t="shared" si="966"/>
        <v>Senbur6_20191117_15_00</v>
      </c>
      <c r="I1553" s="70">
        <f t="shared" ref="I1553:N1553" si="1080">I1552</f>
        <v>1</v>
      </c>
      <c r="J1553" s="77" t="str">
        <f t="shared" si="1080"/>
        <v>Senecio</v>
      </c>
      <c r="K1553" s="77" t="str">
        <f t="shared" si="1080"/>
        <v>burtoni</v>
      </c>
      <c r="L1553" s="78">
        <f t="shared" si="1080"/>
        <v>6</v>
      </c>
      <c r="M1553" s="78">
        <f t="shared" si="1080"/>
        <v>12</v>
      </c>
      <c r="N1553" s="72">
        <f t="shared" si="1080"/>
        <v>0</v>
      </c>
      <c r="O1553" s="45"/>
      <c r="P1553" s="46">
        <f t="shared" si="968"/>
        <v>1</v>
      </c>
      <c r="Q1553" s="47" t="str">
        <f t="shared" si="969"/>
        <v>15:00:13</v>
      </c>
      <c r="R1553" s="48" t="str">
        <f t="shared" si="970"/>
        <v>00:13</v>
      </c>
      <c r="S1553" s="49">
        <f t="shared" si="971"/>
        <v>14</v>
      </c>
      <c r="T1553" s="48" t="str">
        <f t="shared" si="972"/>
        <v>15</v>
      </c>
      <c r="U1553" s="50">
        <v>0</v>
      </c>
      <c r="V1553" s="51">
        <v>27</v>
      </c>
      <c r="W1553" s="52" t="str">
        <f t="shared" si="973"/>
        <v>00:27</v>
      </c>
      <c r="X1553" s="53" t="s">
        <v>61</v>
      </c>
      <c r="Y1553" s="97" t="s">
        <v>79</v>
      </c>
      <c r="Z1553" s="97" t="s">
        <v>80</v>
      </c>
      <c r="AA1553" s="48" t="s">
        <v>60</v>
      </c>
      <c r="AB1553" s="48" t="str">
        <f t="shared" si="974"/>
        <v>NA</v>
      </c>
      <c r="AC1553" s="54">
        <f t="shared" si="975"/>
        <v>0</v>
      </c>
      <c r="AD1553" s="55">
        <v>1</v>
      </c>
      <c r="AE1553" s="55"/>
      <c r="AF1553" s="55"/>
      <c r="AG1553" s="56">
        <v>1</v>
      </c>
      <c r="AH1553" s="57">
        <v>9</v>
      </c>
      <c r="AI1553" s="56"/>
      <c r="AJ1553" s="57"/>
      <c r="AK1553" s="56">
        <v>1</v>
      </c>
      <c r="AL1553" s="57">
        <v>5</v>
      </c>
      <c r="AM1553" s="56"/>
      <c r="AN1553" s="57" t="str">
        <f t="shared" si="981"/>
        <v/>
      </c>
      <c r="AO1553" s="56"/>
      <c r="AP1553" s="57" t="str">
        <f t="shared" si="982"/>
        <v/>
      </c>
      <c r="AQ1553" s="56"/>
      <c r="AR1553" s="57" t="str">
        <f t="shared" si="983"/>
        <v/>
      </c>
      <c r="AS1553" s="56"/>
      <c r="AT1553" s="57" t="str">
        <f t="shared" si="984"/>
        <v/>
      </c>
      <c r="AU1553" s="58"/>
      <c r="AV1553" s="59"/>
      <c r="AW1553" s="59"/>
      <c r="AX1553" s="60"/>
      <c r="AY1553" s="61">
        <v>1</v>
      </c>
      <c r="AZ1553" s="62">
        <f t="shared" si="985"/>
        <v>1</v>
      </c>
      <c r="BA1553" s="61">
        <f t="shared" si="986"/>
        <v>0</v>
      </c>
      <c r="BB1553" s="62" t="str">
        <f t="shared" si="987"/>
        <v/>
      </c>
    </row>
    <row r="1554" spans="1:54" hidden="1" x14ac:dyDescent="0.35">
      <c r="A1554" s="73">
        <f t="shared" si="945"/>
        <v>2019</v>
      </c>
      <c r="B1554" s="73" t="str">
        <f t="shared" si="963"/>
        <v>Nov</v>
      </c>
      <c r="C1554" s="74">
        <f t="shared" si="964"/>
        <v>17</v>
      </c>
      <c r="D1554" s="75">
        <f t="shared" si="965"/>
        <v>15</v>
      </c>
      <c r="E1554" s="76">
        <v>0</v>
      </c>
      <c r="F1554" s="80">
        <v>35</v>
      </c>
      <c r="G1554" s="83"/>
      <c r="H1554" s="69" t="str">
        <f t="shared" si="966"/>
        <v>Senbur6_20191117_15_00</v>
      </c>
      <c r="I1554" s="70">
        <f t="shared" ref="I1554:N1554" si="1081">I1553</f>
        <v>1</v>
      </c>
      <c r="J1554" s="77" t="str">
        <f t="shared" si="1081"/>
        <v>Senecio</v>
      </c>
      <c r="K1554" s="77" t="str">
        <f t="shared" si="1081"/>
        <v>burtoni</v>
      </c>
      <c r="L1554" s="78">
        <f t="shared" si="1081"/>
        <v>6</v>
      </c>
      <c r="M1554" s="78">
        <f t="shared" si="1081"/>
        <v>12</v>
      </c>
      <c r="N1554" s="72">
        <f t="shared" si="1081"/>
        <v>0</v>
      </c>
      <c r="O1554" s="45"/>
      <c r="P1554" s="46">
        <f t="shared" si="968"/>
        <v>1</v>
      </c>
      <c r="Q1554" s="47" t="str">
        <f t="shared" si="969"/>
        <v>15:00:35</v>
      </c>
      <c r="R1554" s="48" t="str">
        <f t="shared" si="970"/>
        <v>00:35</v>
      </c>
      <c r="S1554" s="49">
        <f t="shared" si="971"/>
        <v>4</v>
      </c>
      <c r="T1554" s="48" t="str">
        <f t="shared" si="972"/>
        <v>15</v>
      </c>
      <c r="U1554" s="50">
        <v>0</v>
      </c>
      <c r="V1554" s="51">
        <v>39</v>
      </c>
      <c r="W1554" s="52" t="str">
        <f t="shared" si="973"/>
        <v>00:39</v>
      </c>
      <c r="X1554" s="53" t="s">
        <v>61</v>
      </c>
      <c r="Y1554" s="97" t="s">
        <v>79</v>
      </c>
      <c r="Z1554" s="97" t="s">
        <v>80</v>
      </c>
      <c r="AA1554" s="48" t="s">
        <v>60</v>
      </c>
      <c r="AB1554" s="48" t="str">
        <f t="shared" si="974"/>
        <v>NA</v>
      </c>
      <c r="AC1554" s="54">
        <f t="shared" si="975"/>
        <v>0</v>
      </c>
      <c r="AD1554" s="55">
        <f t="shared" si="976"/>
        <v>1</v>
      </c>
      <c r="AE1554" s="55"/>
      <c r="AF1554" s="55"/>
      <c r="AG1554" s="56">
        <v>1</v>
      </c>
      <c r="AH1554" s="57">
        <f t="shared" si="978"/>
        <v>4</v>
      </c>
      <c r="AI1554" s="56"/>
      <c r="AJ1554" s="57" t="str">
        <f t="shared" si="979"/>
        <v/>
      </c>
      <c r="AK1554" s="56"/>
      <c r="AL1554" s="57" t="str">
        <f t="shared" si="980"/>
        <v/>
      </c>
      <c r="AM1554" s="56"/>
      <c r="AN1554" s="57" t="str">
        <f t="shared" si="981"/>
        <v/>
      </c>
      <c r="AO1554" s="56"/>
      <c r="AP1554" s="57" t="str">
        <f t="shared" si="982"/>
        <v/>
      </c>
      <c r="AQ1554" s="56"/>
      <c r="AR1554" s="57" t="str">
        <f t="shared" si="983"/>
        <v/>
      </c>
      <c r="AS1554" s="56"/>
      <c r="AT1554" s="57" t="str">
        <f t="shared" si="984"/>
        <v/>
      </c>
      <c r="AU1554" s="58"/>
      <c r="AV1554" s="59"/>
      <c r="AW1554" s="59"/>
      <c r="AX1554" s="60"/>
      <c r="AY1554" s="61">
        <f t="shared" si="990"/>
        <v>0</v>
      </c>
      <c r="AZ1554" s="62" t="str">
        <f t="shared" si="985"/>
        <v/>
      </c>
      <c r="BA1554" s="61">
        <f t="shared" si="986"/>
        <v>0</v>
      </c>
      <c r="BB1554" s="62" t="str">
        <f t="shared" si="987"/>
        <v/>
      </c>
    </row>
    <row r="1555" spans="1:54" hidden="1" x14ac:dyDescent="0.35">
      <c r="A1555" s="73">
        <f t="shared" si="945"/>
        <v>2019</v>
      </c>
      <c r="B1555" s="73" t="str">
        <f t="shared" si="963"/>
        <v>Nov</v>
      </c>
      <c r="C1555" s="74">
        <f t="shared" si="964"/>
        <v>17</v>
      </c>
      <c r="D1555" s="75">
        <f t="shared" si="965"/>
        <v>15</v>
      </c>
      <c r="E1555" s="76">
        <f t="shared" si="946"/>
        <v>1</v>
      </c>
      <c r="F1555" s="80">
        <v>5</v>
      </c>
      <c r="G1555" s="83"/>
      <c r="H1555" s="69" t="str">
        <f t="shared" si="966"/>
        <v>Senbur6_20191117_15_00</v>
      </c>
      <c r="I1555" s="70">
        <f t="shared" ref="I1555:N1555" si="1082">I1554</f>
        <v>1</v>
      </c>
      <c r="J1555" s="77" t="str">
        <f t="shared" si="1082"/>
        <v>Senecio</v>
      </c>
      <c r="K1555" s="77" t="str">
        <f t="shared" si="1082"/>
        <v>burtoni</v>
      </c>
      <c r="L1555" s="78">
        <f t="shared" si="1082"/>
        <v>6</v>
      </c>
      <c r="M1555" s="78">
        <f t="shared" si="1082"/>
        <v>12</v>
      </c>
      <c r="N1555" s="72">
        <f t="shared" si="1082"/>
        <v>0</v>
      </c>
      <c r="O1555" s="45"/>
      <c r="P1555" s="46">
        <f t="shared" si="968"/>
        <v>1</v>
      </c>
      <c r="Q1555" s="47" t="str">
        <f t="shared" si="969"/>
        <v>15:01:05</v>
      </c>
      <c r="R1555" s="48" t="str">
        <f t="shared" si="970"/>
        <v>01:05</v>
      </c>
      <c r="S1555" s="49">
        <f t="shared" si="971"/>
        <v>11</v>
      </c>
      <c r="T1555" s="48" t="str">
        <f t="shared" si="972"/>
        <v>15</v>
      </c>
      <c r="U1555" s="50">
        <v>1</v>
      </c>
      <c r="V1555" s="51">
        <v>16</v>
      </c>
      <c r="W1555" s="52" t="str">
        <f t="shared" si="973"/>
        <v>01:16</v>
      </c>
      <c r="X1555" s="53" t="s">
        <v>61</v>
      </c>
      <c r="Y1555" s="97" t="s">
        <v>84</v>
      </c>
      <c r="Z1555" s="97" t="s">
        <v>80</v>
      </c>
      <c r="AA1555" s="48" t="s">
        <v>60</v>
      </c>
      <c r="AB1555" s="48" t="str">
        <f t="shared" si="974"/>
        <v>NA</v>
      </c>
      <c r="AC1555" s="54">
        <f t="shared" si="975"/>
        <v>0</v>
      </c>
      <c r="AD1555" s="55">
        <f t="shared" si="976"/>
        <v>1</v>
      </c>
      <c r="AE1555" s="55"/>
      <c r="AF1555" s="55"/>
      <c r="AG1555" s="56">
        <v>1</v>
      </c>
      <c r="AH1555" s="57">
        <v>2</v>
      </c>
      <c r="AI1555" s="56"/>
      <c r="AJ1555" s="57" t="str">
        <f t="shared" si="979"/>
        <v/>
      </c>
      <c r="AK1555" s="56">
        <v>1</v>
      </c>
      <c r="AL1555" s="57">
        <v>9</v>
      </c>
      <c r="AM1555" s="56"/>
      <c r="AN1555" s="57" t="str">
        <f t="shared" si="981"/>
        <v/>
      </c>
      <c r="AO1555" s="56"/>
      <c r="AP1555" s="57" t="str">
        <f t="shared" si="982"/>
        <v/>
      </c>
      <c r="AQ1555" s="56"/>
      <c r="AR1555" s="57" t="str">
        <f t="shared" si="983"/>
        <v/>
      </c>
      <c r="AS1555" s="56"/>
      <c r="AT1555" s="57" t="str">
        <f t="shared" si="984"/>
        <v/>
      </c>
      <c r="AU1555" s="58"/>
      <c r="AV1555" s="59"/>
      <c r="AW1555" s="59"/>
      <c r="AX1555" s="60"/>
      <c r="AY1555" s="61">
        <v>1</v>
      </c>
      <c r="AZ1555" s="62">
        <f t="shared" si="985"/>
        <v>1</v>
      </c>
      <c r="BA1555" s="61">
        <f t="shared" si="986"/>
        <v>0</v>
      </c>
      <c r="BB1555" s="62" t="str">
        <f t="shared" si="987"/>
        <v/>
      </c>
    </row>
    <row r="1556" spans="1:54" hidden="1" x14ac:dyDescent="0.35">
      <c r="A1556" s="73">
        <f t="shared" si="945"/>
        <v>2019</v>
      </c>
      <c r="B1556" s="73" t="str">
        <f t="shared" si="963"/>
        <v>Nov</v>
      </c>
      <c r="C1556" s="74">
        <f t="shared" si="964"/>
        <v>17</v>
      </c>
      <c r="D1556" s="75">
        <f t="shared" si="965"/>
        <v>15</v>
      </c>
      <c r="E1556" s="76">
        <v>1</v>
      </c>
      <c r="F1556" s="80">
        <v>22</v>
      </c>
      <c r="G1556" s="83"/>
      <c r="H1556" s="69" t="str">
        <f t="shared" si="966"/>
        <v>Senbur6_20191117_15_00</v>
      </c>
      <c r="I1556" s="70">
        <f t="shared" ref="I1556:N1556" si="1083">I1555</f>
        <v>1</v>
      </c>
      <c r="J1556" s="77" t="str">
        <f t="shared" si="1083"/>
        <v>Senecio</v>
      </c>
      <c r="K1556" s="77" t="str">
        <f t="shared" si="1083"/>
        <v>burtoni</v>
      </c>
      <c r="L1556" s="78">
        <f t="shared" si="1083"/>
        <v>6</v>
      </c>
      <c r="M1556" s="78">
        <f t="shared" si="1083"/>
        <v>12</v>
      </c>
      <c r="N1556" s="72">
        <f t="shared" si="1083"/>
        <v>0</v>
      </c>
      <c r="O1556" s="45"/>
      <c r="P1556" s="46">
        <f t="shared" si="968"/>
        <v>1</v>
      </c>
      <c r="Q1556" s="47" t="str">
        <f t="shared" si="969"/>
        <v>15:01:22</v>
      </c>
      <c r="R1556" s="48" t="str">
        <f t="shared" si="970"/>
        <v>01:22</v>
      </c>
      <c r="S1556" s="49">
        <f t="shared" si="971"/>
        <v>48</v>
      </c>
      <c r="T1556" s="48" t="str">
        <f t="shared" si="972"/>
        <v>15</v>
      </c>
      <c r="U1556" s="50">
        <v>2</v>
      </c>
      <c r="V1556" s="51">
        <v>10</v>
      </c>
      <c r="W1556" s="52" t="str">
        <f t="shared" si="973"/>
        <v>02:10</v>
      </c>
      <c r="X1556" s="53" t="s">
        <v>61</v>
      </c>
      <c r="Y1556" s="97" t="s">
        <v>78</v>
      </c>
      <c r="Z1556" s="97"/>
      <c r="AA1556" s="48" t="s">
        <v>60</v>
      </c>
      <c r="AB1556" s="48" t="s">
        <v>64</v>
      </c>
      <c r="AC1556" s="54">
        <f t="shared" si="975"/>
        <v>0</v>
      </c>
      <c r="AD1556" s="55">
        <v>3</v>
      </c>
      <c r="AE1556" s="55"/>
      <c r="AF1556" s="55"/>
      <c r="AG1556" s="56">
        <v>1</v>
      </c>
      <c r="AH1556" s="57">
        <v>30</v>
      </c>
      <c r="AI1556" s="56">
        <v>1</v>
      </c>
      <c r="AJ1556" s="57">
        <v>1</v>
      </c>
      <c r="AK1556" s="56">
        <v>1</v>
      </c>
      <c r="AL1556" s="57">
        <v>17</v>
      </c>
      <c r="AM1556" s="56"/>
      <c r="AN1556" s="57" t="str">
        <f t="shared" si="981"/>
        <v/>
      </c>
      <c r="AO1556" s="56"/>
      <c r="AP1556" s="57" t="str">
        <f t="shared" si="982"/>
        <v/>
      </c>
      <c r="AQ1556" s="56"/>
      <c r="AR1556" s="57" t="str">
        <f t="shared" si="983"/>
        <v/>
      </c>
      <c r="AS1556" s="56"/>
      <c r="AT1556" s="57" t="str">
        <f t="shared" si="984"/>
        <v/>
      </c>
      <c r="AU1556" s="58"/>
      <c r="AV1556" s="59"/>
      <c r="AW1556" s="59"/>
      <c r="AX1556" s="60"/>
      <c r="AY1556" s="61">
        <v>1</v>
      </c>
      <c r="AZ1556" s="62">
        <f t="shared" si="985"/>
        <v>3</v>
      </c>
      <c r="BA1556" s="61">
        <f t="shared" si="986"/>
        <v>0</v>
      </c>
      <c r="BB1556" s="62" t="str">
        <f t="shared" si="987"/>
        <v/>
      </c>
    </row>
    <row r="1557" spans="1:54" hidden="1" x14ac:dyDescent="0.35">
      <c r="A1557" s="73">
        <f t="shared" si="945"/>
        <v>2019</v>
      </c>
      <c r="B1557" s="73" t="str">
        <f t="shared" si="963"/>
        <v>Nov</v>
      </c>
      <c r="C1557" s="74">
        <f t="shared" si="964"/>
        <v>17</v>
      </c>
      <c r="D1557" s="75">
        <f t="shared" si="965"/>
        <v>15</v>
      </c>
      <c r="E1557" s="76">
        <f t="shared" si="946"/>
        <v>2</v>
      </c>
      <c r="F1557" s="80">
        <v>41</v>
      </c>
      <c r="G1557" s="83"/>
      <c r="H1557" s="69" t="str">
        <f t="shared" si="966"/>
        <v>Senbur6_20191117_15_00</v>
      </c>
      <c r="I1557" s="70">
        <f t="shared" ref="I1557:N1557" si="1084">I1556</f>
        <v>1</v>
      </c>
      <c r="J1557" s="77" t="str">
        <f t="shared" si="1084"/>
        <v>Senecio</v>
      </c>
      <c r="K1557" s="77" t="str">
        <f t="shared" si="1084"/>
        <v>burtoni</v>
      </c>
      <c r="L1557" s="78">
        <f t="shared" si="1084"/>
        <v>6</v>
      </c>
      <c r="M1557" s="78">
        <f t="shared" si="1084"/>
        <v>12</v>
      </c>
      <c r="N1557" s="72">
        <f t="shared" si="1084"/>
        <v>0</v>
      </c>
      <c r="O1557" s="45"/>
      <c r="P1557" s="46">
        <f t="shared" si="968"/>
        <v>1</v>
      </c>
      <c r="Q1557" s="47" t="str">
        <f t="shared" si="969"/>
        <v>15:02:41</v>
      </c>
      <c r="R1557" s="48" t="str">
        <f t="shared" si="970"/>
        <v>02:41</v>
      </c>
      <c r="S1557" s="49">
        <f t="shared" si="971"/>
        <v>15</v>
      </c>
      <c r="T1557" s="48" t="str">
        <f t="shared" si="972"/>
        <v>15</v>
      </c>
      <c r="U1557" s="50">
        <v>2</v>
      </c>
      <c r="V1557" s="51">
        <v>56</v>
      </c>
      <c r="W1557" s="52" t="str">
        <f t="shared" si="973"/>
        <v>02:56</v>
      </c>
      <c r="X1557" s="53" t="s">
        <v>61</v>
      </c>
      <c r="Y1557" s="97" t="s">
        <v>78</v>
      </c>
      <c r="Z1557" s="97"/>
      <c r="AA1557" s="48" t="s">
        <v>60</v>
      </c>
      <c r="AB1557" s="48" t="str">
        <f t="shared" si="974"/>
        <v>NA</v>
      </c>
      <c r="AC1557" s="54">
        <f t="shared" si="975"/>
        <v>0</v>
      </c>
      <c r="AD1557" s="55">
        <f t="shared" si="976"/>
        <v>1</v>
      </c>
      <c r="AE1557" s="55"/>
      <c r="AF1557" s="55"/>
      <c r="AG1557" s="56">
        <v>1</v>
      </c>
      <c r="AH1557" s="57">
        <v>1</v>
      </c>
      <c r="AI1557" s="56"/>
      <c r="AJ1557" s="57" t="str">
        <f t="shared" si="979"/>
        <v/>
      </c>
      <c r="AK1557" s="56">
        <v>1</v>
      </c>
      <c r="AL1557" s="57">
        <v>14</v>
      </c>
      <c r="AM1557" s="56"/>
      <c r="AN1557" s="57" t="str">
        <f t="shared" si="981"/>
        <v/>
      </c>
      <c r="AO1557" s="56"/>
      <c r="AP1557" s="57" t="str">
        <f t="shared" si="982"/>
        <v/>
      </c>
      <c r="AQ1557" s="56"/>
      <c r="AR1557" s="57" t="str">
        <f t="shared" si="983"/>
        <v/>
      </c>
      <c r="AS1557" s="56"/>
      <c r="AT1557" s="57" t="str">
        <f t="shared" si="984"/>
        <v/>
      </c>
      <c r="AU1557" s="58"/>
      <c r="AV1557" s="59"/>
      <c r="AW1557" s="59"/>
      <c r="AX1557" s="60"/>
      <c r="AY1557" s="61">
        <v>1</v>
      </c>
      <c r="AZ1557" s="62">
        <f t="shared" si="985"/>
        <v>1</v>
      </c>
      <c r="BA1557" s="61">
        <f t="shared" si="986"/>
        <v>0</v>
      </c>
      <c r="BB1557" s="62" t="str">
        <f t="shared" si="987"/>
        <v/>
      </c>
    </row>
    <row r="1558" spans="1:54" hidden="1" x14ac:dyDescent="0.35">
      <c r="A1558" s="73">
        <f t="shared" si="945"/>
        <v>2019</v>
      </c>
      <c r="B1558" s="73" t="str">
        <f t="shared" si="963"/>
        <v>Nov</v>
      </c>
      <c r="C1558" s="74">
        <f t="shared" si="964"/>
        <v>17</v>
      </c>
      <c r="D1558" s="75">
        <f t="shared" si="965"/>
        <v>15</v>
      </c>
      <c r="E1558" s="76">
        <v>2</v>
      </c>
      <c r="F1558" s="80">
        <v>54</v>
      </c>
      <c r="G1558" s="83"/>
      <c r="H1558" s="69" t="str">
        <f t="shared" si="966"/>
        <v>Senbur6_20191117_15_00</v>
      </c>
      <c r="I1558" s="70">
        <f t="shared" ref="I1558:N1558" si="1085">I1557</f>
        <v>1</v>
      </c>
      <c r="J1558" s="77" t="str">
        <f t="shared" si="1085"/>
        <v>Senecio</v>
      </c>
      <c r="K1558" s="77" t="str">
        <f t="shared" si="1085"/>
        <v>burtoni</v>
      </c>
      <c r="L1558" s="78">
        <f t="shared" si="1085"/>
        <v>6</v>
      </c>
      <c r="M1558" s="78">
        <f t="shared" si="1085"/>
        <v>12</v>
      </c>
      <c r="N1558" s="72">
        <f t="shared" si="1085"/>
        <v>0</v>
      </c>
      <c r="O1558" s="45"/>
      <c r="P1558" s="46">
        <f t="shared" si="968"/>
        <v>1</v>
      </c>
      <c r="Q1558" s="47" t="str">
        <f t="shared" si="969"/>
        <v>15:02:54</v>
      </c>
      <c r="R1558" s="48" t="str">
        <f t="shared" si="970"/>
        <v>02:54</v>
      </c>
      <c r="S1558" s="49">
        <f t="shared" si="971"/>
        <v>9</v>
      </c>
      <c r="T1558" s="48" t="str">
        <f t="shared" si="972"/>
        <v>15</v>
      </c>
      <c r="U1558" s="50">
        <v>3</v>
      </c>
      <c r="V1558" s="51">
        <v>3</v>
      </c>
      <c r="W1558" s="52" t="str">
        <f t="shared" si="973"/>
        <v>03:03</v>
      </c>
      <c r="X1558" s="53" t="s">
        <v>61</v>
      </c>
      <c r="Y1558" s="97" t="s">
        <v>78</v>
      </c>
      <c r="Z1558" s="97"/>
      <c r="AA1558" s="48" t="s">
        <v>60</v>
      </c>
      <c r="AB1558" s="48" t="str">
        <f t="shared" si="974"/>
        <v>NA</v>
      </c>
      <c r="AC1558" s="54">
        <f t="shared" si="975"/>
        <v>0</v>
      </c>
      <c r="AD1558" s="55">
        <f t="shared" si="976"/>
        <v>1</v>
      </c>
      <c r="AE1558" s="55"/>
      <c r="AF1558" s="55"/>
      <c r="AG1558" s="56" t="str">
        <f t="shared" si="977"/>
        <v/>
      </c>
      <c r="AH1558" s="57" t="str">
        <f t="shared" si="978"/>
        <v/>
      </c>
      <c r="AI1558" s="56"/>
      <c r="AJ1558" s="57" t="str">
        <f t="shared" si="979"/>
        <v/>
      </c>
      <c r="AK1558" s="56">
        <v>1</v>
      </c>
      <c r="AL1558" s="57">
        <f t="shared" si="980"/>
        <v>9</v>
      </c>
      <c r="AM1558" s="56"/>
      <c r="AN1558" s="57" t="str">
        <f t="shared" si="981"/>
        <v/>
      </c>
      <c r="AO1558" s="56"/>
      <c r="AP1558" s="57" t="str">
        <f t="shared" si="982"/>
        <v/>
      </c>
      <c r="AQ1558" s="56"/>
      <c r="AR1558" s="57" t="str">
        <f t="shared" si="983"/>
        <v/>
      </c>
      <c r="AS1558" s="56"/>
      <c r="AT1558" s="57" t="str">
        <f t="shared" si="984"/>
        <v/>
      </c>
      <c r="AU1558" s="58"/>
      <c r="AV1558" s="59"/>
      <c r="AW1558" s="59"/>
      <c r="AX1558" s="60"/>
      <c r="AY1558" s="61">
        <v>1</v>
      </c>
      <c r="AZ1558" s="62">
        <f t="shared" si="985"/>
        <v>1</v>
      </c>
      <c r="BA1558" s="61">
        <f t="shared" si="986"/>
        <v>0</v>
      </c>
      <c r="BB1558" s="62" t="str">
        <f t="shared" si="987"/>
        <v/>
      </c>
    </row>
    <row r="1559" spans="1:54" hidden="1" x14ac:dyDescent="0.35">
      <c r="A1559" s="73">
        <f t="shared" si="945"/>
        <v>2019</v>
      </c>
      <c r="B1559" s="73" t="str">
        <f t="shared" si="963"/>
        <v>Nov</v>
      </c>
      <c r="C1559" s="74">
        <f t="shared" si="964"/>
        <v>17</v>
      </c>
      <c r="D1559" s="75">
        <f t="shared" si="965"/>
        <v>15</v>
      </c>
      <c r="E1559" s="76">
        <f t="shared" si="946"/>
        <v>3</v>
      </c>
      <c r="F1559" s="80">
        <v>3</v>
      </c>
      <c r="G1559" s="83"/>
      <c r="H1559" s="69" t="str">
        <f t="shared" si="966"/>
        <v>Senbur6_20191117_15_00</v>
      </c>
      <c r="I1559" s="70">
        <f t="shared" ref="I1559:N1559" si="1086">I1558</f>
        <v>1</v>
      </c>
      <c r="J1559" s="77" t="str">
        <f t="shared" si="1086"/>
        <v>Senecio</v>
      </c>
      <c r="K1559" s="77" t="str">
        <f t="shared" si="1086"/>
        <v>burtoni</v>
      </c>
      <c r="L1559" s="78">
        <f t="shared" si="1086"/>
        <v>6</v>
      </c>
      <c r="M1559" s="78">
        <f t="shared" si="1086"/>
        <v>12</v>
      </c>
      <c r="N1559" s="72">
        <f t="shared" si="1086"/>
        <v>0</v>
      </c>
      <c r="O1559" s="45"/>
      <c r="P1559" s="46">
        <f t="shared" si="968"/>
        <v>1</v>
      </c>
      <c r="Q1559" s="47" t="str">
        <f t="shared" si="969"/>
        <v>15:03:03</v>
      </c>
      <c r="R1559" s="48" t="str">
        <f t="shared" si="970"/>
        <v>03:03</v>
      </c>
      <c r="S1559" s="49">
        <f t="shared" si="971"/>
        <v>34</v>
      </c>
      <c r="T1559" s="48" t="str">
        <f t="shared" si="972"/>
        <v>15</v>
      </c>
      <c r="U1559" s="50">
        <v>3</v>
      </c>
      <c r="V1559" s="51">
        <v>37</v>
      </c>
      <c r="W1559" s="52" t="str">
        <f t="shared" si="973"/>
        <v>03:37</v>
      </c>
      <c r="X1559" s="53" t="s">
        <v>61</v>
      </c>
      <c r="Y1559" s="97" t="s">
        <v>78</v>
      </c>
      <c r="Z1559" s="97"/>
      <c r="AA1559" s="48" t="s">
        <v>60</v>
      </c>
      <c r="AB1559" s="48" t="str">
        <f t="shared" si="974"/>
        <v>NA</v>
      </c>
      <c r="AC1559" s="54">
        <f t="shared" si="975"/>
        <v>0</v>
      </c>
      <c r="AD1559" s="55">
        <f t="shared" si="976"/>
        <v>1</v>
      </c>
      <c r="AE1559" s="55"/>
      <c r="AF1559" s="55"/>
      <c r="AG1559" s="56">
        <v>1</v>
      </c>
      <c r="AH1559" s="57">
        <v>7</v>
      </c>
      <c r="AI1559" s="56"/>
      <c r="AJ1559" s="57" t="str">
        <f t="shared" si="979"/>
        <v/>
      </c>
      <c r="AK1559" s="56">
        <v>1</v>
      </c>
      <c r="AL1559" s="57">
        <v>23</v>
      </c>
      <c r="AM1559" s="56"/>
      <c r="AN1559" s="57" t="str">
        <f t="shared" si="981"/>
        <v/>
      </c>
      <c r="AO1559" s="56"/>
      <c r="AP1559" s="57" t="str">
        <f t="shared" si="982"/>
        <v/>
      </c>
      <c r="AQ1559" s="56"/>
      <c r="AR1559" s="57" t="str">
        <f t="shared" si="983"/>
        <v/>
      </c>
      <c r="AS1559" s="56">
        <v>1</v>
      </c>
      <c r="AT1559" s="57">
        <v>4</v>
      </c>
      <c r="AU1559" s="58"/>
      <c r="AV1559" s="59"/>
      <c r="AW1559" s="59"/>
      <c r="AX1559" s="60"/>
      <c r="AY1559" s="61">
        <v>1</v>
      </c>
      <c r="AZ1559" s="62">
        <f t="shared" si="985"/>
        <v>1</v>
      </c>
      <c r="BA1559" s="61">
        <f t="shared" si="986"/>
        <v>0</v>
      </c>
      <c r="BB1559" s="62" t="str">
        <f t="shared" si="987"/>
        <v/>
      </c>
    </row>
    <row r="1560" spans="1:54" hidden="1" x14ac:dyDescent="0.35">
      <c r="A1560" s="73">
        <f t="shared" si="945"/>
        <v>2019</v>
      </c>
      <c r="B1560" s="73" t="str">
        <f t="shared" si="963"/>
        <v>Nov</v>
      </c>
      <c r="C1560" s="74">
        <f t="shared" si="964"/>
        <v>17</v>
      </c>
      <c r="D1560" s="75">
        <f t="shared" si="965"/>
        <v>15</v>
      </c>
      <c r="E1560" s="76">
        <v>3</v>
      </c>
      <c r="F1560" s="80">
        <v>36</v>
      </c>
      <c r="G1560" s="83"/>
      <c r="H1560" s="69" t="str">
        <f t="shared" si="966"/>
        <v>Senbur6_20191117_15_00</v>
      </c>
      <c r="I1560" s="70">
        <f t="shared" ref="I1560:N1560" si="1087">I1559</f>
        <v>1</v>
      </c>
      <c r="J1560" s="77" t="str">
        <f t="shared" si="1087"/>
        <v>Senecio</v>
      </c>
      <c r="K1560" s="77" t="str">
        <f t="shared" si="1087"/>
        <v>burtoni</v>
      </c>
      <c r="L1560" s="78">
        <f t="shared" si="1087"/>
        <v>6</v>
      </c>
      <c r="M1560" s="78">
        <f t="shared" si="1087"/>
        <v>12</v>
      </c>
      <c r="N1560" s="72">
        <f t="shared" si="1087"/>
        <v>0</v>
      </c>
      <c r="O1560" s="45"/>
      <c r="P1560" s="46">
        <f t="shared" si="968"/>
        <v>1</v>
      </c>
      <c r="Q1560" s="47" t="str">
        <f t="shared" si="969"/>
        <v>15:03:36</v>
      </c>
      <c r="R1560" s="48" t="str">
        <f t="shared" si="970"/>
        <v>03:36</v>
      </c>
      <c r="S1560" s="49">
        <f t="shared" si="971"/>
        <v>31</v>
      </c>
      <c r="T1560" s="48" t="str">
        <f t="shared" si="972"/>
        <v>15</v>
      </c>
      <c r="U1560" s="50">
        <v>4</v>
      </c>
      <c r="V1560" s="51">
        <v>7</v>
      </c>
      <c r="W1560" s="52" t="str">
        <f t="shared" si="973"/>
        <v>04:07</v>
      </c>
      <c r="X1560" s="53" t="s">
        <v>59</v>
      </c>
      <c r="Y1560" s="97" t="s">
        <v>85</v>
      </c>
      <c r="Z1560" s="97"/>
      <c r="AA1560" s="48" t="s">
        <v>60</v>
      </c>
      <c r="AB1560" s="48" t="str">
        <f t="shared" si="974"/>
        <v>NA</v>
      </c>
      <c r="AC1560" s="54">
        <f t="shared" si="975"/>
        <v>0</v>
      </c>
      <c r="AD1560" s="55">
        <f t="shared" si="976"/>
        <v>1</v>
      </c>
      <c r="AE1560" s="55"/>
      <c r="AF1560" s="55"/>
      <c r="AG1560" s="56">
        <v>1</v>
      </c>
      <c r="AH1560" s="57">
        <f t="shared" si="978"/>
        <v>31</v>
      </c>
      <c r="AI1560" s="56"/>
      <c r="AJ1560" s="57" t="str">
        <f t="shared" si="979"/>
        <v/>
      </c>
      <c r="AK1560" s="56"/>
      <c r="AL1560" s="57" t="str">
        <f t="shared" si="980"/>
        <v/>
      </c>
      <c r="AM1560" s="56"/>
      <c r="AN1560" s="57" t="str">
        <f t="shared" si="981"/>
        <v/>
      </c>
      <c r="AO1560" s="56"/>
      <c r="AP1560" s="57" t="str">
        <f t="shared" si="982"/>
        <v/>
      </c>
      <c r="AQ1560" s="56"/>
      <c r="AR1560" s="57" t="str">
        <f t="shared" si="983"/>
        <v/>
      </c>
      <c r="AS1560" s="56"/>
      <c r="AT1560" s="57" t="str">
        <f t="shared" si="984"/>
        <v/>
      </c>
      <c r="AU1560" s="58"/>
      <c r="AV1560" s="59"/>
      <c r="AW1560" s="59"/>
      <c r="AX1560" s="60"/>
      <c r="AY1560" s="61">
        <v>1</v>
      </c>
      <c r="AZ1560" s="62">
        <f t="shared" si="985"/>
        <v>1</v>
      </c>
      <c r="BA1560" s="61">
        <f t="shared" si="986"/>
        <v>0</v>
      </c>
      <c r="BB1560" s="62" t="str">
        <f t="shared" si="987"/>
        <v/>
      </c>
    </row>
    <row r="1561" spans="1:54" hidden="1" x14ac:dyDescent="0.35">
      <c r="A1561" s="73">
        <f t="shared" si="945"/>
        <v>2019</v>
      </c>
      <c r="B1561" s="73" t="str">
        <f t="shared" si="963"/>
        <v>Nov</v>
      </c>
      <c r="C1561" s="74">
        <f t="shared" si="964"/>
        <v>17</v>
      </c>
      <c r="D1561" s="75">
        <f t="shared" si="965"/>
        <v>15</v>
      </c>
      <c r="E1561" s="76">
        <f t="shared" si="946"/>
        <v>4</v>
      </c>
      <c r="F1561" s="80"/>
      <c r="G1561" s="83"/>
      <c r="H1561" s="69" t="str">
        <f t="shared" si="966"/>
        <v>Senbur6_20191117_15_00</v>
      </c>
      <c r="I1561" s="70">
        <f t="shared" ref="I1561:N1561" si="1088">I1560</f>
        <v>1</v>
      </c>
      <c r="J1561" s="77" t="str">
        <f t="shared" si="1088"/>
        <v>Senecio</v>
      </c>
      <c r="K1561" s="77" t="str">
        <f t="shared" si="1088"/>
        <v>burtoni</v>
      </c>
      <c r="L1561" s="78">
        <f t="shared" si="1088"/>
        <v>6</v>
      </c>
      <c r="M1561" s="78">
        <f t="shared" si="1088"/>
        <v>12</v>
      </c>
      <c r="N1561" s="72">
        <f t="shared" si="1088"/>
        <v>0</v>
      </c>
      <c r="O1561" s="45"/>
      <c r="P1561" s="46" t="str">
        <f t="shared" si="968"/>
        <v/>
      </c>
      <c r="Q1561" s="47" t="str">
        <f t="shared" si="969"/>
        <v/>
      </c>
      <c r="R1561" s="48" t="e">
        <f t="shared" si="970"/>
        <v>#VALUE!</v>
      </c>
      <c r="S1561" s="49" t="e">
        <f t="shared" si="971"/>
        <v>#VALUE!</v>
      </c>
      <c r="T1561" s="48" t="str">
        <f t="shared" si="972"/>
        <v/>
      </c>
      <c r="U1561" s="50"/>
      <c r="V1561" s="51"/>
      <c r="W1561" s="52" t="e">
        <f t="shared" si="973"/>
        <v>#VALUE!</v>
      </c>
      <c r="X1561" s="53"/>
      <c r="Y1561" s="53"/>
      <c r="Z1561" s="53"/>
      <c r="AA1561" s="48" t="e">
        <f>INDEX([1]!VISITORS[INSECT ORDER], MATCH(X1561,[1]!VISITORS[NAME USED],0))</f>
        <v>#REF!</v>
      </c>
      <c r="AB1561" s="48" t="e">
        <f t="shared" si="974"/>
        <v>#REF!</v>
      </c>
      <c r="AC1561" s="54" t="e">
        <f t="shared" si="975"/>
        <v>#VALUE!</v>
      </c>
      <c r="AD1561" s="55" t="str">
        <f t="shared" si="976"/>
        <v/>
      </c>
      <c r="AE1561" s="55"/>
      <c r="AF1561" s="55"/>
      <c r="AG1561" s="56" t="str">
        <f t="shared" si="977"/>
        <v/>
      </c>
      <c r="AH1561" s="57" t="str">
        <f t="shared" si="978"/>
        <v/>
      </c>
      <c r="AI1561" s="56"/>
      <c r="AJ1561" s="57" t="str">
        <f t="shared" si="979"/>
        <v/>
      </c>
      <c r="AK1561" s="56"/>
      <c r="AL1561" s="57" t="str">
        <f t="shared" si="980"/>
        <v/>
      </c>
      <c r="AM1561" s="56"/>
      <c r="AN1561" s="57" t="str">
        <f t="shared" si="981"/>
        <v/>
      </c>
      <c r="AO1561" s="56"/>
      <c r="AP1561" s="57" t="str">
        <f t="shared" si="982"/>
        <v/>
      </c>
      <c r="AQ1561" s="56"/>
      <c r="AR1561" s="57" t="str">
        <f t="shared" si="983"/>
        <v/>
      </c>
      <c r="AS1561" s="56"/>
      <c r="AT1561" s="57" t="str">
        <f t="shared" si="984"/>
        <v/>
      </c>
      <c r="AU1561" s="58"/>
      <c r="AV1561" s="59"/>
      <c r="AW1561" s="59"/>
      <c r="AX1561" s="60"/>
      <c r="AY1561" s="61" t="str">
        <f t="shared" si="990"/>
        <v/>
      </c>
      <c r="AZ1561" s="62" t="str">
        <f t="shared" si="985"/>
        <v/>
      </c>
      <c r="BA1561" s="61" t="str">
        <f t="shared" si="986"/>
        <v/>
      </c>
      <c r="BB1561" s="62" t="str">
        <f t="shared" si="987"/>
        <v/>
      </c>
    </row>
    <row r="1562" spans="1:54" hidden="1" x14ac:dyDescent="0.35">
      <c r="A1562" s="73">
        <f t="shared" si="945"/>
        <v>2019</v>
      </c>
      <c r="B1562" s="73" t="str">
        <f t="shared" si="963"/>
        <v>Nov</v>
      </c>
      <c r="C1562" s="74">
        <f t="shared" si="964"/>
        <v>17</v>
      </c>
      <c r="D1562" s="75">
        <f t="shared" si="965"/>
        <v>15</v>
      </c>
      <c r="E1562" s="76">
        <f t="shared" si="946"/>
        <v>5</v>
      </c>
      <c r="F1562" s="80">
        <v>14</v>
      </c>
      <c r="G1562" s="83"/>
      <c r="H1562" s="69" t="str">
        <f t="shared" si="966"/>
        <v>Senbur6_20191117_15_00</v>
      </c>
      <c r="I1562" s="70">
        <f t="shared" ref="I1562:N1562" si="1089">I1561</f>
        <v>1</v>
      </c>
      <c r="J1562" s="77" t="str">
        <f t="shared" si="1089"/>
        <v>Senecio</v>
      </c>
      <c r="K1562" s="77" t="str">
        <f t="shared" si="1089"/>
        <v>burtoni</v>
      </c>
      <c r="L1562" s="78">
        <f t="shared" si="1089"/>
        <v>6</v>
      </c>
      <c r="M1562" s="78">
        <f t="shared" si="1089"/>
        <v>12</v>
      </c>
      <c r="N1562" s="72">
        <f t="shared" si="1089"/>
        <v>0</v>
      </c>
      <c r="O1562" s="45"/>
      <c r="P1562" s="46">
        <f t="shared" si="968"/>
        <v>1</v>
      </c>
      <c r="Q1562" s="47" t="str">
        <f t="shared" si="969"/>
        <v>15:05:14</v>
      </c>
      <c r="R1562" s="48" t="str">
        <f t="shared" si="970"/>
        <v>05:14</v>
      </c>
      <c r="S1562" s="49">
        <f t="shared" si="971"/>
        <v>64</v>
      </c>
      <c r="T1562" s="48" t="str">
        <f t="shared" si="972"/>
        <v>15</v>
      </c>
      <c r="U1562" s="50">
        <v>6</v>
      </c>
      <c r="V1562" s="51">
        <v>18</v>
      </c>
      <c r="W1562" s="52" t="str">
        <f t="shared" si="973"/>
        <v>06:18</v>
      </c>
      <c r="X1562" s="53" t="s">
        <v>61</v>
      </c>
      <c r="Y1562" s="97" t="s">
        <v>84</v>
      </c>
      <c r="Z1562" s="97" t="s">
        <v>80</v>
      </c>
      <c r="AA1562" s="48" t="s">
        <v>60</v>
      </c>
      <c r="AB1562" s="48" t="str">
        <f t="shared" si="974"/>
        <v>NA</v>
      </c>
      <c r="AC1562" s="54">
        <f t="shared" si="975"/>
        <v>0</v>
      </c>
      <c r="AD1562" s="55">
        <v>2</v>
      </c>
      <c r="AE1562" s="55"/>
      <c r="AF1562" s="55"/>
      <c r="AG1562" s="56">
        <v>1</v>
      </c>
      <c r="AH1562" s="57">
        <v>4</v>
      </c>
      <c r="AI1562" s="56">
        <v>1</v>
      </c>
      <c r="AJ1562" s="57">
        <v>1</v>
      </c>
      <c r="AK1562" s="56">
        <v>1</v>
      </c>
      <c r="AL1562" s="57">
        <v>59</v>
      </c>
      <c r="AM1562" s="56"/>
      <c r="AN1562" s="57" t="str">
        <f t="shared" si="981"/>
        <v/>
      </c>
      <c r="AO1562" s="56"/>
      <c r="AP1562" s="57" t="str">
        <f t="shared" si="982"/>
        <v/>
      </c>
      <c r="AQ1562" s="56"/>
      <c r="AR1562" s="57" t="str">
        <f t="shared" si="983"/>
        <v/>
      </c>
      <c r="AS1562" s="56"/>
      <c r="AT1562" s="57" t="str">
        <f t="shared" si="984"/>
        <v/>
      </c>
      <c r="AU1562" s="58"/>
      <c r="AV1562" s="59"/>
      <c r="AW1562" s="59"/>
      <c r="AX1562" s="60"/>
      <c r="AY1562" s="61">
        <v>1</v>
      </c>
      <c r="AZ1562" s="62">
        <f t="shared" si="985"/>
        <v>2</v>
      </c>
      <c r="BA1562" s="61">
        <f t="shared" si="986"/>
        <v>0</v>
      </c>
      <c r="BB1562" s="62" t="str">
        <f t="shared" si="987"/>
        <v/>
      </c>
    </row>
    <row r="1563" spans="1:54" hidden="1" x14ac:dyDescent="0.35">
      <c r="A1563" s="73">
        <f t="shared" si="945"/>
        <v>2019</v>
      </c>
      <c r="B1563" s="73" t="str">
        <f t="shared" si="963"/>
        <v>Nov</v>
      </c>
      <c r="C1563" s="74">
        <f t="shared" si="964"/>
        <v>17</v>
      </c>
      <c r="D1563" s="75">
        <f t="shared" si="965"/>
        <v>15</v>
      </c>
      <c r="E1563" s="76">
        <v>5</v>
      </c>
      <c r="F1563" s="80">
        <v>25</v>
      </c>
      <c r="G1563" s="83"/>
      <c r="H1563" s="69" t="str">
        <f t="shared" si="966"/>
        <v>Senbur6_20191117_15_00</v>
      </c>
      <c r="I1563" s="70">
        <f t="shared" ref="I1563:N1563" si="1090">I1562</f>
        <v>1</v>
      </c>
      <c r="J1563" s="77" t="str">
        <f t="shared" si="1090"/>
        <v>Senecio</v>
      </c>
      <c r="K1563" s="77" t="str">
        <f t="shared" si="1090"/>
        <v>burtoni</v>
      </c>
      <c r="L1563" s="78">
        <f t="shared" si="1090"/>
        <v>6</v>
      </c>
      <c r="M1563" s="78">
        <f t="shared" si="1090"/>
        <v>12</v>
      </c>
      <c r="N1563" s="72">
        <f t="shared" si="1090"/>
        <v>0</v>
      </c>
      <c r="O1563" s="45"/>
      <c r="P1563" s="46">
        <f t="shared" si="968"/>
        <v>1</v>
      </c>
      <c r="Q1563" s="47" t="str">
        <f t="shared" si="969"/>
        <v>15:05:25</v>
      </c>
      <c r="R1563" s="48" t="str">
        <f t="shared" si="970"/>
        <v>05:25</v>
      </c>
      <c r="S1563" s="49">
        <f t="shared" si="971"/>
        <v>25</v>
      </c>
      <c r="T1563" s="48" t="str">
        <f t="shared" si="972"/>
        <v>15</v>
      </c>
      <c r="U1563" s="50">
        <v>5</v>
      </c>
      <c r="V1563" s="51">
        <v>50</v>
      </c>
      <c r="W1563" s="52" t="str">
        <f t="shared" si="973"/>
        <v>05:50</v>
      </c>
      <c r="X1563" s="53" t="s">
        <v>61</v>
      </c>
      <c r="Y1563" s="97" t="s">
        <v>78</v>
      </c>
      <c r="Z1563" s="97"/>
      <c r="AA1563" s="48" t="s">
        <v>60</v>
      </c>
      <c r="AB1563" s="48" t="str">
        <f t="shared" si="974"/>
        <v>NA</v>
      </c>
      <c r="AC1563" s="54">
        <f t="shared" si="975"/>
        <v>0</v>
      </c>
      <c r="AD1563" s="55">
        <f t="shared" si="976"/>
        <v>1</v>
      </c>
      <c r="AE1563" s="55"/>
      <c r="AF1563" s="55"/>
      <c r="AG1563" s="56" t="str">
        <f t="shared" si="977"/>
        <v/>
      </c>
      <c r="AH1563" s="57" t="str">
        <f t="shared" si="978"/>
        <v/>
      </c>
      <c r="AI1563" s="56"/>
      <c r="AJ1563" s="57" t="str">
        <f t="shared" si="979"/>
        <v/>
      </c>
      <c r="AK1563" s="56">
        <v>1</v>
      </c>
      <c r="AL1563" s="57">
        <f t="shared" si="980"/>
        <v>25</v>
      </c>
      <c r="AM1563" s="56"/>
      <c r="AN1563" s="57" t="str">
        <f t="shared" si="981"/>
        <v/>
      </c>
      <c r="AO1563" s="56"/>
      <c r="AP1563" s="57" t="str">
        <f t="shared" si="982"/>
        <v/>
      </c>
      <c r="AQ1563" s="56"/>
      <c r="AR1563" s="57" t="str">
        <f t="shared" si="983"/>
        <v/>
      </c>
      <c r="AS1563" s="56"/>
      <c r="AT1563" s="57" t="str">
        <f t="shared" si="984"/>
        <v/>
      </c>
      <c r="AU1563" s="58"/>
      <c r="AV1563" s="59"/>
      <c r="AW1563" s="59"/>
      <c r="AX1563" s="60"/>
      <c r="AY1563" s="61">
        <v>1</v>
      </c>
      <c r="AZ1563" s="62">
        <f t="shared" si="985"/>
        <v>1</v>
      </c>
      <c r="BA1563" s="61">
        <f t="shared" si="986"/>
        <v>0</v>
      </c>
      <c r="BB1563" s="62" t="str">
        <f t="shared" si="987"/>
        <v/>
      </c>
    </row>
    <row r="1564" spans="1:54" hidden="1" x14ac:dyDescent="0.35">
      <c r="A1564" s="73">
        <f t="shared" ref="A1564:A1628" si="1091">A1563</f>
        <v>2019</v>
      </c>
      <c r="B1564" s="73" t="str">
        <f t="shared" si="963"/>
        <v>Nov</v>
      </c>
      <c r="C1564" s="74">
        <f t="shared" si="964"/>
        <v>17</v>
      </c>
      <c r="D1564" s="75">
        <f t="shared" si="965"/>
        <v>15</v>
      </c>
      <c r="E1564" s="76">
        <f t="shared" ref="E1564:E1628" si="1092">IF(E1563&lt;59,E1563+1,0)</f>
        <v>6</v>
      </c>
      <c r="F1564" s="80"/>
      <c r="G1564" s="83"/>
      <c r="H1564" s="69" t="str">
        <f t="shared" si="966"/>
        <v>Senbur6_20191117_15_00</v>
      </c>
      <c r="I1564" s="70">
        <f t="shared" ref="I1564:N1564" si="1093">I1563</f>
        <v>1</v>
      </c>
      <c r="J1564" s="77" t="str">
        <f t="shared" si="1093"/>
        <v>Senecio</v>
      </c>
      <c r="K1564" s="77" t="str">
        <f t="shared" si="1093"/>
        <v>burtoni</v>
      </c>
      <c r="L1564" s="78">
        <f t="shared" si="1093"/>
        <v>6</v>
      </c>
      <c r="M1564" s="78">
        <f t="shared" si="1093"/>
        <v>12</v>
      </c>
      <c r="N1564" s="72">
        <f t="shared" si="1093"/>
        <v>0</v>
      </c>
      <c r="O1564" s="45"/>
      <c r="P1564" s="46" t="str">
        <f t="shared" si="968"/>
        <v/>
      </c>
      <c r="Q1564" s="47" t="str">
        <f t="shared" si="969"/>
        <v/>
      </c>
      <c r="R1564" s="48" t="e">
        <f t="shared" si="970"/>
        <v>#VALUE!</v>
      </c>
      <c r="S1564" s="49" t="e">
        <f t="shared" si="971"/>
        <v>#VALUE!</v>
      </c>
      <c r="T1564" s="48" t="str">
        <f t="shared" si="972"/>
        <v/>
      </c>
      <c r="U1564" s="50"/>
      <c r="V1564" s="51"/>
      <c r="W1564" s="52" t="e">
        <f t="shared" si="973"/>
        <v>#VALUE!</v>
      </c>
      <c r="X1564" s="53"/>
      <c r="Y1564" s="53"/>
      <c r="Z1564" s="53"/>
      <c r="AA1564" s="48" t="e">
        <f>INDEX([1]!VISITORS[INSECT ORDER], MATCH(X1564,[1]!VISITORS[NAME USED],0))</f>
        <v>#REF!</v>
      </c>
      <c r="AB1564" s="48" t="e">
        <f t="shared" si="974"/>
        <v>#REF!</v>
      </c>
      <c r="AC1564" s="54" t="e">
        <f t="shared" si="975"/>
        <v>#VALUE!</v>
      </c>
      <c r="AD1564" s="55" t="str">
        <f t="shared" si="976"/>
        <v/>
      </c>
      <c r="AE1564" s="55"/>
      <c r="AF1564" s="55"/>
      <c r="AG1564" s="56" t="str">
        <f t="shared" si="977"/>
        <v/>
      </c>
      <c r="AH1564" s="57" t="str">
        <f t="shared" si="978"/>
        <v/>
      </c>
      <c r="AI1564" s="56"/>
      <c r="AJ1564" s="57" t="str">
        <f t="shared" si="979"/>
        <v/>
      </c>
      <c r="AK1564" s="56"/>
      <c r="AL1564" s="57" t="str">
        <f t="shared" si="980"/>
        <v/>
      </c>
      <c r="AM1564" s="56"/>
      <c r="AN1564" s="57" t="str">
        <f t="shared" si="981"/>
        <v/>
      </c>
      <c r="AO1564" s="56"/>
      <c r="AP1564" s="57" t="str">
        <f t="shared" si="982"/>
        <v/>
      </c>
      <c r="AQ1564" s="56"/>
      <c r="AR1564" s="57" t="str">
        <f t="shared" si="983"/>
        <v/>
      </c>
      <c r="AS1564" s="56"/>
      <c r="AT1564" s="57" t="str">
        <f t="shared" si="984"/>
        <v/>
      </c>
      <c r="AU1564" s="58"/>
      <c r="AV1564" s="59"/>
      <c r="AW1564" s="59"/>
      <c r="AX1564" s="60"/>
      <c r="AY1564" s="61" t="str">
        <f t="shared" si="990"/>
        <v/>
      </c>
      <c r="AZ1564" s="62" t="str">
        <f t="shared" si="985"/>
        <v/>
      </c>
      <c r="BA1564" s="61" t="str">
        <f t="shared" si="986"/>
        <v/>
      </c>
      <c r="BB1564" s="62" t="str">
        <f t="shared" si="987"/>
        <v/>
      </c>
    </row>
    <row r="1565" spans="1:54" hidden="1" x14ac:dyDescent="0.35">
      <c r="A1565" s="73">
        <f t="shared" si="1091"/>
        <v>2019</v>
      </c>
      <c r="B1565" s="73" t="str">
        <f t="shared" si="963"/>
        <v>Nov</v>
      </c>
      <c r="C1565" s="74">
        <f t="shared" si="964"/>
        <v>17</v>
      </c>
      <c r="D1565" s="75">
        <f t="shared" si="965"/>
        <v>15</v>
      </c>
      <c r="E1565" s="76">
        <f t="shared" si="1092"/>
        <v>7</v>
      </c>
      <c r="F1565" s="80">
        <v>49</v>
      </c>
      <c r="G1565" s="83"/>
      <c r="H1565" s="69" t="str">
        <f t="shared" si="966"/>
        <v>Senbur6_20191117_15_00</v>
      </c>
      <c r="I1565" s="70">
        <f t="shared" ref="I1565:N1565" si="1094">I1564</f>
        <v>1</v>
      </c>
      <c r="J1565" s="77" t="str">
        <f t="shared" si="1094"/>
        <v>Senecio</v>
      </c>
      <c r="K1565" s="77" t="str">
        <f t="shared" si="1094"/>
        <v>burtoni</v>
      </c>
      <c r="L1565" s="78">
        <f t="shared" si="1094"/>
        <v>6</v>
      </c>
      <c r="M1565" s="78">
        <f t="shared" si="1094"/>
        <v>12</v>
      </c>
      <c r="N1565" s="72">
        <f t="shared" si="1094"/>
        <v>0</v>
      </c>
      <c r="O1565" s="45"/>
      <c r="P1565" s="46">
        <f t="shared" si="968"/>
        <v>1</v>
      </c>
      <c r="Q1565" s="47" t="str">
        <f t="shared" si="969"/>
        <v>15:07:49</v>
      </c>
      <c r="R1565" s="48" t="str">
        <f t="shared" si="970"/>
        <v>07:49</v>
      </c>
      <c r="S1565" s="49">
        <f t="shared" si="971"/>
        <v>49</v>
      </c>
      <c r="T1565" s="48" t="str">
        <f t="shared" si="972"/>
        <v>15</v>
      </c>
      <c r="U1565" s="50">
        <v>8</v>
      </c>
      <c r="V1565" s="51">
        <v>38</v>
      </c>
      <c r="W1565" s="52" t="str">
        <f t="shared" si="973"/>
        <v>08:38</v>
      </c>
      <c r="X1565" s="53" t="s">
        <v>61</v>
      </c>
      <c r="Y1565" s="97" t="s">
        <v>84</v>
      </c>
      <c r="Z1565" s="97" t="s">
        <v>80</v>
      </c>
      <c r="AA1565" s="48" t="s">
        <v>60</v>
      </c>
      <c r="AB1565" s="48" t="str">
        <f t="shared" si="974"/>
        <v>NA</v>
      </c>
      <c r="AC1565" s="54">
        <f t="shared" si="975"/>
        <v>0</v>
      </c>
      <c r="AD1565" s="55">
        <v>3</v>
      </c>
      <c r="AE1565" s="55"/>
      <c r="AF1565" s="55"/>
      <c r="AG1565" s="56">
        <v>1</v>
      </c>
      <c r="AH1565" s="57">
        <v>6</v>
      </c>
      <c r="AI1565" s="56">
        <v>1</v>
      </c>
      <c r="AJ1565" s="57">
        <v>2</v>
      </c>
      <c r="AK1565" s="56">
        <v>1</v>
      </c>
      <c r="AL1565" s="57">
        <v>41</v>
      </c>
      <c r="AM1565" s="56"/>
      <c r="AN1565" s="57" t="str">
        <f t="shared" si="981"/>
        <v/>
      </c>
      <c r="AO1565" s="56"/>
      <c r="AP1565" s="57" t="str">
        <f t="shared" si="982"/>
        <v/>
      </c>
      <c r="AQ1565" s="56"/>
      <c r="AR1565" s="57" t="str">
        <f t="shared" si="983"/>
        <v/>
      </c>
      <c r="AS1565" s="56"/>
      <c r="AT1565" s="57" t="str">
        <f t="shared" si="984"/>
        <v/>
      </c>
      <c r="AU1565" s="58"/>
      <c r="AV1565" s="59"/>
      <c r="AW1565" s="59"/>
      <c r="AX1565" s="60"/>
      <c r="AY1565" s="61">
        <v>1</v>
      </c>
      <c r="AZ1565" s="62">
        <f t="shared" si="985"/>
        <v>3</v>
      </c>
      <c r="BA1565" s="61">
        <f t="shared" si="986"/>
        <v>0</v>
      </c>
      <c r="BB1565" s="62" t="str">
        <f t="shared" si="987"/>
        <v/>
      </c>
    </row>
    <row r="1566" spans="1:54" hidden="1" x14ac:dyDescent="0.35">
      <c r="A1566" s="73">
        <f t="shared" si="1091"/>
        <v>2019</v>
      </c>
      <c r="B1566" s="73" t="str">
        <f t="shared" si="963"/>
        <v>Nov</v>
      </c>
      <c r="C1566" s="74">
        <f t="shared" si="964"/>
        <v>17</v>
      </c>
      <c r="D1566" s="75">
        <f t="shared" si="965"/>
        <v>15</v>
      </c>
      <c r="E1566" s="76">
        <f t="shared" si="1092"/>
        <v>8</v>
      </c>
      <c r="F1566" s="80">
        <v>39</v>
      </c>
      <c r="G1566" s="83"/>
      <c r="H1566" s="69" t="str">
        <f t="shared" si="966"/>
        <v>Senbur6_20191117_15_00</v>
      </c>
      <c r="I1566" s="70">
        <f t="shared" ref="I1566:N1566" si="1095">I1565</f>
        <v>1</v>
      </c>
      <c r="J1566" s="77" t="str">
        <f t="shared" si="1095"/>
        <v>Senecio</v>
      </c>
      <c r="K1566" s="77" t="str">
        <f t="shared" si="1095"/>
        <v>burtoni</v>
      </c>
      <c r="L1566" s="78">
        <f t="shared" si="1095"/>
        <v>6</v>
      </c>
      <c r="M1566" s="78">
        <f t="shared" si="1095"/>
        <v>12</v>
      </c>
      <c r="N1566" s="72">
        <f t="shared" si="1095"/>
        <v>0</v>
      </c>
      <c r="O1566" s="45"/>
      <c r="P1566" s="46">
        <f t="shared" si="968"/>
        <v>1</v>
      </c>
      <c r="Q1566" s="47" t="str">
        <f t="shared" si="969"/>
        <v>15:08:39</v>
      </c>
      <c r="R1566" s="48" t="str">
        <f t="shared" si="970"/>
        <v>08:39</v>
      </c>
      <c r="S1566" s="49">
        <f t="shared" si="971"/>
        <v>19</v>
      </c>
      <c r="T1566" s="48" t="str">
        <f t="shared" si="972"/>
        <v>15</v>
      </c>
      <c r="U1566" s="50">
        <v>8</v>
      </c>
      <c r="V1566" s="51">
        <v>58</v>
      </c>
      <c r="W1566" s="52" t="str">
        <f t="shared" si="973"/>
        <v>08:58</v>
      </c>
      <c r="X1566" s="53" t="s">
        <v>61</v>
      </c>
      <c r="Y1566" s="97" t="s">
        <v>84</v>
      </c>
      <c r="Z1566" s="97" t="s">
        <v>80</v>
      </c>
      <c r="AA1566" s="48" t="s">
        <v>60</v>
      </c>
      <c r="AB1566" s="48" t="str">
        <f t="shared" si="974"/>
        <v>NA</v>
      </c>
      <c r="AC1566" s="54">
        <f t="shared" si="975"/>
        <v>0</v>
      </c>
      <c r="AD1566" s="55">
        <v>3</v>
      </c>
      <c r="AE1566" s="55"/>
      <c r="AF1566" s="55"/>
      <c r="AG1566" s="56">
        <v>1</v>
      </c>
      <c r="AH1566" s="57">
        <v>2</v>
      </c>
      <c r="AI1566" s="56">
        <v>1</v>
      </c>
      <c r="AJ1566" s="57">
        <v>2</v>
      </c>
      <c r="AK1566" s="56">
        <v>1</v>
      </c>
      <c r="AL1566" s="57">
        <v>15</v>
      </c>
      <c r="AM1566" s="56"/>
      <c r="AN1566" s="57" t="str">
        <f t="shared" si="981"/>
        <v/>
      </c>
      <c r="AO1566" s="56"/>
      <c r="AP1566" s="57" t="str">
        <f t="shared" si="982"/>
        <v/>
      </c>
      <c r="AQ1566" s="56"/>
      <c r="AR1566" s="57" t="str">
        <f t="shared" si="983"/>
        <v/>
      </c>
      <c r="AS1566" s="56"/>
      <c r="AT1566" s="57" t="str">
        <f t="shared" si="984"/>
        <v/>
      </c>
      <c r="AU1566" s="58"/>
      <c r="AV1566" s="59"/>
      <c r="AW1566" s="59"/>
      <c r="AX1566" s="60"/>
      <c r="AY1566" s="61">
        <v>1</v>
      </c>
      <c r="AZ1566" s="62">
        <f t="shared" si="985"/>
        <v>3</v>
      </c>
      <c r="BA1566" s="61">
        <f t="shared" si="986"/>
        <v>0</v>
      </c>
      <c r="BB1566" s="62" t="str">
        <f t="shared" si="987"/>
        <v/>
      </c>
    </row>
    <row r="1567" spans="1:54" hidden="1" x14ac:dyDescent="0.35">
      <c r="A1567" s="73">
        <f t="shared" si="1091"/>
        <v>2019</v>
      </c>
      <c r="B1567" s="73" t="str">
        <f t="shared" si="963"/>
        <v>Nov</v>
      </c>
      <c r="C1567" s="74">
        <f t="shared" si="964"/>
        <v>17</v>
      </c>
      <c r="D1567" s="75">
        <f t="shared" si="965"/>
        <v>15</v>
      </c>
      <c r="E1567" s="76">
        <f t="shared" si="1092"/>
        <v>9</v>
      </c>
      <c r="F1567" s="80">
        <v>54</v>
      </c>
      <c r="G1567" s="83"/>
      <c r="H1567" s="69" t="str">
        <f t="shared" si="966"/>
        <v>Senbur6_20191117_15_00</v>
      </c>
      <c r="I1567" s="70">
        <f t="shared" ref="I1567:N1567" si="1096">I1566</f>
        <v>1</v>
      </c>
      <c r="J1567" s="77" t="str">
        <f t="shared" si="1096"/>
        <v>Senecio</v>
      </c>
      <c r="K1567" s="77" t="str">
        <f t="shared" si="1096"/>
        <v>burtoni</v>
      </c>
      <c r="L1567" s="78">
        <f t="shared" si="1096"/>
        <v>6</v>
      </c>
      <c r="M1567" s="78">
        <f t="shared" si="1096"/>
        <v>12</v>
      </c>
      <c r="N1567" s="72">
        <f t="shared" si="1096"/>
        <v>0</v>
      </c>
      <c r="O1567" s="45"/>
      <c r="P1567" s="46">
        <f t="shared" si="968"/>
        <v>1</v>
      </c>
      <c r="Q1567" s="47" t="str">
        <f t="shared" si="969"/>
        <v>15:09:54</v>
      </c>
      <c r="R1567" s="48" t="str">
        <f t="shared" si="970"/>
        <v>09:54</v>
      </c>
      <c r="S1567" s="49">
        <f t="shared" si="971"/>
        <v>10</v>
      </c>
      <c r="T1567" s="48" t="str">
        <f t="shared" si="972"/>
        <v>15</v>
      </c>
      <c r="U1567" s="50">
        <v>10</v>
      </c>
      <c r="V1567" s="51">
        <v>4</v>
      </c>
      <c r="W1567" s="52" t="str">
        <f t="shared" si="973"/>
        <v>10:04</v>
      </c>
      <c r="X1567" s="53" t="s">
        <v>61</v>
      </c>
      <c r="Y1567" s="97" t="s">
        <v>84</v>
      </c>
      <c r="Z1567" s="97" t="s">
        <v>80</v>
      </c>
      <c r="AA1567" s="48" t="s">
        <v>60</v>
      </c>
      <c r="AB1567" s="48" t="str">
        <f t="shared" si="974"/>
        <v>NA</v>
      </c>
      <c r="AC1567" s="54">
        <f t="shared" si="975"/>
        <v>0</v>
      </c>
      <c r="AD1567" s="55">
        <f t="shared" si="976"/>
        <v>1</v>
      </c>
      <c r="AE1567" s="55"/>
      <c r="AF1567" s="55"/>
      <c r="AG1567" s="56" t="str">
        <f t="shared" si="977"/>
        <v/>
      </c>
      <c r="AH1567" s="57" t="str">
        <f t="shared" si="978"/>
        <v/>
      </c>
      <c r="AI1567" s="56"/>
      <c r="AJ1567" s="57" t="str">
        <f t="shared" si="979"/>
        <v/>
      </c>
      <c r="AK1567" s="56">
        <v>1</v>
      </c>
      <c r="AL1567" s="57">
        <f t="shared" si="980"/>
        <v>10</v>
      </c>
      <c r="AM1567" s="56"/>
      <c r="AN1567" s="57" t="str">
        <f t="shared" si="981"/>
        <v/>
      </c>
      <c r="AO1567" s="56"/>
      <c r="AP1567" s="57" t="str">
        <f t="shared" si="982"/>
        <v/>
      </c>
      <c r="AQ1567" s="56"/>
      <c r="AR1567" s="57" t="str">
        <f t="shared" si="983"/>
        <v/>
      </c>
      <c r="AS1567" s="56"/>
      <c r="AT1567" s="57" t="str">
        <f t="shared" si="984"/>
        <v/>
      </c>
      <c r="AU1567" s="58"/>
      <c r="AV1567" s="59"/>
      <c r="AW1567" s="59"/>
      <c r="AX1567" s="60"/>
      <c r="AY1567" s="61">
        <v>1</v>
      </c>
      <c r="AZ1567" s="62">
        <f t="shared" si="985"/>
        <v>1</v>
      </c>
      <c r="BA1567" s="61">
        <f t="shared" si="986"/>
        <v>0</v>
      </c>
      <c r="BB1567" s="62" t="str">
        <f t="shared" si="987"/>
        <v/>
      </c>
    </row>
    <row r="1568" spans="1:54" hidden="1" x14ac:dyDescent="0.35">
      <c r="A1568" s="73">
        <f t="shared" si="1091"/>
        <v>2019</v>
      </c>
      <c r="B1568" s="73" t="str">
        <f t="shared" si="963"/>
        <v>Nov</v>
      </c>
      <c r="C1568" s="74">
        <f t="shared" si="964"/>
        <v>17</v>
      </c>
      <c r="D1568" s="75">
        <f t="shared" si="965"/>
        <v>15</v>
      </c>
      <c r="E1568" s="76">
        <v>9</v>
      </c>
      <c r="F1568" s="80">
        <v>55</v>
      </c>
      <c r="G1568" s="83"/>
      <c r="H1568" s="69" t="str">
        <f t="shared" si="966"/>
        <v>Senbur6_20191117_15_00</v>
      </c>
      <c r="I1568" s="70">
        <f t="shared" ref="I1568:N1568" si="1097">I1567</f>
        <v>1</v>
      </c>
      <c r="J1568" s="77" t="str">
        <f t="shared" si="1097"/>
        <v>Senecio</v>
      </c>
      <c r="K1568" s="77" t="str">
        <f t="shared" si="1097"/>
        <v>burtoni</v>
      </c>
      <c r="L1568" s="78">
        <f t="shared" si="1097"/>
        <v>6</v>
      </c>
      <c r="M1568" s="78">
        <f t="shared" si="1097"/>
        <v>12</v>
      </c>
      <c r="N1568" s="72">
        <f t="shared" si="1097"/>
        <v>0</v>
      </c>
      <c r="O1568" s="45"/>
      <c r="P1568" s="46">
        <f t="shared" si="968"/>
        <v>1</v>
      </c>
      <c r="Q1568" s="47" t="str">
        <f t="shared" si="969"/>
        <v>15:09:55</v>
      </c>
      <c r="R1568" s="48" t="str">
        <f t="shared" si="970"/>
        <v>09:55</v>
      </c>
      <c r="S1568" s="49">
        <f t="shared" si="971"/>
        <v>13</v>
      </c>
      <c r="T1568" s="48" t="str">
        <f t="shared" si="972"/>
        <v>15</v>
      </c>
      <c r="U1568" s="50">
        <v>10</v>
      </c>
      <c r="V1568" s="51">
        <v>8</v>
      </c>
      <c r="W1568" s="52" t="str">
        <f t="shared" si="973"/>
        <v>10:08</v>
      </c>
      <c r="X1568" s="53" t="s">
        <v>61</v>
      </c>
      <c r="Y1568" s="97" t="s">
        <v>96</v>
      </c>
      <c r="Z1568" s="97" t="s">
        <v>80</v>
      </c>
      <c r="AA1568" s="48" t="s">
        <v>60</v>
      </c>
      <c r="AB1568" s="48" t="str">
        <f t="shared" si="974"/>
        <v>NA</v>
      </c>
      <c r="AC1568" s="54">
        <f t="shared" si="975"/>
        <v>0</v>
      </c>
      <c r="AD1568" s="55">
        <v>2</v>
      </c>
      <c r="AE1568" s="55"/>
      <c r="AF1568" s="55"/>
      <c r="AG1568" s="56">
        <v>1</v>
      </c>
      <c r="AH1568" s="57">
        <v>3</v>
      </c>
      <c r="AI1568" s="56"/>
      <c r="AJ1568" s="57" t="str">
        <f t="shared" si="979"/>
        <v/>
      </c>
      <c r="AK1568" s="56">
        <v>1</v>
      </c>
      <c r="AL1568" s="57">
        <v>10</v>
      </c>
      <c r="AM1568" s="56"/>
      <c r="AN1568" s="57" t="str">
        <f t="shared" si="981"/>
        <v/>
      </c>
      <c r="AO1568" s="56"/>
      <c r="AP1568" s="57" t="str">
        <f t="shared" si="982"/>
        <v/>
      </c>
      <c r="AQ1568" s="56"/>
      <c r="AR1568" s="57" t="str">
        <f t="shared" si="983"/>
        <v/>
      </c>
      <c r="AS1568" s="56"/>
      <c r="AT1568" s="57" t="str">
        <f t="shared" si="984"/>
        <v/>
      </c>
      <c r="AU1568" s="58"/>
      <c r="AV1568" s="59"/>
      <c r="AW1568" s="59"/>
      <c r="AX1568" s="60"/>
      <c r="AY1568" s="61">
        <v>1</v>
      </c>
      <c r="AZ1568" s="62">
        <f t="shared" si="985"/>
        <v>2</v>
      </c>
      <c r="BA1568" s="61">
        <f t="shared" si="986"/>
        <v>0</v>
      </c>
      <c r="BB1568" s="62" t="str">
        <f t="shared" si="987"/>
        <v/>
      </c>
    </row>
    <row r="1569" spans="1:54" hidden="1" x14ac:dyDescent="0.35">
      <c r="A1569" s="73">
        <f t="shared" si="1091"/>
        <v>2019</v>
      </c>
      <c r="B1569" s="73" t="str">
        <f t="shared" si="963"/>
        <v>Nov</v>
      </c>
      <c r="C1569" s="74">
        <f t="shared" si="964"/>
        <v>17</v>
      </c>
      <c r="D1569" s="75">
        <f t="shared" si="965"/>
        <v>15</v>
      </c>
      <c r="E1569" s="76">
        <f t="shared" si="1092"/>
        <v>10</v>
      </c>
      <c r="F1569" s="80"/>
      <c r="G1569" s="83"/>
      <c r="H1569" s="69" t="str">
        <f t="shared" si="966"/>
        <v>Senbur6_20191117_15_00</v>
      </c>
      <c r="I1569" s="70">
        <f t="shared" ref="I1569:N1569" si="1098">I1568</f>
        <v>1</v>
      </c>
      <c r="J1569" s="77" t="str">
        <f t="shared" si="1098"/>
        <v>Senecio</v>
      </c>
      <c r="K1569" s="77" t="str">
        <f t="shared" si="1098"/>
        <v>burtoni</v>
      </c>
      <c r="L1569" s="78">
        <f t="shared" si="1098"/>
        <v>6</v>
      </c>
      <c r="M1569" s="78">
        <f t="shared" si="1098"/>
        <v>12</v>
      </c>
      <c r="N1569" s="72">
        <f t="shared" si="1098"/>
        <v>0</v>
      </c>
      <c r="O1569" s="45"/>
      <c r="P1569" s="46" t="str">
        <f t="shared" si="968"/>
        <v/>
      </c>
      <c r="Q1569" s="47" t="str">
        <f t="shared" si="969"/>
        <v/>
      </c>
      <c r="R1569" s="48" t="e">
        <f t="shared" si="970"/>
        <v>#VALUE!</v>
      </c>
      <c r="S1569" s="49" t="e">
        <f t="shared" si="971"/>
        <v>#VALUE!</v>
      </c>
      <c r="T1569" s="48" t="str">
        <f t="shared" si="972"/>
        <v/>
      </c>
      <c r="U1569" s="50"/>
      <c r="V1569" s="51"/>
      <c r="W1569" s="52" t="e">
        <f t="shared" si="973"/>
        <v>#VALUE!</v>
      </c>
      <c r="X1569" s="53"/>
      <c r="Y1569" s="53"/>
      <c r="Z1569" s="53"/>
      <c r="AA1569" s="48" t="e">
        <f>INDEX([1]!VISITORS[INSECT ORDER], MATCH(X1569,[1]!VISITORS[NAME USED],0))</f>
        <v>#REF!</v>
      </c>
      <c r="AB1569" s="48" t="e">
        <f t="shared" si="974"/>
        <v>#REF!</v>
      </c>
      <c r="AC1569" s="54" t="e">
        <f t="shared" si="975"/>
        <v>#VALUE!</v>
      </c>
      <c r="AD1569" s="55" t="str">
        <f t="shared" si="976"/>
        <v/>
      </c>
      <c r="AE1569" s="55"/>
      <c r="AF1569" s="55"/>
      <c r="AG1569" s="56" t="str">
        <f t="shared" si="977"/>
        <v/>
      </c>
      <c r="AH1569" s="57" t="str">
        <f t="shared" si="978"/>
        <v/>
      </c>
      <c r="AI1569" s="56"/>
      <c r="AJ1569" s="57" t="str">
        <f t="shared" si="979"/>
        <v/>
      </c>
      <c r="AK1569" s="56"/>
      <c r="AL1569" s="57" t="str">
        <f t="shared" si="980"/>
        <v/>
      </c>
      <c r="AM1569" s="56"/>
      <c r="AN1569" s="57" t="str">
        <f t="shared" si="981"/>
        <v/>
      </c>
      <c r="AO1569" s="56"/>
      <c r="AP1569" s="57" t="str">
        <f t="shared" si="982"/>
        <v/>
      </c>
      <c r="AQ1569" s="56"/>
      <c r="AR1569" s="57" t="str">
        <f t="shared" si="983"/>
        <v/>
      </c>
      <c r="AS1569" s="56"/>
      <c r="AT1569" s="57" t="str">
        <f t="shared" si="984"/>
        <v/>
      </c>
      <c r="AU1569" s="58"/>
      <c r="AV1569" s="59"/>
      <c r="AW1569" s="59"/>
      <c r="AX1569" s="60"/>
      <c r="AY1569" s="61" t="str">
        <f t="shared" si="990"/>
        <v/>
      </c>
      <c r="AZ1569" s="62" t="str">
        <f t="shared" si="985"/>
        <v/>
      </c>
      <c r="BA1569" s="61" t="str">
        <f t="shared" si="986"/>
        <v/>
      </c>
      <c r="BB1569" s="62" t="str">
        <f t="shared" si="987"/>
        <v/>
      </c>
    </row>
    <row r="1570" spans="1:54" hidden="1" x14ac:dyDescent="0.35">
      <c r="A1570" s="73">
        <f t="shared" si="1091"/>
        <v>2019</v>
      </c>
      <c r="B1570" s="73" t="str">
        <f t="shared" si="963"/>
        <v>Nov</v>
      </c>
      <c r="C1570" s="74">
        <f t="shared" si="964"/>
        <v>17</v>
      </c>
      <c r="D1570" s="75">
        <f t="shared" si="965"/>
        <v>15</v>
      </c>
      <c r="E1570" s="76">
        <f t="shared" si="1092"/>
        <v>11</v>
      </c>
      <c r="F1570" s="80"/>
      <c r="G1570" s="83"/>
      <c r="H1570" s="69" t="str">
        <f t="shared" si="966"/>
        <v>Senbur6_20191117_15_00</v>
      </c>
      <c r="I1570" s="70">
        <f t="shared" ref="I1570:N1570" si="1099">I1569</f>
        <v>1</v>
      </c>
      <c r="J1570" s="77" t="str">
        <f t="shared" si="1099"/>
        <v>Senecio</v>
      </c>
      <c r="K1570" s="77" t="str">
        <f t="shared" si="1099"/>
        <v>burtoni</v>
      </c>
      <c r="L1570" s="78">
        <f t="shared" si="1099"/>
        <v>6</v>
      </c>
      <c r="M1570" s="78">
        <f t="shared" si="1099"/>
        <v>12</v>
      </c>
      <c r="N1570" s="72">
        <f t="shared" si="1099"/>
        <v>0</v>
      </c>
      <c r="O1570" s="45"/>
      <c r="P1570" s="46" t="str">
        <f t="shared" si="968"/>
        <v/>
      </c>
      <c r="Q1570" s="47" t="str">
        <f t="shared" si="969"/>
        <v/>
      </c>
      <c r="R1570" s="48" t="e">
        <f t="shared" si="970"/>
        <v>#VALUE!</v>
      </c>
      <c r="S1570" s="49" t="e">
        <f t="shared" si="971"/>
        <v>#VALUE!</v>
      </c>
      <c r="T1570" s="48" t="str">
        <f t="shared" si="972"/>
        <v/>
      </c>
      <c r="U1570" s="50"/>
      <c r="V1570" s="51"/>
      <c r="W1570" s="52" t="e">
        <f t="shared" si="973"/>
        <v>#VALUE!</v>
      </c>
      <c r="X1570" s="53"/>
      <c r="Y1570" s="53"/>
      <c r="Z1570" s="53"/>
      <c r="AA1570" s="48" t="e">
        <f>INDEX([1]!VISITORS[INSECT ORDER], MATCH(X1570,[1]!VISITORS[NAME USED],0))</f>
        <v>#REF!</v>
      </c>
      <c r="AB1570" s="48" t="e">
        <f t="shared" si="974"/>
        <v>#REF!</v>
      </c>
      <c r="AC1570" s="54" t="e">
        <f t="shared" si="975"/>
        <v>#VALUE!</v>
      </c>
      <c r="AD1570" s="55" t="str">
        <f t="shared" si="976"/>
        <v/>
      </c>
      <c r="AE1570" s="55"/>
      <c r="AF1570" s="55"/>
      <c r="AG1570" s="56" t="str">
        <f t="shared" si="977"/>
        <v/>
      </c>
      <c r="AH1570" s="57" t="str">
        <f t="shared" si="978"/>
        <v/>
      </c>
      <c r="AI1570" s="56"/>
      <c r="AJ1570" s="57" t="str">
        <f t="shared" si="979"/>
        <v/>
      </c>
      <c r="AK1570" s="56"/>
      <c r="AL1570" s="57" t="str">
        <f t="shared" si="980"/>
        <v/>
      </c>
      <c r="AM1570" s="56"/>
      <c r="AN1570" s="57" t="str">
        <f t="shared" si="981"/>
        <v/>
      </c>
      <c r="AO1570" s="56"/>
      <c r="AP1570" s="57" t="str">
        <f t="shared" si="982"/>
        <v/>
      </c>
      <c r="AQ1570" s="56"/>
      <c r="AR1570" s="57" t="str">
        <f t="shared" si="983"/>
        <v/>
      </c>
      <c r="AS1570" s="56"/>
      <c r="AT1570" s="57" t="str">
        <f t="shared" si="984"/>
        <v/>
      </c>
      <c r="AU1570" s="58"/>
      <c r="AV1570" s="59"/>
      <c r="AW1570" s="59"/>
      <c r="AX1570" s="60"/>
      <c r="AY1570" s="61" t="str">
        <f t="shared" si="990"/>
        <v/>
      </c>
      <c r="AZ1570" s="62" t="str">
        <f t="shared" si="985"/>
        <v/>
      </c>
      <c r="BA1570" s="61" t="str">
        <f t="shared" si="986"/>
        <v/>
      </c>
      <c r="BB1570" s="62" t="str">
        <f t="shared" si="987"/>
        <v/>
      </c>
    </row>
    <row r="1571" spans="1:54" hidden="1" x14ac:dyDescent="0.35">
      <c r="A1571" s="73">
        <f t="shared" si="1091"/>
        <v>2019</v>
      </c>
      <c r="B1571" s="73" t="str">
        <f t="shared" si="963"/>
        <v>Nov</v>
      </c>
      <c r="C1571" s="74">
        <f t="shared" si="964"/>
        <v>17</v>
      </c>
      <c r="D1571" s="75">
        <f t="shared" si="965"/>
        <v>15</v>
      </c>
      <c r="E1571" s="76">
        <f t="shared" si="1092"/>
        <v>12</v>
      </c>
      <c r="F1571" s="80">
        <v>17</v>
      </c>
      <c r="G1571" s="83"/>
      <c r="H1571" s="69" t="str">
        <f t="shared" si="966"/>
        <v>Senbur6_20191117_15_00</v>
      </c>
      <c r="I1571" s="70">
        <f t="shared" ref="I1571:N1571" si="1100">I1570</f>
        <v>1</v>
      </c>
      <c r="J1571" s="77" t="str">
        <f t="shared" si="1100"/>
        <v>Senecio</v>
      </c>
      <c r="K1571" s="77" t="str">
        <f t="shared" si="1100"/>
        <v>burtoni</v>
      </c>
      <c r="L1571" s="78">
        <f t="shared" si="1100"/>
        <v>6</v>
      </c>
      <c r="M1571" s="78">
        <f t="shared" si="1100"/>
        <v>12</v>
      </c>
      <c r="N1571" s="72">
        <f t="shared" si="1100"/>
        <v>0</v>
      </c>
      <c r="O1571" s="45"/>
      <c r="P1571" s="46">
        <f t="shared" si="968"/>
        <v>1</v>
      </c>
      <c r="Q1571" s="47" t="str">
        <f t="shared" si="969"/>
        <v>15:12:17</v>
      </c>
      <c r="R1571" s="48" t="str">
        <f t="shared" si="970"/>
        <v>12:17</v>
      </c>
      <c r="S1571" s="49">
        <f t="shared" si="971"/>
        <v>80</v>
      </c>
      <c r="T1571" s="48" t="str">
        <f t="shared" si="972"/>
        <v>15</v>
      </c>
      <c r="U1571" s="50">
        <v>13</v>
      </c>
      <c r="V1571" s="51">
        <v>37</v>
      </c>
      <c r="W1571" s="52" t="str">
        <f t="shared" si="973"/>
        <v>13:37</v>
      </c>
      <c r="X1571" s="53" t="s">
        <v>73</v>
      </c>
      <c r="Y1571" s="97" t="s">
        <v>90</v>
      </c>
      <c r="Z1571" s="97"/>
      <c r="AA1571" s="48" t="s">
        <v>63</v>
      </c>
      <c r="AB1571" s="48" t="str">
        <f t="shared" si="974"/>
        <v>NA</v>
      </c>
      <c r="AC1571" s="54">
        <f t="shared" si="975"/>
        <v>0</v>
      </c>
      <c r="AD1571" s="55">
        <v>3</v>
      </c>
      <c r="AE1571" s="55"/>
      <c r="AF1571" s="55"/>
      <c r="AG1571" s="56">
        <v>1</v>
      </c>
      <c r="AH1571" s="57">
        <v>4</v>
      </c>
      <c r="AI1571" s="56">
        <v>1</v>
      </c>
      <c r="AJ1571" s="57">
        <v>2</v>
      </c>
      <c r="AK1571" s="56">
        <v>1</v>
      </c>
      <c r="AL1571" s="57">
        <v>74</v>
      </c>
      <c r="AM1571" s="56"/>
      <c r="AN1571" s="57" t="str">
        <f t="shared" si="981"/>
        <v/>
      </c>
      <c r="AO1571" s="56"/>
      <c r="AP1571" s="57" t="str">
        <f t="shared" si="982"/>
        <v/>
      </c>
      <c r="AQ1571" s="56"/>
      <c r="AR1571" s="57" t="str">
        <f t="shared" si="983"/>
        <v/>
      </c>
      <c r="AS1571" s="56"/>
      <c r="AT1571" s="57" t="str">
        <f t="shared" si="984"/>
        <v/>
      </c>
      <c r="AU1571" s="58"/>
      <c r="AV1571" s="59"/>
      <c r="AW1571" s="59"/>
      <c r="AX1571" s="60"/>
      <c r="AY1571" s="61">
        <v>1</v>
      </c>
      <c r="AZ1571" s="62">
        <f t="shared" si="985"/>
        <v>3</v>
      </c>
      <c r="BA1571" s="61">
        <f t="shared" si="986"/>
        <v>0</v>
      </c>
      <c r="BB1571" s="62" t="str">
        <f t="shared" si="987"/>
        <v/>
      </c>
    </row>
    <row r="1572" spans="1:54" hidden="1" x14ac:dyDescent="0.35">
      <c r="A1572" s="73">
        <f t="shared" si="1091"/>
        <v>2019</v>
      </c>
      <c r="B1572" s="73" t="str">
        <f t="shared" si="963"/>
        <v>Nov</v>
      </c>
      <c r="C1572" s="74">
        <f t="shared" si="964"/>
        <v>17</v>
      </c>
      <c r="D1572" s="75">
        <f t="shared" si="965"/>
        <v>15</v>
      </c>
      <c r="E1572" s="76">
        <v>12</v>
      </c>
      <c r="F1572" s="80">
        <v>51</v>
      </c>
      <c r="G1572" s="83"/>
      <c r="H1572" s="69" t="str">
        <f t="shared" si="966"/>
        <v>Senbur6_20191117_15_00</v>
      </c>
      <c r="I1572" s="70">
        <f t="shared" ref="I1572:N1572" si="1101">I1571</f>
        <v>1</v>
      </c>
      <c r="J1572" s="77" t="str">
        <f t="shared" si="1101"/>
        <v>Senecio</v>
      </c>
      <c r="K1572" s="77" t="str">
        <f t="shared" si="1101"/>
        <v>burtoni</v>
      </c>
      <c r="L1572" s="78">
        <f t="shared" si="1101"/>
        <v>6</v>
      </c>
      <c r="M1572" s="78">
        <f t="shared" si="1101"/>
        <v>12</v>
      </c>
      <c r="N1572" s="72">
        <f t="shared" si="1101"/>
        <v>0</v>
      </c>
      <c r="O1572" s="45"/>
      <c r="P1572" s="46">
        <f t="shared" si="968"/>
        <v>1</v>
      </c>
      <c r="Q1572" s="47" t="str">
        <f t="shared" si="969"/>
        <v>15:12:51</v>
      </c>
      <c r="R1572" s="48" t="str">
        <f t="shared" si="970"/>
        <v>12:51</v>
      </c>
      <c r="S1572" s="49">
        <f t="shared" si="971"/>
        <v>104</v>
      </c>
      <c r="T1572" s="48" t="str">
        <f t="shared" si="972"/>
        <v>15</v>
      </c>
      <c r="U1572" s="50">
        <v>14</v>
      </c>
      <c r="V1572" s="51">
        <v>35</v>
      </c>
      <c r="W1572" s="52" t="str">
        <f t="shared" si="973"/>
        <v>14:35</v>
      </c>
      <c r="X1572" s="53" t="s">
        <v>59</v>
      </c>
      <c r="Y1572" s="97" t="s">
        <v>84</v>
      </c>
      <c r="Z1572" s="97" t="s">
        <v>80</v>
      </c>
      <c r="AA1572" s="48" t="s">
        <v>60</v>
      </c>
      <c r="AB1572" s="48" t="str">
        <f t="shared" si="974"/>
        <v>NA</v>
      </c>
      <c r="AC1572" s="54">
        <f t="shared" si="975"/>
        <v>0</v>
      </c>
      <c r="AD1572" s="55">
        <v>2</v>
      </c>
      <c r="AE1572" s="55"/>
      <c r="AF1572" s="55"/>
      <c r="AG1572" s="56">
        <v>1</v>
      </c>
      <c r="AH1572" s="57">
        <v>2</v>
      </c>
      <c r="AI1572" s="56">
        <v>1</v>
      </c>
      <c r="AJ1572" s="57">
        <v>1</v>
      </c>
      <c r="AK1572" s="56">
        <v>1</v>
      </c>
      <c r="AL1572" s="57">
        <v>101</v>
      </c>
      <c r="AM1572" s="56"/>
      <c r="AN1572" s="57" t="str">
        <f t="shared" si="981"/>
        <v/>
      </c>
      <c r="AO1572" s="56"/>
      <c r="AP1572" s="57" t="str">
        <f t="shared" si="982"/>
        <v/>
      </c>
      <c r="AQ1572" s="56"/>
      <c r="AR1572" s="57" t="str">
        <f t="shared" si="983"/>
        <v/>
      </c>
      <c r="AS1572" s="56"/>
      <c r="AT1572" s="57" t="str">
        <f t="shared" si="984"/>
        <v/>
      </c>
      <c r="AU1572" s="58"/>
      <c r="AV1572" s="59"/>
      <c r="AW1572" s="59"/>
      <c r="AX1572" s="60"/>
      <c r="AY1572" s="61">
        <v>1</v>
      </c>
      <c r="AZ1572" s="62">
        <f t="shared" si="985"/>
        <v>2</v>
      </c>
      <c r="BA1572" s="61">
        <f t="shared" si="986"/>
        <v>0</v>
      </c>
      <c r="BB1572" s="62" t="str">
        <f t="shared" si="987"/>
        <v/>
      </c>
    </row>
    <row r="1573" spans="1:54" hidden="1" x14ac:dyDescent="0.35">
      <c r="A1573" s="73">
        <f t="shared" si="1091"/>
        <v>2019</v>
      </c>
      <c r="B1573" s="73" t="str">
        <f t="shared" si="963"/>
        <v>Nov</v>
      </c>
      <c r="C1573" s="74">
        <f t="shared" si="964"/>
        <v>17</v>
      </c>
      <c r="D1573" s="75">
        <f t="shared" si="965"/>
        <v>15</v>
      </c>
      <c r="E1573" s="76">
        <f t="shared" si="1092"/>
        <v>13</v>
      </c>
      <c r="F1573" s="80">
        <v>37</v>
      </c>
      <c r="G1573" s="83"/>
      <c r="H1573" s="69" t="str">
        <f t="shared" si="966"/>
        <v>Senbur6_20191117_15_00</v>
      </c>
      <c r="I1573" s="70">
        <f t="shared" ref="I1573:N1573" si="1102">I1572</f>
        <v>1</v>
      </c>
      <c r="J1573" s="77" t="str">
        <f t="shared" si="1102"/>
        <v>Senecio</v>
      </c>
      <c r="K1573" s="77" t="str">
        <f t="shared" si="1102"/>
        <v>burtoni</v>
      </c>
      <c r="L1573" s="78">
        <f t="shared" si="1102"/>
        <v>6</v>
      </c>
      <c r="M1573" s="78">
        <f t="shared" si="1102"/>
        <v>12</v>
      </c>
      <c r="N1573" s="72">
        <f t="shared" si="1102"/>
        <v>0</v>
      </c>
      <c r="O1573" s="45"/>
      <c r="P1573" s="46">
        <f t="shared" si="968"/>
        <v>1</v>
      </c>
      <c r="Q1573" s="47" t="str">
        <f t="shared" si="969"/>
        <v>15:13:37</v>
      </c>
      <c r="R1573" s="48" t="str">
        <f t="shared" si="970"/>
        <v>13:37</v>
      </c>
      <c r="S1573" s="49">
        <f t="shared" si="971"/>
        <v>134</v>
      </c>
      <c r="T1573" s="48" t="str">
        <f t="shared" si="972"/>
        <v>15</v>
      </c>
      <c r="U1573" s="50">
        <v>15</v>
      </c>
      <c r="V1573" s="51">
        <v>51</v>
      </c>
      <c r="W1573" s="52" t="str">
        <f t="shared" si="973"/>
        <v>15:51</v>
      </c>
      <c r="X1573" s="53" t="s">
        <v>61</v>
      </c>
      <c r="Y1573" s="97" t="s">
        <v>84</v>
      </c>
      <c r="Z1573" s="97" t="s">
        <v>80</v>
      </c>
      <c r="AA1573" s="48" t="s">
        <v>60</v>
      </c>
      <c r="AB1573" s="48" t="str">
        <f t="shared" si="974"/>
        <v>NA</v>
      </c>
      <c r="AC1573" s="54">
        <f t="shared" si="975"/>
        <v>0</v>
      </c>
      <c r="AD1573" s="55">
        <v>4</v>
      </c>
      <c r="AE1573" s="55"/>
      <c r="AF1573" s="55"/>
      <c r="AG1573" s="56">
        <v>1</v>
      </c>
      <c r="AH1573" s="57">
        <v>4</v>
      </c>
      <c r="AI1573" s="56">
        <v>1</v>
      </c>
      <c r="AJ1573" s="57">
        <v>3</v>
      </c>
      <c r="AK1573" s="56">
        <v>1</v>
      </c>
      <c r="AL1573" s="57">
        <v>127</v>
      </c>
      <c r="AM1573" s="56"/>
      <c r="AN1573" s="57" t="str">
        <f t="shared" si="981"/>
        <v/>
      </c>
      <c r="AO1573" s="56"/>
      <c r="AP1573" s="57" t="str">
        <f t="shared" si="982"/>
        <v/>
      </c>
      <c r="AQ1573" s="56"/>
      <c r="AR1573" s="57" t="str">
        <f t="shared" si="983"/>
        <v/>
      </c>
      <c r="AS1573" s="56"/>
      <c r="AT1573" s="57" t="str">
        <f t="shared" si="984"/>
        <v/>
      </c>
      <c r="AU1573" s="58"/>
      <c r="AV1573" s="59"/>
      <c r="AW1573" s="59"/>
      <c r="AX1573" s="60"/>
      <c r="AY1573" s="61">
        <v>1</v>
      </c>
      <c r="AZ1573" s="62">
        <v>3</v>
      </c>
      <c r="BA1573" s="61">
        <f t="shared" si="986"/>
        <v>0</v>
      </c>
      <c r="BB1573" s="62" t="str">
        <f t="shared" si="987"/>
        <v/>
      </c>
    </row>
    <row r="1574" spans="1:54" hidden="1" x14ac:dyDescent="0.35">
      <c r="A1574" s="73">
        <f t="shared" si="1091"/>
        <v>2019</v>
      </c>
      <c r="B1574" s="73" t="str">
        <f t="shared" si="963"/>
        <v>Nov</v>
      </c>
      <c r="C1574" s="74">
        <f t="shared" si="964"/>
        <v>17</v>
      </c>
      <c r="D1574" s="75">
        <f t="shared" si="965"/>
        <v>15</v>
      </c>
      <c r="E1574" s="76">
        <v>13</v>
      </c>
      <c r="F1574" s="80">
        <v>42</v>
      </c>
      <c r="G1574" s="83"/>
      <c r="H1574" s="69" t="str">
        <f t="shared" si="966"/>
        <v>Senbur6_20191117_15_00</v>
      </c>
      <c r="I1574" s="70">
        <f t="shared" ref="I1574:N1574" si="1103">I1573</f>
        <v>1</v>
      </c>
      <c r="J1574" s="77" t="str">
        <f t="shared" si="1103"/>
        <v>Senecio</v>
      </c>
      <c r="K1574" s="77" t="str">
        <f t="shared" si="1103"/>
        <v>burtoni</v>
      </c>
      <c r="L1574" s="78">
        <f t="shared" si="1103"/>
        <v>6</v>
      </c>
      <c r="M1574" s="78">
        <f t="shared" si="1103"/>
        <v>12</v>
      </c>
      <c r="N1574" s="72">
        <f t="shared" si="1103"/>
        <v>0</v>
      </c>
      <c r="O1574" s="45"/>
      <c r="P1574" s="46">
        <f t="shared" si="968"/>
        <v>1</v>
      </c>
      <c r="Q1574" s="47" t="str">
        <f t="shared" si="969"/>
        <v>15:13:42</v>
      </c>
      <c r="R1574" s="48" t="str">
        <f t="shared" si="970"/>
        <v>13:42</v>
      </c>
      <c r="S1574" s="49">
        <f t="shared" si="971"/>
        <v>128</v>
      </c>
      <c r="T1574" s="48" t="str">
        <f t="shared" si="972"/>
        <v>15</v>
      </c>
      <c r="U1574" s="50">
        <v>15</v>
      </c>
      <c r="V1574" s="51">
        <v>50</v>
      </c>
      <c r="W1574" s="52" t="str">
        <f t="shared" si="973"/>
        <v>15:50</v>
      </c>
      <c r="X1574" s="53" t="s">
        <v>61</v>
      </c>
      <c r="Y1574" s="97" t="s">
        <v>84</v>
      </c>
      <c r="Z1574" s="97" t="s">
        <v>80</v>
      </c>
      <c r="AA1574" s="48" t="s">
        <v>60</v>
      </c>
      <c r="AB1574" s="48" t="str">
        <f t="shared" si="974"/>
        <v>NA</v>
      </c>
      <c r="AC1574" s="54">
        <f t="shared" si="975"/>
        <v>0</v>
      </c>
      <c r="AD1574" s="55">
        <v>3</v>
      </c>
      <c r="AE1574" s="55"/>
      <c r="AF1574" s="55"/>
      <c r="AG1574" s="56">
        <v>1</v>
      </c>
      <c r="AH1574" s="57">
        <v>1</v>
      </c>
      <c r="AI1574" s="56">
        <v>1</v>
      </c>
      <c r="AJ1574" s="57">
        <v>3</v>
      </c>
      <c r="AK1574" s="56">
        <v>1</v>
      </c>
      <c r="AL1574" s="57">
        <v>124</v>
      </c>
      <c r="AM1574" s="56"/>
      <c r="AN1574" s="57" t="str">
        <f t="shared" si="981"/>
        <v/>
      </c>
      <c r="AO1574" s="56"/>
      <c r="AP1574" s="57" t="str">
        <f t="shared" si="982"/>
        <v/>
      </c>
      <c r="AQ1574" s="56"/>
      <c r="AR1574" s="57" t="str">
        <f t="shared" si="983"/>
        <v/>
      </c>
      <c r="AS1574" s="56"/>
      <c r="AT1574" s="57" t="str">
        <f t="shared" si="984"/>
        <v/>
      </c>
      <c r="AU1574" s="58"/>
      <c r="AV1574" s="59"/>
      <c r="AW1574" s="59"/>
      <c r="AX1574" s="60"/>
      <c r="AY1574" s="61">
        <v>1</v>
      </c>
      <c r="AZ1574" s="62">
        <f t="shared" si="985"/>
        <v>3</v>
      </c>
      <c r="BA1574" s="61">
        <f t="shared" si="986"/>
        <v>0</v>
      </c>
      <c r="BB1574" s="62" t="str">
        <f t="shared" si="987"/>
        <v/>
      </c>
    </row>
    <row r="1575" spans="1:54" hidden="1" x14ac:dyDescent="0.35">
      <c r="A1575" s="73">
        <f t="shared" si="1091"/>
        <v>2019</v>
      </c>
      <c r="B1575" s="73" t="str">
        <f t="shared" si="963"/>
        <v>Nov</v>
      </c>
      <c r="C1575" s="74">
        <f t="shared" si="964"/>
        <v>17</v>
      </c>
      <c r="D1575" s="75">
        <f t="shared" si="965"/>
        <v>15</v>
      </c>
      <c r="E1575" s="76">
        <v>13</v>
      </c>
      <c r="F1575" s="80">
        <v>54</v>
      </c>
      <c r="G1575" s="83"/>
      <c r="H1575" s="69" t="str">
        <f t="shared" si="966"/>
        <v>Senbur6_20191117_15_00</v>
      </c>
      <c r="I1575" s="70">
        <f t="shared" ref="I1575:N1575" si="1104">I1574</f>
        <v>1</v>
      </c>
      <c r="J1575" s="77" t="str">
        <f t="shared" si="1104"/>
        <v>Senecio</v>
      </c>
      <c r="K1575" s="77" t="str">
        <f t="shared" si="1104"/>
        <v>burtoni</v>
      </c>
      <c r="L1575" s="78">
        <f t="shared" si="1104"/>
        <v>6</v>
      </c>
      <c r="M1575" s="78">
        <f t="shared" si="1104"/>
        <v>12</v>
      </c>
      <c r="N1575" s="72">
        <f t="shared" si="1104"/>
        <v>0</v>
      </c>
      <c r="O1575" s="45"/>
      <c r="P1575" s="46">
        <f t="shared" si="968"/>
        <v>1</v>
      </c>
      <c r="Q1575" s="47" t="str">
        <f t="shared" si="969"/>
        <v>15:13:54</v>
      </c>
      <c r="R1575" s="48" t="str">
        <f t="shared" si="970"/>
        <v>13:54</v>
      </c>
      <c r="S1575" s="49">
        <f t="shared" si="971"/>
        <v>25</v>
      </c>
      <c r="T1575" s="48" t="str">
        <f t="shared" si="972"/>
        <v>15</v>
      </c>
      <c r="U1575" s="50">
        <v>14</v>
      </c>
      <c r="V1575" s="51">
        <v>19</v>
      </c>
      <c r="W1575" s="52" t="str">
        <f t="shared" si="973"/>
        <v>14:19</v>
      </c>
      <c r="X1575" s="53" t="s">
        <v>59</v>
      </c>
      <c r="Y1575" s="97" t="s">
        <v>78</v>
      </c>
      <c r="Z1575" s="97"/>
      <c r="AA1575" s="48" t="s">
        <v>60</v>
      </c>
      <c r="AB1575" s="48" t="str">
        <f t="shared" si="974"/>
        <v>NA</v>
      </c>
      <c r="AC1575" s="54">
        <f t="shared" si="975"/>
        <v>0</v>
      </c>
      <c r="AD1575" s="55">
        <v>3</v>
      </c>
      <c r="AE1575" s="55"/>
      <c r="AF1575" s="55"/>
      <c r="AG1575" s="56">
        <v>1</v>
      </c>
      <c r="AH1575" s="57">
        <v>1</v>
      </c>
      <c r="AI1575" s="56">
        <v>1</v>
      </c>
      <c r="AJ1575" s="57">
        <v>2</v>
      </c>
      <c r="AK1575" s="56">
        <v>1</v>
      </c>
      <c r="AL1575" s="57">
        <v>22</v>
      </c>
      <c r="AM1575" s="56"/>
      <c r="AN1575" s="57" t="str">
        <f t="shared" si="981"/>
        <v/>
      </c>
      <c r="AO1575" s="56"/>
      <c r="AP1575" s="57" t="str">
        <f t="shared" si="982"/>
        <v/>
      </c>
      <c r="AQ1575" s="56"/>
      <c r="AR1575" s="57" t="str">
        <f t="shared" si="983"/>
        <v/>
      </c>
      <c r="AS1575" s="56"/>
      <c r="AT1575" s="57" t="str">
        <f t="shared" si="984"/>
        <v/>
      </c>
      <c r="AU1575" s="58"/>
      <c r="AV1575" s="59"/>
      <c r="AW1575" s="59"/>
      <c r="AX1575" s="60"/>
      <c r="AY1575" s="61">
        <v>1</v>
      </c>
      <c r="AZ1575" s="62">
        <f t="shared" si="985"/>
        <v>3</v>
      </c>
      <c r="BA1575" s="61">
        <f t="shared" si="986"/>
        <v>0</v>
      </c>
      <c r="BB1575" s="62" t="str">
        <f t="shared" si="987"/>
        <v/>
      </c>
    </row>
    <row r="1576" spans="1:54" hidden="1" x14ac:dyDescent="0.35">
      <c r="A1576" s="73">
        <f t="shared" si="1091"/>
        <v>2019</v>
      </c>
      <c r="B1576" s="73" t="str">
        <f t="shared" si="963"/>
        <v>Nov</v>
      </c>
      <c r="C1576" s="74">
        <f t="shared" si="964"/>
        <v>17</v>
      </c>
      <c r="D1576" s="75">
        <f t="shared" si="965"/>
        <v>15</v>
      </c>
      <c r="E1576" s="76">
        <f t="shared" si="1092"/>
        <v>14</v>
      </c>
      <c r="F1576" s="80">
        <v>37</v>
      </c>
      <c r="G1576" s="83"/>
      <c r="H1576" s="69" t="str">
        <f t="shared" si="966"/>
        <v>Senbur6_20191117_15_00</v>
      </c>
      <c r="I1576" s="70">
        <f t="shared" ref="I1576:N1576" si="1105">I1575</f>
        <v>1</v>
      </c>
      <c r="J1576" s="77" t="str">
        <f t="shared" si="1105"/>
        <v>Senecio</v>
      </c>
      <c r="K1576" s="77" t="str">
        <f t="shared" si="1105"/>
        <v>burtoni</v>
      </c>
      <c r="L1576" s="78">
        <f t="shared" si="1105"/>
        <v>6</v>
      </c>
      <c r="M1576" s="78">
        <f t="shared" si="1105"/>
        <v>12</v>
      </c>
      <c r="N1576" s="72">
        <f t="shared" si="1105"/>
        <v>0</v>
      </c>
      <c r="O1576" s="45"/>
      <c r="P1576" s="46">
        <f t="shared" si="968"/>
        <v>1</v>
      </c>
      <c r="Q1576" s="47" t="str">
        <f t="shared" si="969"/>
        <v>15:14:37</v>
      </c>
      <c r="R1576" s="48" t="str">
        <f t="shared" si="970"/>
        <v>14:37</v>
      </c>
      <c r="S1576" s="49">
        <f t="shared" si="971"/>
        <v>269</v>
      </c>
      <c r="T1576" s="48">
        <v>15</v>
      </c>
      <c r="U1576" s="50">
        <v>19</v>
      </c>
      <c r="V1576" s="51">
        <v>6</v>
      </c>
      <c r="W1576" s="52" t="str">
        <f t="shared" si="973"/>
        <v>19:06</v>
      </c>
      <c r="X1576" s="53" t="s">
        <v>61</v>
      </c>
      <c r="Y1576" s="97" t="s">
        <v>78</v>
      </c>
      <c r="Z1576" s="97"/>
      <c r="AA1576" s="48" t="s">
        <v>60</v>
      </c>
      <c r="AB1576" s="48" t="str">
        <f t="shared" si="974"/>
        <v>NA</v>
      </c>
      <c r="AC1576" s="54">
        <f t="shared" si="975"/>
        <v>0</v>
      </c>
      <c r="AD1576" s="55">
        <v>6</v>
      </c>
      <c r="AE1576" s="55"/>
      <c r="AF1576" s="55"/>
      <c r="AG1576" s="56">
        <v>1</v>
      </c>
      <c r="AH1576" s="57">
        <v>95</v>
      </c>
      <c r="AI1576" s="56">
        <v>1</v>
      </c>
      <c r="AJ1576" s="57">
        <v>2</v>
      </c>
      <c r="AK1576" s="56">
        <v>1</v>
      </c>
      <c r="AL1576" s="57">
        <v>172</v>
      </c>
      <c r="AM1576" s="56"/>
      <c r="AN1576" s="57" t="str">
        <f t="shared" si="981"/>
        <v/>
      </c>
      <c r="AO1576" s="56"/>
      <c r="AP1576" s="57" t="str">
        <f t="shared" si="982"/>
        <v/>
      </c>
      <c r="AQ1576" s="56"/>
      <c r="AR1576" s="57" t="str">
        <f t="shared" si="983"/>
        <v/>
      </c>
      <c r="AS1576" s="56"/>
      <c r="AT1576" s="57" t="str">
        <f t="shared" si="984"/>
        <v/>
      </c>
      <c r="AU1576" s="58"/>
      <c r="AV1576" s="59"/>
      <c r="AW1576" s="59"/>
      <c r="AX1576" s="60"/>
      <c r="AY1576" s="61">
        <v>1</v>
      </c>
      <c r="AZ1576" s="62">
        <v>5</v>
      </c>
      <c r="BA1576" s="61">
        <f t="shared" si="986"/>
        <v>0</v>
      </c>
      <c r="BB1576" s="62" t="str">
        <f t="shared" si="987"/>
        <v/>
      </c>
    </row>
    <row r="1577" spans="1:54" hidden="1" x14ac:dyDescent="0.35">
      <c r="A1577" s="73">
        <f t="shared" si="1091"/>
        <v>2019</v>
      </c>
      <c r="B1577" s="73" t="str">
        <f t="shared" si="963"/>
        <v>Nov</v>
      </c>
      <c r="C1577" s="74">
        <f t="shared" si="964"/>
        <v>17</v>
      </c>
      <c r="D1577" s="75">
        <f t="shared" si="965"/>
        <v>15</v>
      </c>
      <c r="E1577" s="76">
        <v>14</v>
      </c>
      <c r="F1577" s="80">
        <v>53</v>
      </c>
      <c r="G1577" s="83"/>
      <c r="H1577" s="69" t="str">
        <f t="shared" si="966"/>
        <v>Senbur6_20191117_15_00</v>
      </c>
      <c r="I1577" s="70">
        <f t="shared" ref="I1577:N1577" si="1106">I1576</f>
        <v>1</v>
      </c>
      <c r="J1577" s="77" t="str">
        <f t="shared" si="1106"/>
        <v>Senecio</v>
      </c>
      <c r="K1577" s="77" t="str">
        <f t="shared" si="1106"/>
        <v>burtoni</v>
      </c>
      <c r="L1577" s="78">
        <f t="shared" si="1106"/>
        <v>6</v>
      </c>
      <c r="M1577" s="78">
        <f t="shared" si="1106"/>
        <v>12</v>
      </c>
      <c r="N1577" s="72">
        <f t="shared" si="1106"/>
        <v>0</v>
      </c>
      <c r="O1577" s="45"/>
      <c r="P1577" s="46">
        <f t="shared" si="968"/>
        <v>1</v>
      </c>
      <c r="Q1577" s="47" t="str">
        <f t="shared" si="969"/>
        <v>15:14:53</v>
      </c>
      <c r="R1577" s="48" t="str">
        <f t="shared" si="970"/>
        <v>14:53</v>
      </c>
      <c r="S1577" s="49">
        <f t="shared" si="971"/>
        <v>13</v>
      </c>
      <c r="T1577" s="48" t="str">
        <f t="shared" si="972"/>
        <v>15</v>
      </c>
      <c r="U1577" s="50">
        <v>15</v>
      </c>
      <c r="V1577" s="51">
        <v>6</v>
      </c>
      <c r="W1577" s="52" t="str">
        <f t="shared" si="973"/>
        <v>15:06</v>
      </c>
      <c r="X1577" s="53" t="s">
        <v>61</v>
      </c>
      <c r="Y1577" s="97" t="s">
        <v>84</v>
      </c>
      <c r="Z1577" s="97" t="s">
        <v>80</v>
      </c>
      <c r="AA1577" s="48" t="s">
        <v>60</v>
      </c>
      <c r="AB1577" s="48" t="str">
        <f t="shared" si="974"/>
        <v>NA</v>
      </c>
      <c r="AC1577" s="54">
        <f t="shared" si="975"/>
        <v>0</v>
      </c>
      <c r="AD1577" s="55">
        <f t="shared" si="976"/>
        <v>1</v>
      </c>
      <c r="AE1577" s="55"/>
      <c r="AF1577" s="55"/>
      <c r="AG1577" s="56">
        <v>1</v>
      </c>
      <c r="AH1577" s="57">
        <v>1</v>
      </c>
      <c r="AI1577" s="56"/>
      <c r="AJ1577" s="57" t="str">
        <f t="shared" si="979"/>
        <v/>
      </c>
      <c r="AK1577" s="56">
        <v>1</v>
      </c>
      <c r="AL1577" s="57">
        <v>12</v>
      </c>
      <c r="AM1577" s="56"/>
      <c r="AN1577" s="57" t="str">
        <f t="shared" si="981"/>
        <v/>
      </c>
      <c r="AO1577" s="56"/>
      <c r="AP1577" s="57" t="str">
        <f t="shared" si="982"/>
        <v/>
      </c>
      <c r="AQ1577" s="56"/>
      <c r="AR1577" s="57" t="str">
        <f t="shared" si="983"/>
        <v/>
      </c>
      <c r="AS1577" s="56"/>
      <c r="AT1577" s="57" t="str">
        <f t="shared" si="984"/>
        <v/>
      </c>
      <c r="AU1577" s="58"/>
      <c r="AV1577" s="59"/>
      <c r="AW1577" s="59"/>
      <c r="AX1577" s="60"/>
      <c r="AY1577" s="61">
        <v>1</v>
      </c>
      <c r="AZ1577" s="62">
        <f t="shared" si="985"/>
        <v>1</v>
      </c>
      <c r="BA1577" s="61">
        <f t="shared" si="986"/>
        <v>0</v>
      </c>
      <c r="BB1577" s="62" t="str">
        <f t="shared" si="987"/>
        <v/>
      </c>
    </row>
    <row r="1578" spans="1:54" hidden="1" x14ac:dyDescent="0.35">
      <c r="A1578" s="73">
        <f t="shared" si="1091"/>
        <v>2019</v>
      </c>
      <c r="B1578" s="73" t="str">
        <f t="shared" si="963"/>
        <v>Nov</v>
      </c>
      <c r="C1578" s="74">
        <f t="shared" si="964"/>
        <v>17</v>
      </c>
      <c r="D1578" s="75">
        <f t="shared" si="965"/>
        <v>15</v>
      </c>
      <c r="E1578" s="76">
        <f t="shared" si="1092"/>
        <v>15</v>
      </c>
      <c r="F1578" s="80">
        <v>6</v>
      </c>
      <c r="G1578" s="83"/>
      <c r="H1578" s="69" t="str">
        <f t="shared" si="966"/>
        <v>Senbur6_20191117_15_00</v>
      </c>
      <c r="I1578" s="70">
        <f t="shared" ref="I1578:N1578" si="1107">I1577</f>
        <v>1</v>
      </c>
      <c r="J1578" s="77" t="str">
        <f t="shared" si="1107"/>
        <v>Senecio</v>
      </c>
      <c r="K1578" s="77" t="str">
        <f t="shared" si="1107"/>
        <v>burtoni</v>
      </c>
      <c r="L1578" s="78">
        <f t="shared" si="1107"/>
        <v>6</v>
      </c>
      <c r="M1578" s="78">
        <f t="shared" si="1107"/>
        <v>12</v>
      </c>
      <c r="N1578" s="72">
        <f t="shared" si="1107"/>
        <v>0</v>
      </c>
      <c r="O1578" s="45"/>
      <c r="P1578" s="46">
        <f t="shared" si="968"/>
        <v>1</v>
      </c>
      <c r="Q1578" s="47" t="str">
        <f t="shared" si="969"/>
        <v>15:15:06</v>
      </c>
      <c r="R1578" s="48" t="str">
        <f t="shared" si="970"/>
        <v>15:06</v>
      </c>
      <c r="S1578" s="49">
        <f t="shared" si="971"/>
        <v>165</v>
      </c>
      <c r="T1578" s="48" t="str">
        <f t="shared" si="972"/>
        <v>15</v>
      </c>
      <c r="U1578" s="50">
        <v>17</v>
      </c>
      <c r="V1578" s="51">
        <v>51</v>
      </c>
      <c r="W1578" s="52" t="str">
        <f t="shared" si="973"/>
        <v>17:51</v>
      </c>
      <c r="X1578" s="53" t="s">
        <v>61</v>
      </c>
      <c r="Y1578" s="97" t="s">
        <v>84</v>
      </c>
      <c r="Z1578" s="97" t="s">
        <v>80</v>
      </c>
      <c r="AA1578" s="48" t="s">
        <v>60</v>
      </c>
      <c r="AB1578" s="48" t="str">
        <f t="shared" si="974"/>
        <v>NA</v>
      </c>
      <c r="AC1578" s="54">
        <f t="shared" si="975"/>
        <v>0</v>
      </c>
      <c r="AD1578" s="55">
        <v>5</v>
      </c>
      <c r="AE1578" s="55"/>
      <c r="AF1578" s="55"/>
      <c r="AG1578" s="56">
        <v>1</v>
      </c>
      <c r="AH1578" s="57">
        <v>2</v>
      </c>
      <c r="AI1578" s="56">
        <v>1</v>
      </c>
      <c r="AJ1578" s="57">
        <v>3</v>
      </c>
      <c r="AK1578" s="56">
        <v>1</v>
      </c>
      <c r="AL1578" s="57">
        <v>160</v>
      </c>
      <c r="AM1578" s="56"/>
      <c r="AN1578" s="57" t="str">
        <f t="shared" si="981"/>
        <v/>
      </c>
      <c r="AO1578" s="56"/>
      <c r="AP1578" s="57" t="str">
        <f t="shared" si="982"/>
        <v/>
      </c>
      <c r="AQ1578" s="56"/>
      <c r="AR1578" s="57" t="str">
        <f t="shared" si="983"/>
        <v/>
      </c>
      <c r="AS1578" s="56"/>
      <c r="AT1578" s="57" t="str">
        <f t="shared" si="984"/>
        <v/>
      </c>
      <c r="AU1578" s="58"/>
      <c r="AV1578" s="59"/>
      <c r="AW1578" s="59"/>
      <c r="AX1578" s="60"/>
      <c r="AY1578" s="61">
        <v>1</v>
      </c>
      <c r="AZ1578" s="62">
        <f t="shared" si="985"/>
        <v>5</v>
      </c>
      <c r="BA1578" s="61">
        <f t="shared" si="986"/>
        <v>0</v>
      </c>
      <c r="BB1578" s="62" t="str">
        <f t="shared" si="987"/>
        <v/>
      </c>
    </row>
    <row r="1579" spans="1:54" hidden="1" x14ac:dyDescent="0.35">
      <c r="A1579" s="73">
        <f t="shared" si="1091"/>
        <v>2019</v>
      </c>
      <c r="B1579" s="73" t="str">
        <f t="shared" si="963"/>
        <v>Nov</v>
      </c>
      <c r="C1579" s="74">
        <f t="shared" si="964"/>
        <v>17</v>
      </c>
      <c r="D1579" s="75">
        <f t="shared" si="965"/>
        <v>15</v>
      </c>
      <c r="E1579" s="76">
        <f t="shared" si="1092"/>
        <v>16</v>
      </c>
      <c r="F1579" s="80"/>
      <c r="G1579" s="83"/>
      <c r="H1579" s="69" t="str">
        <f t="shared" si="966"/>
        <v>Senbur6_20191117_15_00</v>
      </c>
      <c r="I1579" s="70">
        <f t="shared" ref="I1579:N1579" si="1108">I1578</f>
        <v>1</v>
      </c>
      <c r="J1579" s="77" t="str">
        <f t="shared" si="1108"/>
        <v>Senecio</v>
      </c>
      <c r="K1579" s="77" t="str">
        <f t="shared" si="1108"/>
        <v>burtoni</v>
      </c>
      <c r="L1579" s="78">
        <f t="shared" si="1108"/>
        <v>6</v>
      </c>
      <c r="M1579" s="78">
        <f t="shared" si="1108"/>
        <v>12</v>
      </c>
      <c r="N1579" s="72">
        <f t="shared" si="1108"/>
        <v>0</v>
      </c>
      <c r="O1579" s="45"/>
      <c r="P1579" s="46" t="str">
        <f t="shared" si="968"/>
        <v/>
      </c>
      <c r="Q1579" s="47" t="str">
        <f t="shared" si="969"/>
        <v/>
      </c>
      <c r="R1579" s="48" t="e">
        <f t="shared" si="970"/>
        <v>#VALUE!</v>
      </c>
      <c r="S1579" s="49" t="e">
        <f t="shared" si="971"/>
        <v>#VALUE!</v>
      </c>
      <c r="T1579" s="48" t="str">
        <f t="shared" si="972"/>
        <v/>
      </c>
      <c r="U1579" s="50"/>
      <c r="V1579" s="51"/>
      <c r="W1579" s="52" t="e">
        <f t="shared" si="973"/>
        <v>#VALUE!</v>
      </c>
      <c r="X1579" s="53"/>
      <c r="Y1579" s="53"/>
      <c r="Z1579" s="53"/>
      <c r="AA1579" s="48" t="e">
        <f>INDEX([1]!VISITORS[INSECT ORDER], MATCH(X1579,[1]!VISITORS[NAME USED],0))</f>
        <v>#REF!</v>
      </c>
      <c r="AB1579" s="48" t="e">
        <f t="shared" si="974"/>
        <v>#REF!</v>
      </c>
      <c r="AC1579" s="54" t="e">
        <f t="shared" si="975"/>
        <v>#VALUE!</v>
      </c>
      <c r="AD1579" s="55" t="str">
        <f t="shared" si="976"/>
        <v/>
      </c>
      <c r="AE1579" s="55"/>
      <c r="AF1579" s="55"/>
      <c r="AG1579" s="56" t="str">
        <f t="shared" si="977"/>
        <v/>
      </c>
      <c r="AH1579" s="57" t="str">
        <f t="shared" si="978"/>
        <v/>
      </c>
      <c r="AI1579" s="56"/>
      <c r="AJ1579" s="57" t="str">
        <f t="shared" si="979"/>
        <v/>
      </c>
      <c r="AK1579" s="56"/>
      <c r="AL1579" s="57" t="str">
        <f t="shared" si="980"/>
        <v/>
      </c>
      <c r="AM1579" s="56"/>
      <c r="AN1579" s="57" t="str">
        <f t="shared" si="981"/>
        <v/>
      </c>
      <c r="AO1579" s="56"/>
      <c r="AP1579" s="57" t="str">
        <f t="shared" si="982"/>
        <v/>
      </c>
      <c r="AQ1579" s="56"/>
      <c r="AR1579" s="57" t="str">
        <f t="shared" si="983"/>
        <v/>
      </c>
      <c r="AS1579" s="56"/>
      <c r="AT1579" s="57" t="str">
        <f t="shared" si="984"/>
        <v/>
      </c>
      <c r="AU1579" s="58"/>
      <c r="AV1579" s="59"/>
      <c r="AW1579" s="59"/>
      <c r="AX1579" s="60"/>
      <c r="AY1579" s="61" t="str">
        <f t="shared" si="990"/>
        <v/>
      </c>
      <c r="AZ1579" s="62" t="str">
        <f t="shared" si="985"/>
        <v/>
      </c>
      <c r="BA1579" s="61" t="str">
        <f t="shared" si="986"/>
        <v/>
      </c>
      <c r="BB1579" s="62" t="str">
        <f t="shared" si="987"/>
        <v/>
      </c>
    </row>
    <row r="1580" spans="1:54" hidden="1" x14ac:dyDescent="0.35">
      <c r="A1580" s="73">
        <f t="shared" si="1091"/>
        <v>2019</v>
      </c>
      <c r="B1580" s="73" t="str">
        <f t="shared" ref="B1580:B1581" si="1109">IF(C1579-C1580&gt;0, TEXT(DATE(2016,(MONTH(DATEVALUE(B1579&amp;"1"))+1),1),"mmm"), B1579)</f>
        <v>Nov</v>
      </c>
      <c r="C1580" s="74">
        <f t="shared" ref="C1580:C1581" si="1110">IF(AND(D1580=0, E1580=0), IF(TEXT(C1579,"dd")=TEXT(EOMONTH(DATE(A1579,MONTH(DATEVALUE(B1579&amp;"1")),C1579),0), "dd"), 1, C1579+1), C1579)</f>
        <v>17</v>
      </c>
      <c r="D1580" s="75">
        <f t="shared" ref="D1580:D1581" si="1111">IF(IF(E1579=59,D1579+1,D1579)=24,0,IF(E1579=59,D1579+1,D1579))</f>
        <v>15</v>
      </c>
      <c r="E1580" s="76">
        <f t="shared" si="1092"/>
        <v>17</v>
      </c>
      <c r="F1580" s="80"/>
      <c r="G1580" s="83"/>
      <c r="H1580" s="69" t="str">
        <f t="shared" ref="H1580:H1581" si="1112">IF(AND(OR(E1579=$G$3,E1579=$G$4,E1579=$G$5,E1579=$G$6,E1579=$G$7,E1579=$G$8),E1579&lt;&gt;RIGHT(H1579,2)),CONCATENATE(LEFT(J1580,3),LEFT(K1580,3),L1580,"_",A1580,TEXT(MONTH(DATEVALUE(B1580&amp;"1")),"00"),TEXT(C1580,"00"),"_",TEXT(D1580,"00"),"_",TEXT(E1579,"00")),IF(AND(OR(E1580=$G$3,E1580=$G$4,E1580=$G$5,E1580=$G$6,E1580=$G$7,E1580=$G$8),OR(F1580="",F1580&gt;$G$9-1)),CONCATENATE(LEFT(J1580,3),LEFT(K1580,3),L1580,"_",A1580,TEXT(MONTH(DATEVALUE(B1580&amp;"1")),"00"),TEXT(C1580,"00"),"_",TEXT(D1580,"00"),"_",TEXT(E1580,"00")),H1579))</f>
        <v>Senbur6_20191117_15_00</v>
      </c>
      <c r="I1580" s="70">
        <f t="shared" ref="I1580:N1580" si="1113">I1579</f>
        <v>1</v>
      </c>
      <c r="J1580" s="77" t="str">
        <f t="shared" si="1113"/>
        <v>Senecio</v>
      </c>
      <c r="K1580" s="77" t="str">
        <f t="shared" si="1113"/>
        <v>burtoni</v>
      </c>
      <c r="L1580" s="78">
        <f t="shared" si="1113"/>
        <v>6</v>
      </c>
      <c r="M1580" s="78">
        <f t="shared" si="1113"/>
        <v>12</v>
      </c>
      <c r="N1580" s="72">
        <f t="shared" si="1113"/>
        <v>0</v>
      </c>
      <c r="O1580" s="45"/>
      <c r="P1580" s="46" t="str">
        <f t="shared" ref="P1580:P1581" si="1114">IF(F1580="","",1)</f>
        <v/>
      </c>
      <c r="Q1580" s="47" t="str">
        <f t="shared" ref="Q1580:Q1581" si="1115">TEXT(IF(P1580=1,CONCATENATE($D1580,":",$E1580,":",(LEFT($F1580,2))),""),"hh:mm:ss")</f>
        <v/>
      </c>
      <c r="R1580" s="48" t="e">
        <f t="shared" ref="R1580:R1581" si="1116">TEXT(Q1580-TIME(0,RIGHT($H1580,2),$G$9)+(Q1580&gt;TIME(0,RIGHT($H1580,2),$G$9)),"mm:ss")</f>
        <v>#VALUE!</v>
      </c>
      <c r="S1580" s="49" t="e">
        <f t="shared" ref="S1580:S1581" si="1117">IF(T1580&lt;D1580, (T1580*3600+U1580*60+V1580)+((23*3600+59*60+60)-(D1580*3600+E1580*60+LEFT(F1580,2))), (T1580*3600+U1580*60+V1580)-(D1580*3600+E1580*60+LEFT(F1580,2)))</f>
        <v>#VALUE!</v>
      </c>
      <c r="T1580" s="48" t="str">
        <f t="shared" ref="T1580:T1581" si="1118">TEXT(IF(P1580=1,D1580,""),"00")</f>
        <v/>
      </c>
      <c r="U1580" s="50"/>
      <c r="V1580" s="51"/>
      <c r="W1580" s="52" t="e">
        <f t="shared" ref="W1580:W1581" si="1119">IF(O1580=0,TEXT(TIME(T1580,U1580,V1580)-TIME(D1580,E1580,RIGHT(F1580,2))+TIME(0,LEFT(R1580,2),RIGHT(R1580,2)),"mm:ss"),TEXT(TIME(T1580,U1580,V1580)-TIME(D1580,E1580,RIGHT(F1580,2))+TIME(0,LEFT(R1580,2),RIGHT(R1580,2))-TIME(0,($G$10*O1580),0),"mm:ss"))</f>
        <v>#VALUE!</v>
      </c>
      <c r="X1580" s="53"/>
      <c r="Y1580" s="53"/>
      <c r="Z1580" s="53"/>
      <c r="AA1580" s="48" t="e">
        <f>INDEX([1]!VISITORS[INSECT ORDER], MATCH(X1580,[1]!VISITORS[NAME USED],0))</f>
        <v>#REF!</v>
      </c>
      <c r="AB1580" s="48" t="e">
        <f t="shared" ref="AB1580:AB1581" si="1120">IF(AA1580&lt;&gt;0,"NA","")</f>
        <v>#REF!</v>
      </c>
      <c r="AC1580" s="54" t="e">
        <f t="shared" ref="AC1580:AC1581" si="1121">IF(SUM(AH1580,AJ1580,AL1580,AN1580,AP1580,AR1580,AT1580)=S1580,,"")</f>
        <v>#VALUE!</v>
      </c>
      <c r="AD1580" s="55" t="str">
        <f t="shared" ref="AD1580" si="1122">IF(P1580=1,1,"")</f>
        <v/>
      </c>
      <c r="AE1580" s="55"/>
      <c r="AF1580" s="55"/>
      <c r="AG1580" s="56" t="str">
        <f t="shared" ref="AG1580" si="1123">IF(OR(X1580="Something small"),1,"")</f>
        <v/>
      </c>
      <c r="AH1580" s="57" t="str">
        <f t="shared" ref="AH1580" si="1124">IF(AG1580=1,$S1580,"")</f>
        <v/>
      </c>
      <c r="AI1580" s="56"/>
      <c r="AJ1580" s="57" t="str">
        <f t="shared" ref="AJ1580" si="1125">IF(AI1580=1,$S1580,"")</f>
        <v/>
      </c>
      <c r="AK1580" s="56"/>
      <c r="AL1580" s="57" t="str">
        <f t="shared" ref="AL1580" si="1126">IF(AK1580=1,$S1580,"")</f>
        <v/>
      </c>
      <c r="AM1580" s="56"/>
      <c r="AN1580" s="57" t="str">
        <f t="shared" ref="AN1580:AN1581" si="1127">IF(AM1580=1,$S1580,"")</f>
        <v/>
      </c>
      <c r="AO1580" s="56"/>
      <c r="AP1580" s="57" t="str">
        <f t="shared" ref="AP1580:AP1581" si="1128">IF(AO1580=1,$S1580,"")</f>
        <v/>
      </c>
      <c r="AQ1580" s="56"/>
      <c r="AR1580" s="57" t="str">
        <f t="shared" ref="AR1580:AR1581" si="1129">IF(AQ1580=1,$S1580,"")</f>
        <v/>
      </c>
      <c r="AS1580" s="56"/>
      <c r="AT1580" s="57" t="str">
        <f t="shared" ref="AT1580:AT1581" si="1130">IF(AS1580=1,$S1580,"")</f>
        <v/>
      </c>
      <c r="AU1580" s="58"/>
      <c r="AV1580" s="59"/>
      <c r="AW1580" s="59"/>
      <c r="AX1580" s="60"/>
      <c r="AY1580" s="61" t="str">
        <f t="shared" ref="AY1580" si="1131">IF(P1580=1,0,"")</f>
        <v/>
      </c>
      <c r="AZ1580" s="62" t="str">
        <f t="shared" ref="AZ1580:AZ1581" si="1132">IF(AY1580=1,AD1580,"")</f>
        <v/>
      </c>
      <c r="BA1580" s="61" t="str">
        <f t="shared" ref="BA1580:BA1581" si="1133">IF(P1580=1,0,"")</f>
        <v/>
      </c>
      <c r="BB1580" s="62" t="str">
        <f t="shared" ref="BB1580:BB1581" si="1134">IF(BA1580=1,AD1580,"")</f>
        <v/>
      </c>
    </row>
    <row r="1581" spans="1:54" hidden="1" x14ac:dyDescent="0.35">
      <c r="A1581" s="73">
        <f t="shared" si="1091"/>
        <v>2019</v>
      </c>
      <c r="B1581" s="73" t="str">
        <f t="shared" si="1109"/>
        <v>Nov</v>
      </c>
      <c r="C1581" s="74">
        <f t="shared" si="1110"/>
        <v>17</v>
      </c>
      <c r="D1581" s="75">
        <f t="shared" si="1111"/>
        <v>15</v>
      </c>
      <c r="E1581" s="76">
        <f t="shared" si="1092"/>
        <v>18</v>
      </c>
      <c r="F1581" s="80">
        <v>14</v>
      </c>
      <c r="G1581" s="83"/>
      <c r="H1581" s="69" t="str">
        <f t="shared" si="1112"/>
        <v>Senbur6_20191117_15_00</v>
      </c>
      <c r="I1581" s="70">
        <f t="shared" ref="I1581:N1582" si="1135">I1580</f>
        <v>1</v>
      </c>
      <c r="J1581" s="77" t="str">
        <f t="shared" si="1135"/>
        <v>Senecio</v>
      </c>
      <c r="K1581" s="77" t="str">
        <f t="shared" si="1135"/>
        <v>burtoni</v>
      </c>
      <c r="L1581" s="78">
        <f t="shared" si="1135"/>
        <v>6</v>
      </c>
      <c r="M1581" s="78">
        <f t="shared" si="1135"/>
        <v>12</v>
      </c>
      <c r="N1581" s="72">
        <f t="shared" si="1135"/>
        <v>0</v>
      </c>
      <c r="O1581" s="45"/>
      <c r="P1581" s="46">
        <f t="shared" si="1114"/>
        <v>1</v>
      </c>
      <c r="Q1581" s="47" t="str">
        <f t="shared" si="1115"/>
        <v>15:18:14</v>
      </c>
      <c r="R1581" s="48" t="str">
        <f t="shared" si="1116"/>
        <v>18:14</v>
      </c>
      <c r="S1581" s="49">
        <f t="shared" si="1117"/>
        <v>229</v>
      </c>
      <c r="T1581" s="48" t="str">
        <f t="shared" si="1118"/>
        <v>15</v>
      </c>
      <c r="U1581" s="50">
        <v>22</v>
      </c>
      <c r="V1581" s="51">
        <v>3</v>
      </c>
      <c r="W1581" s="52" t="str">
        <f t="shared" si="1119"/>
        <v>22:03</v>
      </c>
      <c r="X1581" s="53" t="s">
        <v>61</v>
      </c>
      <c r="Y1581" s="97" t="s">
        <v>84</v>
      </c>
      <c r="Z1581" s="97" t="s">
        <v>80</v>
      </c>
      <c r="AA1581" s="48" t="s">
        <v>60</v>
      </c>
      <c r="AB1581" s="48" t="str">
        <f t="shared" si="1120"/>
        <v>NA</v>
      </c>
      <c r="AC1581" s="54">
        <f t="shared" si="1121"/>
        <v>0</v>
      </c>
      <c r="AD1581" s="55">
        <v>4</v>
      </c>
      <c r="AE1581" s="55"/>
      <c r="AF1581" s="55"/>
      <c r="AG1581" s="56">
        <v>1</v>
      </c>
      <c r="AH1581" s="57">
        <v>6</v>
      </c>
      <c r="AI1581" s="56">
        <v>1</v>
      </c>
      <c r="AJ1581" s="57">
        <v>5</v>
      </c>
      <c r="AK1581" s="56">
        <v>1</v>
      </c>
      <c r="AL1581" s="57">
        <f>229-11</f>
        <v>218</v>
      </c>
      <c r="AM1581" s="56"/>
      <c r="AN1581" s="57" t="str">
        <f t="shared" si="1127"/>
        <v/>
      </c>
      <c r="AO1581" s="56"/>
      <c r="AP1581" s="57" t="str">
        <f t="shared" si="1128"/>
        <v/>
      </c>
      <c r="AQ1581" s="56"/>
      <c r="AR1581" s="57" t="str">
        <f t="shared" si="1129"/>
        <v/>
      </c>
      <c r="AS1581" s="56"/>
      <c r="AT1581" s="57" t="str">
        <f t="shared" si="1130"/>
        <v/>
      </c>
      <c r="AU1581" s="58"/>
      <c r="AV1581" s="59"/>
      <c r="AW1581" s="59"/>
      <c r="AX1581" s="60"/>
      <c r="AY1581" s="61">
        <v>1</v>
      </c>
      <c r="AZ1581" s="62">
        <f t="shared" si="1132"/>
        <v>4</v>
      </c>
      <c r="BA1581" s="61">
        <f t="shared" si="1133"/>
        <v>0</v>
      </c>
      <c r="BB1581" s="62" t="str">
        <f t="shared" si="1134"/>
        <v/>
      </c>
    </row>
    <row r="1582" spans="1:54" hidden="1" x14ac:dyDescent="0.35">
      <c r="A1582" s="73">
        <f t="shared" si="1091"/>
        <v>2019</v>
      </c>
      <c r="B1582" s="73" t="str">
        <f t="shared" ref="B1582" si="1136">IF(C1581-C1582&gt;0, TEXT(DATE(2016,(MONTH(DATEVALUE(B1581&amp;"1"))+1),1),"mmm"), B1581)</f>
        <v>Nov</v>
      </c>
      <c r="C1582" s="74">
        <f t="shared" ref="C1582" si="1137">IF(AND(D1582=0, E1582=0), IF(TEXT(C1581,"dd")=TEXT(EOMONTH(DATE(A1581,MONTH(DATEVALUE(B1581&amp;"1")),C1581),0), "dd"), 1, C1581+1), C1581)</f>
        <v>17</v>
      </c>
      <c r="D1582" s="75">
        <f t="shared" ref="D1582" si="1138">IF(IF(E1581=59,D1581+1,D1581)=24,0,IF(E1581=59,D1581+1,D1581))</f>
        <v>15</v>
      </c>
      <c r="E1582" s="76">
        <v>18</v>
      </c>
      <c r="F1582" s="80">
        <v>50</v>
      </c>
      <c r="G1582" s="83"/>
      <c r="H1582" s="69" t="str">
        <f t="shared" ref="H1582" si="1139">IF(AND(OR(E1581=$G$3,E1581=$G$4,E1581=$G$5,E1581=$G$6,E1581=$G$7,E1581=$G$8),E1581&lt;&gt;RIGHT(H1581,2)),CONCATENATE(LEFT(J1582,3),LEFT(K1582,3),L1582,"_",A1582,TEXT(MONTH(DATEVALUE(B1582&amp;"1")),"00"),TEXT(C1582,"00"),"_",TEXT(D1582,"00"),"_",TEXT(E1581,"00")),IF(AND(OR(E1582=$G$3,E1582=$G$4,E1582=$G$5,E1582=$G$6,E1582=$G$7,E1582=$G$8),OR(F1582="",F1582&gt;$G$9-1)),CONCATENATE(LEFT(J1582,3),LEFT(K1582,3),L1582,"_",A1582,TEXT(MONTH(DATEVALUE(B1582&amp;"1")),"00"),TEXT(C1582,"00"),"_",TEXT(D1582,"00"),"_",TEXT(E1582,"00")),H1581))</f>
        <v>Senbur6_20191117_15_00</v>
      </c>
      <c r="I1582" s="70">
        <f t="shared" si="1135"/>
        <v>1</v>
      </c>
      <c r="J1582" s="77" t="str">
        <f t="shared" si="1135"/>
        <v>Senecio</v>
      </c>
      <c r="K1582" s="77" t="str">
        <f t="shared" si="1135"/>
        <v>burtoni</v>
      </c>
      <c r="L1582" s="78">
        <f t="shared" si="1135"/>
        <v>6</v>
      </c>
      <c r="M1582" s="78">
        <f t="shared" si="1135"/>
        <v>12</v>
      </c>
      <c r="N1582" s="72">
        <f t="shared" si="1135"/>
        <v>0</v>
      </c>
      <c r="O1582" s="45"/>
      <c r="P1582" s="46">
        <f t="shared" ref="P1582" si="1140">IF(F1582="","",1)</f>
        <v>1</v>
      </c>
      <c r="Q1582" s="47" t="str">
        <f t="shared" ref="Q1582" si="1141">TEXT(IF(P1582=1,CONCATENATE($D1582,":",$E1582,":",(LEFT($F1582,2))),""),"hh:mm:ss")</f>
        <v>15:18:50</v>
      </c>
      <c r="R1582" s="48" t="str">
        <f t="shared" ref="R1582" si="1142">TEXT(Q1582-TIME(0,RIGHT($H1582,2),$G$9)+(Q1582&gt;TIME(0,RIGHT($H1582,2),$G$9)),"mm:ss")</f>
        <v>18:50</v>
      </c>
      <c r="S1582" s="49">
        <f t="shared" ref="S1582" si="1143">IF(T1582&lt;D1582, (T1582*3600+U1582*60+V1582)+((23*3600+59*60+60)-(D1582*3600+E1582*60+LEFT(F1582,2))), (T1582*3600+U1582*60+V1582)-(D1582*3600+E1582*60+LEFT(F1582,2)))</f>
        <v>90</v>
      </c>
      <c r="T1582" s="48" t="str">
        <f t="shared" ref="T1582" si="1144">TEXT(IF(P1582=1,D1582,""),"00")</f>
        <v>15</v>
      </c>
      <c r="U1582" s="50">
        <v>20</v>
      </c>
      <c r="V1582" s="51">
        <v>20</v>
      </c>
      <c r="W1582" s="52" t="str">
        <f t="shared" ref="W1582" si="1145">IF(O1582=0,TEXT(TIME(T1582,U1582,V1582)-TIME(D1582,E1582,RIGHT(F1582,2))+TIME(0,LEFT(R1582,2),RIGHT(R1582,2)),"mm:ss"),TEXT(TIME(T1582,U1582,V1582)-TIME(D1582,E1582,RIGHT(F1582,2))+TIME(0,LEFT(R1582,2),RIGHT(R1582,2))-TIME(0,($G$10*O1582),0),"mm:ss"))</f>
        <v>20:20</v>
      </c>
      <c r="X1582" s="53" t="s">
        <v>61</v>
      </c>
      <c r="Y1582" s="97" t="s">
        <v>84</v>
      </c>
      <c r="Z1582" s="97" t="s">
        <v>80</v>
      </c>
      <c r="AA1582" s="48" t="s">
        <v>60</v>
      </c>
      <c r="AB1582" s="48" t="str">
        <f t="shared" ref="AB1582" si="1146">IF(AA1582&lt;&gt;0,"NA","")</f>
        <v>NA</v>
      </c>
      <c r="AC1582" s="54">
        <f t="shared" ref="AC1582" si="1147">IF(SUM(AH1582,AJ1582,AL1582,AN1582,AP1582,AR1582,AT1582)=S1582,,"")</f>
        <v>0</v>
      </c>
      <c r="AD1582" s="55">
        <v>2</v>
      </c>
      <c r="AE1582" s="55"/>
      <c r="AF1582" s="55"/>
      <c r="AG1582" s="56"/>
      <c r="AH1582" s="57"/>
      <c r="AI1582" s="56">
        <v>1</v>
      </c>
      <c r="AJ1582" s="57">
        <v>1</v>
      </c>
      <c r="AK1582" s="56">
        <v>1</v>
      </c>
      <c r="AL1582" s="57">
        <v>89</v>
      </c>
      <c r="AM1582" s="56"/>
      <c r="AN1582" s="57" t="str">
        <f t="shared" ref="AN1582" si="1148">IF(AM1582=1,$S1582,"")</f>
        <v/>
      </c>
      <c r="AO1582" s="56"/>
      <c r="AP1582" s="57" t="str">
        <f t="shared" ref="AP1582" si="1149">IF(AO1582=1,$S1582,"")</f>
        <v/>
      </c>
      <c r="AQ1582" s="56"/>
      <c r="AR1582" s="57" t="str">
        <f t="shared" ref="AR1582" si="1150">IF(AQ1582=1,$S1582,"")</f>
        <v/>
      </c>
      <c r="AS1582" s="56"/>
      <c r="AT1582" s="57" t="str">
        <f t="shared" ref="AT1582" si="1151">IF(AS1582=1,$S1582,"")</f>
        <v/>
      </c>
      <c r="AU1582" s="58"/>
      <c r="AV1582" s="59"/>
      <c r="AW1582" s="59"/>
      <c r="AX1582" s="60"/>
      <c r="AY1582" s="61">
        <v>1</v>
      </c>
      <c r="AZ1582" s="62">
        <f t="shared" ref="AZ1582" si="1152">IF(AY1582=1,AD1582,"")</f>
        <v>2</v>
      </c>
      <c r="BA1582" s="61">
        <f t="shared" ref="BA1582" si="1153">IF(P1582=1,0,"")</f>
        <v>0</v>
      </c>
      <c r="BB1582" s="62" t="str">
        <f t="shared" ref="BB1582" si="1154">IF(BA1582=1,AD1582,"")</f>
        <v/>
      </c>
    </row>
    <row r="1583" spans="1:54" hidden="1" x14ac:dyDescent="0.35">
      <c r="A1583" s="73">
        <f>A1581</f>
        <v>2019</v>
      </c>
      <c r="B1583" s="73" t="str">
        <f>IF(C1581-C1583&gt;0, TEXT(DATE(2016,(MONTH(DATEVALUE(B1581&amp;"1"))+1),1),"mmm"), B1581)</f>
        <v>Nov</v>
      </c>
      <c r="C1583" s="74">
        <f>IF(AND(D1583=0, E1583=0), IF(TEXT(C1581,"dd")=TEXT(EOMONTH(DATE(A1581,MONTH(DATEVALUE(B1581&amp;"1")),C1581),0), "dd"), 1, C1581+1), C1581)</f>
        <v>17</v>
      </c>
      <c r="D1583" s="75">
        <f>IF(IF(E1581=59,D1581+1,D1581)=24,0,IF(E1581=59,D1581+1,D1581))</f>
        <v>15</v>
      </c>
      <c r="E1583" s="76">
        <f>IF(E1581&lt;59,E1581+1,0)</f>
        <v>19</v>
      </c>
      <c r="F1583" s="80">
        <v>7</v>
      </c>
      <c r="G1583" s="83"/>
      <c r="H1583" s="69" t="str">
        <f>IF(AND(OR(E1581=$G$3,E1581=$G$4,E1581=$G$5,E1581=$G$6,E1581=$G$7,E1581=$G$8),E1581&lt;&gt;RIGHT(H1581,2)),CONCATENATE(LEFT(J1583,3),LEFT(K1583,3),L1583,"_",A1583,TEXT(MONTH(DATEVALUE(B1583&amp;"1")),"00"),TEXT(C1583,"00"),"_",TEXT(D1583,"00"),"_",TEXT(E1581,"00")),IF(AND(OR(E1583=$G$3,E1583=$G$4,E1583=$G$5,E1583=$G$6,E1583=$G$7,E1583=$G$8),OR(F1583="",F1583&gt;$G$9-1)),CONCATENATE(LEFT(J1583,3),LEFT(K1583,3),L1583,"_",A1583,TEXT(MONTH(DATEVALUE(B1583&amp;"1")),"00"),TEXT(C1583,"00"),"_",TEXT(D1583,"00"),"_",TEXT(E1583,"00")),H1581))</f>
        <v>Senbur6_20191117_15_00</v>
      </c>
      <c r="I1583" s="70">
        <f t="shared" ref="I1583:N1583" si="1155">I1581</f>
        <v>1</v>
      </c>
      <c r="J1583" s="77" t="str">
        <f t="shared" si="1155"/>
        <v>Senecio</v>
      </c>
      <c r="K1583" s="77" t="str">
        <f t="shared" si="1155"/>
        <v>burtoni</v>
      </c>
      <c r="L1583" s="78">
        <f t="shared" si="1155"/>
        <v>6</v>
      </c>
      <c r="M1583" s="78">
        <f t="shared" si="1155"/>
        <v>12</v>
      </c>
      <c r="N1583" s="72">
        <f t="shared" si="1155"/>
        <v>0</v>
      </c>
      <c r="O1583" s="45"/>
      <c r="P1583" s="46">
        <f t="shared" ref="P1583:P1646" si="1156">IF(F1583="","",1)</f>
        <v>1</v>
      </c>
      <c r="Q1583" s="47" t="str">
        <f t="shared" ref="Q1583:Q1646" si="1157">TEXT(IF(P1583=1,CONCATENATE($D1583,":",$E1583,":",(LEFT($F1583,2))),""),"hh:mm:ss")</f>
        <v>15:19:07</v>
      </c>
      <c r="R1583" s="48" t="str">
        <f t="shared" ref="R1583:R1646" si="1158">TEXT(Q1583-TIME(0,RIGHT($H1583,2),$G$9)+(Q1583&gt;TIME(0,RIGHT($H1583,2),$G$9)),"mm:ss")</f>
        <v>19:07</v>
      </c>
      <c r="S1583" s="49">
        <f t="shared" ref="S1583:S1646" si="1159">IF(T1583&lt;D1583, (T1583*3600+U1583*60+V1583)+((23*3600+59*60+60)-(D1583*3600+E1583*60+LEFT(F1583,2))), (T1583*3600+U1583*60+V1583)-(D1583*3600+E1583*60+LEFT(F1583,2)))</f>
        <v>58</v>
      </c>
      <c r="T1583" s="48" t="str">
        <f t="shared" ref="T1583:T1646" si="1160">TEXT(IF(P1583=1,D1583,""),"00")</f>
        <v>15</v>
      </c>
      <c r="U1583" s="50">
        <v>20</v>
      </c>
      <c r="V1583" s="51">
        <v>5</v>
      </c>
      <c r="W1583" s="52" t="str">
        <f t="shared" ref="W1583:W1646" si="1161">IF(O1583=0,TEXT(TIME(T1583,U1583,V1583)-TIME(D1583,E1583,RIGHT(F1583,2))+TIME(0,LEFT(R1583,2),RIGHT(R1583,2)),"mm:ss"),TEXT(TIME(T1583,U1583,V1583)-TIME(D1583,E1583,RIGHT(F1583,2))+TIME(0,LEFT(R1583,2),RIGHT(R1583,2))-TIME(0,($G$10*O1583),0),"mm:ss"))</f>
        <v>20:05</v>
      </c>
      <c r="X1583" s="53" t="s">
        <v>61</v>
      </c>
      <c r="Y1583" s="97" t="s">
        <v>84</v>
      </c>
      <c r="Z1583" s="97" t="s">
        <v>80</v>
      </c>
      <c r="AA1583" s="48" t="s">
        <v>60</v>
      </c>
      <c r="AB1583" s="48" t="str">
        <f t="shared" ref="AB1583:AB1646" si="1162">IF(AA1583&lt;&gt;0,"NA","")</f>
        <v>NA</v>
      </c>
      <c r="AC1583" s="54">
        <f t="shared" ref="AC1583:AC1646" si="1163">IF(SUM(AH1583,AJ1583,AL1583,AN1583,AP1583,AR1583,AT1583)=S1583,,"")</f>
        <v>0</v>
      </c>
      <c r="AD1583" s="55">
        <v>2</v>
      </c>
      <c r="AE1583" s="55"/>
      <c r="AF1583" s="55"/>
      <c r="AG1583" s="56">
        <v>1</v>
      </c>
      <c r="AH1583" s="57">
        <v>1</v>
      </c>
      <c r="AI1583" s="56">
        <v>1</v>
      </c>
      <c r="AJ1583" s="57">
        <v>1</v>
      </c>
      <c r="AK1583" s="56">
        <v>1</v>
      </c>
      <c r="AL1583" s="57">
        <v>56</v>
      </c>
      <c r="AM1583" s="56"/>
      <c r="AN1583" s="57" t="str">
        <f t="shared" ref="AN1583:AN1646" si="1164">IF(AM1583=1,$S1583,"")</f>
        <v/>
      </c>
      <c r="AO1583" s="56"/>
      <c r="AP1583" s="57" t="str">
        <f t="shared" ref="AP1583:AP1646" si="1165">IF(AO1583=1,$S1583,"")</f>
        <v/>
      </c>
      <c r="AQ1583" s="56"/>
      <c r="AR1583" s="57" t="str">
        <f t="shared" ref="AR1583:AR1646" si="1166">IF(AQ1583=1,$S1583,"")</f>
        <v/>
      </c>
      <c r="AS1583" s="56"/>
      <c r="AT1583" s="57" t="str">
        <f t="shared" ref="AT1583:AT1646" si="1167">IF(AS1583=1,$S1583,"")</f>
        <v/>
      </c>
      <c r="AU1583" s="58"/>
      <c r="AV1583" s="59"/>
      <c r="AW1583" s="59"/>
      <c r="AX1583" s="60"/>
      <c r="AY1583" s="61">
        <v>1</v>
      </c>
      <c r="AZ1583" s="62">
        <f t="shared" ref="AZ1583:AZ1646" si="1168">IF(AY1583=1,AD1583,"")</f>
        <v>2</v>
      </c>
      <c r="BA1583" s="61">
        <f t="shared" ref="BA1583:BA1646" si="1169">IF(P1583=1,0,"")</f>
        <v>0</v>
      </c>
      <c r="BB1583" s="62" t="str">
        <f t="shared" ref="BB1583:BB1646" si="1170">IF(BA1583=1,AD1583,"")</f>
        <v/>
      </c>
    </row>
    <row r="1584" spans="1:54" hidden="1" x14ac:dyDescent="0.35">
      <c r="A1584" s="73">
        <f t="shared" si="1091"/>
        <v>2019</v>
      </c>
      <c r="B1584" s="73" t="str">
        <f t="shared" ref="B1584:B1646" si="1171">IF(C1583-C1584&gt;0, TEXT(DATE(2016,(MONTH(DATEVALUE(B1583&amp;"1"))+1),1),"mmm"), B1583)</f>
        <v>Nov</v>
      </c>
      <c r="C1584" s="74">
        <f t="shared" ref="C1584:C1646" si="1172">IF(AND(D1584=0, E1584=0), IF(TEXT(C1583,"dd")=TEXT(EOMONTH(DATE(A1583,MONTH(DATEVALUE(B1583&amp;"1")),C1583),0), "dd"), 1, C1583+1), C1583)</f>
        <v>17</v>
      </c>
      <c r="D1584" s="75">
        <f t="shared" ref="D1584:D1646" si="1173">IF(IF(E1583=59,D1583+1,D1583)=24,0,IF(E1583=59,D1583+1,D1583))</f>
        <v>15</v>
      </c>
      <c r="E1584" s="76">
        <f t="shared" si="1092"/>
        <v>20</v>
      </c>
      <c r="F1584" s="80">
        <v>10</v>
      </c>
      <c r="G1584" s="83"/>
      <c r="H1584" s="69" t="str">
        <f t="shared" ref="H1584:H1646" si="1174">IF(AND(OR(E1583=$G$3,E1583=$G$4,E1583=$G$5,E1583=$G$6,E1583=$G$7,E1583=$G$8),E1583&lt;&gt;RIGHT(H1583,2)),CONCATENATE(LEFT(J1584,3),LEFT(K1584,3),L1584,"_",A1584,TEXT(MONTH(DATEVALUE(B1584&amp;"1")),"00"),TEXT(C1584,"00"),"_",TEXT(D1584,"00"),"_",TEXT(E1583,"00")),IF(AND(OR(E1584=$G$3,E1584=$G$4,E1584=$G$5,E1584=$G$6,E1584=$G$7,E1584=$G$8),OR(F1584="",F1584&gt;$G$9-1)),CONCATENATE(LEFT(J1584,3),LEFT(K1584,3),L1584,"_",A1584,TEXT(MONTH(DATEVALUE(B1584&amp;"1")),"00"),TEXT(C1584,"00"),"_",TEXT(D1584,"00"),"_",TEXT(E1584,"00")),H1583))</f>
        <v>Senbur6_20191117_15_00</v>
      </c>
      <c r="I1584" s="70">
        <f t="shared" ref="I1584:N1584" si="1175">I1583</f>
        <v>1</v>
      </c>
      <c r="J1584" s="77" t="str">
        <f t="shared" si="1175"/>
        <v>Senecio</v>
      </c>
      <c r="K1584" s="77" t="str">
        <f t="shared" si="1175"/>
        <v>burtoni</v>
      </c>
      <c r="L1584" s="78">
        <f t="shared" si="1175"/>
        <v>6</v>
      </c>
      <c r="M1584" s="78">
        <f t="shared" si="1175"/>
        <v>12</v>
      </c>
      <c r="N1584" s="72">
        <f t="shared" si="1175"/>
        <v>0</v>
      </c>
      <c r="O1584" s="45"/>
      <c r="P1584" s="46">
        <f t="shared" si="1156"/>
        <v>1</v>
      </c>
      <c r="Q1584" s="47" t="str">
        <f t="shared" si="1157"/>
        <v>15:20:10</v>
      </c>
      <c r="R1584" s="48" t="str">
        <f t="shared" si="1158"/>
        <v>20:10</v>
      </c>
      <c r="S1584" s="49">
        <f t="shared" si="1159"/>
        <v>33</v>
      </c>
      <c r="T1584" s="48" t="str">
        <f t="shared" si="1160"/>
        <v>15</v>
      </c>
      <c r="U1584" s="50">
        <v>20</v>
      </c>
      <c r="V1584" s="51">
        <v>43</v>
      </c>
      <c r="W1584" s="52" t="str">
        <f t="shared" si="1161"/>
        <v>20:43</v>
      </c>
      <c r="X1584" s="53" t="s">
        <v>61</v>
      </c>
      <c r="Y1584" s="97" t="s">
        <v>78</v>
      </c>
      <c r="Z1584" s="97"/>
      <c r="AA1584" s="48" t="s">
        <v>60</v>
      </c>
      <c r="AB1584" s="48" t="str">
        <f t="shared" si="1162"/>
        <v>NA</v>
      </c>
      <c r="AC1584" s="54">
        <f t="shared" si="1163"/>
        <v>0</v>
      </c>
      <c r="AD1584" s="55">
        <v>2</v>
      </c>
      <c r="AE1584" s="55"/>
      <c r="AF1584" s="55"/>
      <c r="AG1584" s="56">
        <v>1</v>
      </c>
      <c r="AH1584" s="57">
        <v>2</v>
      </c>
      <c r="AI1584" s="56">
        <v>1</v>
      </c>
      <c r="AJ1584" s="57">
        <v>2</v>
      </c>
      <c r="AK1584" s="56">
        <v>1</v>
      </c>
      <c r="AL1584" s="57">
        <v>29</v>
      </c>
      <c r="AM1584" s="56"/>
      <c r="AN1584" s="57" t="str">
        <f t="shared" si="1164"/>
        <v/>
      </c>
      <c r="AO1584" s="56"/>
      <c r="AP1584" s="57" t="str">
        <f t="shared" si="1165"/>
        <v/>
      </c>
      <c r="AQ1584" s="56"/>
      <c r="AR1584" s="57" t="str">
        <f t="shared" si="1166"/>
        <v/>
      </c>
      <c r="AS1584" s="56"/>
      <c r="AT1584" s="57" t="str">
        <f t="shared" si="1167"/>
        <v/>
      </c>
      <c r="AU1584" s="58"/>
      <c r="AV1584" s="59"/>
      <c r="AW1584" s="59"/>
      <c r="AX1584" s="60"/>
      <c r="AY1584" s="61">
        <v>1</v>
      </c>
      <c r="AZ1584" s="62">
        <f t="shared" si="1168"/>
        <v>2</v>
      </c>
      <c r="BA1584" s="61">
        <f t="shared" si="1169"/>
        <v>0</v>
      </c>
      <c r="BB1584" s="62" t="str">
        <f t="shared" si="1170"/>
        <v/>
      </c>
    </row>
    <row r="1585" spans="1:54" hidden="1" x14ac:dyDescent="0.35">
      <c r="A1585" s="73">
        <f t="shared" si="1091"/>
        <v>2019</v>
      </c>
      <c r="B1585" s="73" t="str">
        <f t="shared" si="1171"/>
        <v>Nov</v>
      </c>
      <c r="C1585" s="74">
        <f t="shared" si="1172"/>
        <v>17</v>
      </c>
      <c r="D1585" s="75">
        <f t="shared" si="1173"/>
        <v>15</v>
      </c>
      <c r="E1585" s="76">
        <v>20</v>
      </c>
      <c r="F1585" s="80">
        <v>38</v>
      </c>
      <c r="G1585" s="83"/>
      <c r="H1585" s="69" t="str">
        <f t="shared" si="1174"/>
        <v>Senbur6_20191117_15_00</v>
      </c>
      <c r="I1585" s="70">
        <f t="shared" ref="I1585:N1585" si="1176">I1584</f>
        <v>1</v>
      </c>
      <c r="J1585" s="77" t="str">
        <f t="shared" si="1176"/>
        <v>Senecio</v>
      </c>
      <c r="K1585" s="77" t="str">
        <f t="shared" si="1176"/>
        <v>burtoni</v>
      </c>
      <c r="L1585" s="78">
        <f t="shared" si="1176"/>
        <v>6</v>
      </c>
      <c r="M1585" s="78">
        <f t="shared" si="1176"/>
        <v>12</v>
      </c>
      <c r="N1585" s="72">
        <f t="shared" si="1176"/>
        <v>0</v>
      </c>
      <c r="O1585" s="45"/>
      <c r="P1585" s="46">
        <f t="shared" si="1156"/>
        <v>1</v>
      </c>
      <c r="Q1585" s="47" t="str">
        <f t="shared" si="1157"/>
        <v>15:20:38</v>
      </c>
      <c r="R1585" s="48" t="str">
        <f t="shared" si="1158"/>
        <v>20:38</v>
      </c>
      <c r="S1585" s="49">
        <f t="shared" si="1159"/>
        <v>111</v>
      </c>
      <c r="T1585" s="48" t="str">
        <f t="shared" si="1160"/>
        <v>15</v>
      </c>
      <c r="U1585" s="50">
        <v>22</v>
      </c>
      <c r="V1585" s="51">
        <v>29</v>
      </c>
      <c r="W1585" s="52" t="str">
        <f t="shared" si="1161"/>
        <v>22:29</v>
      </c>
      <c r="X1585" s="53" t="s">
        <v>61</v>
      </c>
      <c r="Y1585" s="97" t="s">
        <v>78</v>
      </c>
      <c r="Z1585" s="97"/>
      <c r="AA1585" s="48" t="s">
        <v>60</v>
      </c>
      <c r="AB1585" s="48" t="str">
        <f t="shared" si="1162"/>
        <v>NA</v>
      </c>
      <c r="AC1585" s="54">
        <f t="shared" si="1163"/>
        <v>0</v>
      </c>
      <c r="AD1585" s="55">
        <f t="shared" ref="AD1585:AD1646" si="1177">IF(P1585=1,1,"")</f>
        <v>1</v>
      </c>
      <c r="AE1585" s="55"/>
      <c r="AF1585" s="55"/>
      <c r="AG1585" s="56">
        <v>1</v>
      </c>
      <c r="AH1585" s="57">
        <v>1</v>
      </c>
      <c r="AI1585" s="56"/>
      <c r="AJ1585" s="57" t="str">
        <f t="shared" ref="AJ1585:AJ1646" si="1178">IF(AI1585=1,$S1585,"")</f>
        <v/>
      </c>
      <c r="AK1585" s="56">
        <v>1</v>
      </c>
      <c r="AL1585" s="57">
        <v>110</v>
      </c>
      <c r="AM1585" s="56"/>
      <c r="AN1585" s="57" t="str">
        <f t="shared" si="1164"/>
        <v/>
      </c>
      <c r="AO1585" s="56"/>
      <c r="AP1585" s="57" t="str">
        <f t="shared" si="1165"/>
        <v/>
      </c>
      <c r="AQ1585" s="56"/>
      <c r="AR1585" s="57" t="str">
        <f t="shared" si="1166"/>
        <v/>
      </c>
      <c r="AS1585" s="56"/>
      <c r="AT1585" s="57" t="str">
        <f t="shared" si="1167"/>
        <v/>
      </c>
      <c r="AU1585" s="58"/>
      <c r="AV1585" s="59"/>
      <c r="AW1585" s="59"/>
      <c r="AX1585" s="60"/>
      <c r="AY1585" s="61">
        <v>1</v>
      </c>
      <c r="AZ1585" s="62">
        <f t="shared" si="1168"/>
        <v>1</v>
      </c>
      <c r="BA1585" s="61">
        <f t="shared" si="1169"/>
        <v>0</v>
      </c>
      <c r="BB1585" s="62" t="str">
        <f t="shared" si="1170"/>
        <v/>
      </c>
    </row>
    <row r="1586" spans="1:54" hidden="1" x14ac:dyDescent="0.35">
      <c r="A1586" s="73">
        <f t="shared" si="1091"/>
        <v>2019</v>
      </c>
      <c r="B1586" s="73" t="str">
        <f t="shared" si="1171"/>
        <v>Nov</v>
      </c>
      <c r="C1586" s="74">
        <f t="shared" si="1172"/>
        <v>17</v>
      </c>
      <c r="D1586" s="75">
        <f t="shared" si="1173"/>
        <v>15</v>
      </c>
      <c r="E1586" s="76">
        <f t="shared" si="1092"/>
        <v>21</v>
      </c>
      <c r="F1586" s="80">
        <v>37</v>
      </c>
      <c r="G1586" s="83"/>
      <c r="H1586" s="69" t="str">
        <f t="shared" si="1174"/>
        <v>Senbur6_20191117_15_00</v>
      </c>
      <c r="I1586" s="70">
        <f t="shared" ref="I1586:N1586" si="1179">I1585</f>
        <v>1</v>
      </c>
      <c r="J1586" s="77" t="str">
        <f t="shared" si="1179"/>
        <v>Senecio</v>
      </c>
      <c r="K1586" s="77" t="str">
        <f t="shared" si="1179"/>
        <v>burtoni</v>
      </c>
      <c r="L1586" s="78">
        <f t="shared" si="1179"/>
        <v>6</v>
      </c>
      <c r="M1586" s="78">
        <f t="shared" si="1179"/>
        <v>12</v>
      </c>
      <c r="N1586" s="72">
        <f t="shared" si="1179"/>
        <v>0</v>
      </c>
      <c r="O1586" s="45"/>
      <c r="P1586" s="46">
        <f t="shared" si="1156"/>
        <v>1</v>
      </c>
      <c r="Q1586" s="47" t="str">
        <f t="shared" si="1157"/>
        <v>15:21:37</v>
      </c>
      <c r="R1586" s="48" t="str">
        <f t="shared" si="1158"/>
        <v>21:37</v>
      </c>
      <c r="S1586" s="49">
        <f t="shared" si="1159"/>
        <v>164</v>
      </c>
      <c r="T1586" s="48" t="str">
        <f t="shared" si="1160"/>
        <v>15</v>
      </c>
      <c r="U1586" s="50">
        <v>24</v>
      </c>
      <c r="V1586" s="51">
        <v>21</v>
      </c>
      <c r="W1586" s="52" t="str">
        <f t="shared" si="1161"/>
        <v>24:21</v>
      </c>
      <c r="X1586" s="53" t="s">
        <v>61</v>
      </c>
      <c r="Y1586" s="97" t="s">
        <v>78</v>
      </c>
      <c r="Z1586" s="97"/>
      <c r="AA1586" s="48" t="s">
        <v>60</v>
      </c>
      <c r="AB1586" s="48" t="str">
        <f t="shared" si="1162"/>
        <v>NA</v>
      </c>
      <c r="AC1586" s="54">
        <f t="shared" si="1163"/>
        <v>0</v>
      </c>
      <c r="AD1586" s="55">
        <v>5</v>
      </c>
      <c r="AE1586" s="55"/>
      <c r="AF1586" s="55"/>
      <c r="AG1586" s="56">
        <v>1</v>
      </c>
      <c r="AH1586" s="57">
        <v>1</v>
      </c>
      <c r="AI1586" s="56">
        <v>1</v>
      </c>
      <c r="AJ1586" s="57">
        <v>4</v>
      </c>
      <c r="AK1586" s="56">
        <v>1</v>
      </c>
      <c r="AL1586" s="57">
        <v>159</v>
      </c>
      <c r="AM1586" s="56"/>
      <c r="AN1586" s="57" t="str">
        <f t="shared" si="1164"/>
        <v/>
      </c>
      <c r="AO1586" s="56"/>
      <c r="AP1586" s="57" t="str">
        <f t="shared" si="1165"/>
        <v/>
      </c>
      <c r="AQ1586" s="56"/>
      <c r="AR1586" s="57" t="str">
        <f t="shared" si="1166"/>
        <v/>
      </c>
      <c r="AS1586" s="56"/>
      <c r="AT1586" s="57" t="str">
        <f t="shared" si="1167"/>
        <v/>
      </c>
      <c r="AU1586" s="58"/>
      <c r="AV1586" s="59"/>
      <c r="AW1586" s="59"/>
      <c r="AX1586" s="60"/>
      <c r="AY1586" s="61">
        <v>1</v>
      </c>
      <c r="AZ1586" s="62">
        <f t="shared" si="1168"/>
        <v>5</v>
      </c>
      <c r="BA1586" s="61">
        <f t="shared" si="1169"/>
        <v>0</v>
      </c>
      <c r="BB1586" s="62" t="str">
        <f t="shared" si="1170"/>
        <v/>
      </c>
    </row>
    <row r="1587" spans="1:54" hidden="1" x14ac:dyDescent="0.35">
      <c r="A1587" s="73">
        <f t="shared" si="1091"/>
        <v>2019</v>
      </c>
      <c r="B1587" s="73" t="str">
        <f t="shared" si="1171"/>
        <v>Nov</v>
      </c>
      <c r="C1587" s="74">
        <f t="shared" si="1172"/>
        <v>17</v>
      </c>
      <c r="D1587" s="75">
        <f t="shared" si="1173"/>
        <v>15</v>
      </c>
      <c r="E1587" s="76">
        <f t="shared" si="1092"/>
        <v>22</v>
      </c>
      <c r="F1587" s="80"/>
      <c r="G1587" s="83"/>
      <c r="H1587" s="69" t="str">
        <f t="shared" si="1174"/>
        <v>Senbur6_20191117_15_00</v>
      </c>
      <c r="I1587" s="70">
        <f t="shared" ref="I1587:N1587" si="1180">I1586</f>
        <v>1</v>
      </c>
      <c r="J1587" s="77" t="str">
        <f t="shared" si="1180"/>
        <v>Senecio</v>
      </c>
      <c r="K1587" s="77" t="str">
        <f t="shared" si="1180"/>
        <v>burtoni</v>
      </c>
      <c r="L1587" s="78">
        <f t="shared" si="1180"/>
        <v>6</v>
      </c>
      <c r="M1587" s="78">
        <f t="shared" si="1180"/>
        <v>12</v>
      </c>
      <c r="N1587" s="72">
        <f t="shared" si="1180"/>
        <v>0</v>
      </c>
      <c r="O1587" s="45"/>
      <c r="P1587" s="46" t="str">
        <f t="shared" si="1156"/>
        <v/>
      </c>
      <c r="Q1587" s="47" t="str">
        <f t="shared" si="1157"/>
        <v/>
      </c>
      <c r="R1587" s="48" t="e">
        <f t="shared" si="1158"/>
        <v>#VALUE!</v>
      </c>
      <c r="S1587" s="49" t="e">
        <f t="shared" si="1159"/>
        <v>#VALUE!</v>
      </c>
      <c r="T1587" s="48" t="str">
        <f t="shared" si="1160"/>
        <v/>
      </c>
      <c r="U1587" s="50"/>
      <c r="V1587" s="51"/>
      <c r="W1587" s="52" t="e">
        <f t="shared" si="1161"/>
        <v>#VALUE!</v>
      </c>
      <c r="X1587" s="53"/>
      <c r="Y1587" s="53"/>
      <c r="Z1587" s="53"/>
      <c r="AA1587" s="48" t="e">
        <f>INDEX([1]!VISITORS[INSECT ORDER], MATCH(X1587,[1]!VISITORS[NAME USED],0))</f>
        <v>#REF!</v>
      </c>
      <c r="AB1587" s="48" t="e">
        <f t="shared" si="1162"/>
        <v>#REF!</v>
      </c>
      <c r="AC1587" s="54" t="e">
        <f t="shared" si="1163"/>
        <v>#VALUE!</v>
      </c>
      <c r="AD1587" s="55" t="str">
        <f t="shared" si="1177"/>
        <v/>
      </c>
      <c r="AE1587" s="55"/>
      <c r="AF1587" s="55"/>
      <c r="AG1587" s="56" t="str">
        <f t="shared" ref="AG1587:AG1646" si="1181">IF(OR(X1587="Something small"),1,"")</f>
        <v/>
      </c>
      <c r="AH1587" s="57" t="str">
        <f t="shared" ref="AH1587:AH1646" si="1182">IF(AG1587=1,$S1587,"")</f>
        <v/>
      </c>
      <c r="AI1587" s="56"/>
      <c r="AJ1587" s="57" t="str">
        <f t="shared" si="1178"/>
        <v/>
      </c>
      <c r="AK1587" s="56"/>
      <c r="AL1587" s="57" t="str">
        <f t="shared" ref="AL1587:AL1646" si="1183">IF(AK1587=1,$S1587,"")</f>
        <v/>
      </c>
      <c r="AM1587" s="56"/>
      <c r="AN1587" s="57" t="str">
        <f t="shared" si="1164"/>
        <v/>
      </c>
      <c r="AO1587" s="56"/>
      <c r="AP1587" s="57" t="str">
        <f t="shared" si="1165"/>
        <v/>
      </c>
      <c r="AQ1587" s="56"/>
      <c r="AR1587" s="57" t="str">
        <f t="shared" si="1166"/>
        <v/>
      </c>
      <c r="AS1587" s="56"/>
      <c r="AT1587" s="57" t="str">
        <f t="shared" si="1167"/>
        <v/>
      </c>
      <c r="AU1587" s="58"/>
      <c r="AV1587" s="59"/>
      <c r="AW1587" s="59"/>
      <c r="AX1587" s="60"/>
      <c r="AY1587" s="61" t="str">
        <f t="shared" ref="AY1587:AY1646" si="1184">IF(P1587=1,0,"")</f>
        <v/>
      </c>
      <c r="AZ1587" s="62" t="str">
        <f t="shared" si="1168"/>
        <v/>
      </c>
      <c r="BA1587" s="61" t="str">
        <f t="shared" si="1169"/>
        <v/>
      </c>
      <c r="BB1587" s="62" t="str">
        <f t="shared" si="1170"/>
        <v/>
      </c>
    </row>
    <row r="1588" spans="1:54" hidden="1" x14ac:dyDescent="0.35">
      <c r="A1588" s="73">
        <f t="shared" si="1091"/>
        <v>2019</v>
      </c>
      <c r="B1588" s="73" t="str">
        <f t="shared" si="1171"/>
        <v>Nov</v>
      </c>
      <c r="C1588" s="74">
        <f t="shared" si="1172"/>
        <v>17</v>
      </c>
      <c r="D1588" s="75">
        <f t="shared" si="1173"/>
        <v>15</v>
      </c>
      <c r="E1588" s="76">
        <f t="shared" si="1092"/>
        <v>23</v>
      </c>
      <c r="F1588" s="80">
        <v>4</v>
      </c>
      <c r="G1588" s="83"/>
      <c r="H1588" s="69" t="str">
        <f t="shared" si="1174"/>
        <v>Senbur6_20191117_15_00</v>
      </c>
      <c r="I1588" s="70">
        <f t="shared" ref="I1588:N1588" si="1185">I1587</f>
        <v>1</v>
      </c>
      <c r="J1588" s="77" t="str">
        <f t="shared" si="1185"/>
        <v>Senecio</v>
      </c>
      <c r="K1588" s="77" t="str">
        <f t="shared" si="1185"/>
        <v>burtoni</v>
      </c>
      <c r="L1588" s="78">
        <f t="shared" si="1185"/>
        <v>6</v>
      </c>
      <c r="M1588" s="78">
        <f t="shared" si="1185"/>
        <v>12</v>
      </c>
      <c r="N1588" s="72">
        <f t="shared" si="1185"/>
        <v>0</v>
      </c>
      <c r="O1588" s="45"/>
      <c r="P1588" s="46">
        <f t="shared" si="1156"/>
        <v>1</v>
      </c>
      <c r="Q1588" s="47" t="str">
        <f t="shared" si="1157"/>
        <v>15:23:04</v>
      </c>
      <c r="R1588" s="48" t="str">
        <f t="shared" si="1158"/>
        <v>23:04</v>
      </c>
      <c r="S1588" s="49">
        <f t="shared" si="1159"/>
        <v>75</v>
      </c>
      <c r="T1588" s="48" t="str">
        <f t="shared" si="1160"/>
        <v>15</v>
      </c>
      <c r="U1588" s="50">
        <v>24</v>
      </c>
      <c r="V1588" s="51">
        <v>19</v>
      </c>
      <c r="W1588" s="52" t="str">
        <f t="shared" si="1161"/>
        <v>24:19</v>
      </c>
      <c r="X1588" s="53" t="s">
        <v>61</v>
      </c>
      <c r="Y1588" s="97" t="s">
        <v>84</v>
      </c>
      <c r="Z1588" s="97" t="s">
        <v>80</v>
      </c>
      <c r="AA1588" s="48" t="s">
        <v>60</v>
      </c>
      <c r="AB1588" s="48" t="str">
        <f t="shared" si="1162"/>
        <v>NA</v>
      </c>
      <c r="AC1588" s="54">
        <f t="shared" si="1163"/>
        <v>0</v>
      </c>
      <c r="AD1588" s="55">
        <v>2</v>
      </c>
      <c r="AE1588" s="55"/>
      <c r="AF1588" s="55"/>
      <c r="AG1588" s="56" t="str">
        <f t="shared" si="1181"/>
        <v/>
      </c>
      <c r="AH1588" s="57" t="str">
        <f t="shared" si="1182"/>
        <v/>
      </c>
      <c r="AI1588" s="56">
        <v>1</v>
      </c>
      <c r="AJ1588" s="57">
        <v>3</v>
      </c>
      <c r="AK1588" s="56">
        <v>1</v>
      </c>
      <c r="AL1588" s="57">
        <v>72</v>
      </c>
      <c r="AM1588" s="56"/>
      <c r="AN1588" s="57" t="str">
        <f t="shared" si="1164"/>
        <v/>
      </c>
      <c r="AO1588" s="56"/>
      <c r="AP1588" s="57" t="str">
        <f t="shared" si="1165"/>
        <v/>
      </c>
      <c r="AQ1588" s="56"/>
      <c r="AR1588" s="57" t="str">
        <f t="shared" si="1166"/>
        <v/>
      </c>
      <c r="AS1588" s="56"/>
      <c r="AT1588" s="57" t="str">
        <f t="shared" si="1167"/>
        <v/>
      </c>
      <c r="AU1588" s="58"/>
      <c r="AV1588" s="59"/>
      <c r="AW1588" s="59"/>
      <c r="AX1588" s="60"/>
      <c r="AY1588" s="61">
        <v>1</v>
      </c>
      <c r="AZ1588" s="62">
        <f t="shared" si="1168"/>
        <v>2</v>
      </c>
      <c r="BA1588" s="61">
        <f t="shared" si="1169"/>
        <v>0</v>
      </c>
      <c r="BB1588" s="62" t="str">
        <f t="shared" si="1170"/>
        <v/>
      </c>
    </row>
    <row r="1589" spans="1:54" hidden="1" x14ac:dyDescent="0.35">
      <c r="A1589" s="73">
        <f t="shared" si="1091"/>
        <v>2019</v>
      </c>
      <c r="B1589" s="73" t="str">
        <f t="shared" si="1171"/>
        <v>Nov</v>
      </c>
      <c r="C1589" s="74">
        <f t="shared" si="1172"/>
        <v>17</v>
      </c>
      <c r="D1589" s="75">
        <f t="shared" si="1173"/>
        <v>15</v>
      </c>
      <c r="E1589" s="76">
        <f t="shared" si="1092"/>
        <v>24</v>
      </c>
      <c r="F1589" s="80">
        <v>23</v>
      </c>
      <c r="G1589" s="83"/>
      <c r="H1589" s="69" t="str">
        <f t="shared" si="1174"/>
        <v>Senbur6_20191117_15_00</v>
      </c>
      <c r="I1589" s="70">
        <f t="shared" ref="I1589:N1589" si="1186">I1588</f>
        <v>1</v>
      </c>
      <c r="J1589" s="77" t="str">
        <f t="shared" si="1186"/>
        <v>Senecio</v>
      </c>
      <c r="K1589" s="77" t="str">
        <f t="shared" si="1186"/>
        <v>burtoni</v>
      </c>
      <c r="L1589" s="78">
        <f t="shared" si="1186"/>
        <v>6</v>
      </c>
      <c r="M1589" s="78">
        <f t="shared" si="1186"/>
        <v>12</v>
      </c>
      <c r="N1589" s="72">
        <f t="shared" si="1186"/>
        <v>0</v>
      </c>
      <c r="O1589" s="45"/>
      <c r="P1589" s="46">
        <f t="shared" si="1156"/>
        <v>1</v>
      </c>
      <c r="Q1589" s="47" t="str">
        <f t="shared" si="1157"/>
        <v>15:24:23</v>
      </c>
      <c r="R1589" s="48" t="str">
        <f t="shared" si="1158"/>
        <v>24:23</v>
      </c>
      <c r="S1589" s="49">
        <f t="shared" si="1159"/>
        <v>57</v>
      </c>
      <c r="T1589" s="48" t="str">
        <f t="shared" si="1160"/>
        <v>15</v>
      </c>
      <c r="U1589" s="50">
        <v>25</v>
      </c>
      <c r="V1589" s="51">
        <v>20</v>
      </c>
      <c r="W1589" s="52" t="str">
        <f t="shared" si="1161"/>
        <v>25:20</v>
      </c>
      <c r="X1589" s="53" t="s">
        <v>61</v>
      </c>
      <c r="Y1589" s="97" t="s">
        <v>84</v>
      </c>
      <c r="Z1589" s="97" t="s">
        <v>80</v>
      </c>
      <c r="AA1589" s="48" t="s">
        <v>60</v>
      </c>
      <c r="AB1589" s="48" t="str">
        <f t="shared" si="1162"/>
        <v>NA</v>
      </c>
      <c r="AC1589" s="54">
        <f t="shared" si="1163"/>
        <v>0</v>
      </c>
      <c r="AD1589" s="55">
        <v>2</v>
      </c>
      <c r="AE1589" s="55"/>
      <c r="AF1589" s="55"/>
      <c r="AG1589" s="56">
        <v>1</v>
      </c>
      <c r="AH1589" s="57">
        <v>14</v>
      </c>
      <c r="AI1589" s="56">
        <v>1</v>
      </c>
      <c r="AJ1589" s="57">
        <v>2</v>
      </c>
      <c r="AK1589" s="56">
        <v>1</v>
      </c>
      <c r="AL1589" s="57">
        <v>41</v>
      </c>
      <c r="AM1589" s="56"/>
      <c r="AN1589" s="57" t="str">
        <f t="shared" si="1164"/>
        <v/>
      </c>
      <c r="AO1589" s="56"/>
      <c r="AP1589" s="57" t="str">
        <f t="shared" si="1165"/>
        <v/>
      </c>
      <c r="AQ1589" s="56"/>
      <c r="AR1589" s="57" t="str">
        <f t="shared" si="1166"/>
        <v/>
      </c>
      <c r="AS1589" s="56"/>
      <c r="AT1589" s="57" t="str">
        <f t="shared" si="1167"/>
        <v/>
      </c>
      <c r="AU1589" s="58"/>
      <c r="AV1589" s="59"/>
      <c r="AW1589" s="59"/>
      <c r="AX1589" s="60"/>
      <c r="AY1589" s="61">
        <v>1</v>
      </c>
      <c r="AZ1589" s="62">
        <v>1</v>
      </c>
      <c r="BA1589" s="61">
        <f t="shared" si="1169"/>
        <v>0</v>
      </c>
      <c r="BB1589" s="62" t="str">
        <f t="shared" si="1170"/>
        <v/>
      </c>
    </row>
    <row r="1590" spans="1:54" hidden="1" x14ac:dyDescent="0.35">
      <c r="A1590" s="73">
        <f t="shared" si="1091"/>
        <v>2019</v>
      </c>
      <c r="B1590" s="73" t="str">
        <f t="shared" si="1171"/>
        <v>Nov</v>
      </c>
      <c r="C1590" s="74">
        <f t="shared" si="1172"/>
        <v>17</v>
      </c>
      <c r="D1590" s="75">
        <f t="shared" si="1173"/>
        <v>15</v>
      </c>
      <c r="E1590" s="76">
        <v>24</v>
      </c>
      <c r="F1590" s="80">
        <v>27</v>
      </c>
      <c r="G1590" s="83"/>
      <c r="H1590" s="69" t="str">
        <f t="shared" si="1174"/>
        <v>Senbur6_20191117_15_00</v>
      </c>
      <c r="I1590" s="70">
        <f t="shared" ref="I1590:N1590" si="1187">I1589</f>
        <v>1</v>
      </c>
      <c r="J1590" s="77" t="str">
        <f t="shared" si="1187"/>
        <v>Senecio</v>
      </c>
      <c r="K1590" s="77" t="str">
        <f t="shared" si="1187"/>
        <v>burtoni</v>
      </c>
      <c r="L1590" s="78">
        <f t="shared" si="1187"/>
        <v>6</v>
      </c>
      <c r="M1590" s="78">
        <f t="shared" si="1187"/>
        <v>12</v>
      </c>
      <c r="N1590" s="72">
        <f t="shared" si="1187"/>
        <v>0</v>
      </c>
      <c r="O1590" s="45"/>
      <c r="P1590" s="46">
        <f t="shared" si="1156"/>
        <v>1</v>
      </c>
      <c r="Q1590" s="47" t="str">
        <f t="shared" si="1157"/>
        <v>15:24:27</v>
      </c>
      <c r="R1590" s="48" t="str">
        <f t="shared" si="1158"/>
        <v>24:27</v>
      </c>
      <c r="S1590" s="49">
        <f t="shared" si="1159"/>
        <v>70</v>
      </c>
      <c r="T1590" s="48" t="str">
        <f t="shared" si="1160"/>
        <v>15</v>
      </c>
      <c r="U1590" s="50">
        <v>25</v>
      </c>
      <c r="V1590" s="51">
        <v>37</v>
      </c>
      <c r="W1590" s="52" t="str">
        <f t="shared" si="1161"/>
        <v>25:37</v>
      </c>
      <c r="X1590" s="53" t="s">
        <v>61</v>
      </c>
      <c r="Y1590" s="97" t="s">
        <v>84</v>
      </c>
      <c r="Z1590" s="97" t="s">
        <v>80</v>
      </c>
      <c r="AA1590" s="48" t="s">
        <v>60</v>
      </c>
      <c r="AB1590" s="48" t="str">
        <f t="shared" si="1162"/>
        <v>NA</v>
      </c>
      <c r="AC1590" s="54">
        <f t="shared" si="1163"/>
        <v>0</v>
      </c>
      <c r="AD1590" s="55">
        <f t="shared" si="1177"/>
        <v>1</v>
      </c>
      <c r="AE1590" s="55"/>
      <c r="AF1590" s="55"/>
      <c r="AG1590" s="56" t="str">
        <f t="shared" si="1181"/>
        <v/>
      </c>
      <c r="AH1590" s="57" t="str">
        <f t="shared" si="1182"/>
        <v/>
      </c>
      <c r="AI1590" s="56"/>
      <c r="AJ1590" s="57" t="str">
        <f t="shared" si="1178"/>
        <v/>
      </c>
      <c r="AK1590" s="56">
        <v>1</v>
      </c>
      <c r="AL1590" s="57">
        <f t="shared" si="1183"/>
        <v>70</v>
      </c>
      <c r="AM1590" s="56"/>
      <c r="AN1590" s="57" t="str">
        <f t="shared" si="1164"/>
        <v/>
      </c>
      <c r="AO1590" s="56"/>
      <c r="AP1590" s="57" t="str">
        <f t="shared" si="1165"/>
        <v/>
      </c>
      <c r="AQ1590" s="56"/>
      <c r="AR1590" s="57" t="str">
        <f t="shared" si="1166"/>
        <v/>
      </c>
      <c r="AS1590" s="56"/>
      <c r="AT1590" s="57" t="str">
        <f t="shared" si="1167"/>
        <v/>
      </c>
      <c r="AU1590" s="58"/>
      <c r="AV1590" s="59"/>
      <c r="AW1590" s="59"/>
      <c r="AX1590" s="60"/>
      <c r="AY1590" s="61">
        <v>1</v>
      </c>
      <c r="AZ1590" s="62">
        <f t="shared" si="1168"/>
        <v>1</v>
      </c>
      <c r="BA1590" s="61">
        <f t="shared" si="1169"/>
        <v>0</v>
      </c>
      <c r="BB1590" s="62" t="str">
        <f t="shared" si="1170"/>
        <v/>
      </c>
    </row>
    <row r="1591" spans="1:54" hidden="1" x14ac:dyDescent="0.35">
      <c r="A1591" s="73">
        <f t="shared" si="1091"/>
        <v>2019</v>
      </c>
      <c r="B1591" s="73" t="str">
        <f t="shared" si="1171"/>
        <v>Nov</v>
      </c>
      <c r="C1591" s="74">
        <f t="shared" si="1172"/>
        <v>17</v>
      </c>
      <c r="D1591" s="75">
        <f t="shared" si="1173"/>
        <v>15</v>
      </c>
      <c r="E1591" s="76">
        <v>24</v>
      </c>
      <c r="F1591" s="80">
        <v>35</v>
      </c>
      <c r="G1591" s="83"/>
      <c r="H1591" s="69" t="str">
        <f t="shared" si="1174"/>
        <v>Senbur6_20191117_15_00</v>
      </c>
      <c r="I1591" s="70">
        <f t="shared" ref="I1591:N1591" si="1188">I1590</f>
        <v>1</v>
      </c>
      <c r="J1591" s="77" t="str">
        <f t="shared" si="1188"/>
        <v>Senecio</v>
      </c>
      <c r="K1591" s="77" t="str">
        <f t="shared" si="1188"/>
        <v>burtoni</v>
      </c>
      <c r="L1591" s="78">
        <f t="shared" si="1188"/>
        <v>6</v>
      </c>
      <c r="M1591" s="78">
        <f t="shared" si="1188"/>
        <v>12</v>
      </c>
      <c r="N1591" s="72">
        <f t="shared" si="1188"/>
        <v>0</v>
      </c>
      <c r="O1591" s="45"/>
      <c r="P1591" s="46">
        <f t="shared" si="1156"/>
        <v>1</v>
      </c>
      <c r="Q1591" s="47" t="str">
        <f t="shared" si="1157"/>
        <v>15:24:35</v>
      </c>
      <c r="R1591" s="48" t="str">
        <f t="shared" si="1158"/>
        <v>24:35</v>
      </c>
      <c r="S1591" s="49">
        <f t="shared" si="1159"/>
        <v>57</v>
      </c>
      <c r="T1591" s="48" t="str">
        <f t="shared" si="1160"/>
        <v>15</v>
      </c>
      <c r="U1591" s="50">
        <v>25</v>
      </c>
      <c r="V1591" s="51">
        <v>32</v>
      </c>
      <c r="W1591" s="52" t="str">
        <f t="shared" si="1161"/>
        <v>25:32</v>
      </c>
      <c r="X1591" s="53" t="s">
        <v>61</v>
      </c>
      <c r="Y1591" s="97" t="s">
        <v>78</v>
      </c>
      <c r="Z1591" s="97"/>
      <c r="AA1591" s="48" t="s">
        <v>60</v>
      </c>
      <c r="AB1591" s="48" t="str">
        <f t="shared" si="1162"/>
        <v>NA</v>
      </c>
      <c r="AC1591" s="54">
        <f t="shared" si="1163"/>
        <v>0</v>
      </c>
      <c r="AD1591" s="55">
        <f t="shared" si="1177"/>
        <v>1</v>
      </c>
      <c r="AE1591" s="55"/>
      <c r="AF1591" s="55"/>
      <c r="AG1591" s="56">
        <v>1</v>
      </c>
      <c r="AH1591" s="57">
        <v>15</v>
      </c>
      <c r="AI1591" s="56"/>
      <c r="AJ1591" s="57" t="str">
        <f t="shared" si="1178"/>
        <v/>
      </c>
      <c r="AK1591" s="56">
        <v>1</v>
      </c>
      <c r="AL1591" s="57">
        <v>42</v>
      </c>
      <c r="AM1591" s="56"/>
      <c r="AN1591" s="57" t="str">
        <f t="shared" si="1164"/>
        <v/>
      </c>
      <c r="AO1591" s="56"/>
      <c r="AP1591" s="57" t="str">
        <f t="shared" si="1165"/>
        <v/>
      </c>
      <c r="AQ1591" s="56"/>
      <c r="AR1591" s="57" t="str">
        <f t="shared" si="1166"/>
        <v/>
      </c>
      <c r="AS1591" s="56"/>
      <c r="AT1591" s="57" t="str">
        <f t="shared" si="1167"/>
        <v/>
      </c>
      <c r="AU1591" s="58"/>
      <c r="AV1591" s="59"/>
      <c r="AW1591" s="59"/>
      <c r="AX1591" s="60"/>
      <c r="AY1591" s="61">
        <v>1</v>
      </c>
      <c r="AZ1591" s="62">
        <f t="shared" si="1168"/>
        <v>1</v>
      </c>
      <c r="BA1591" s="61">
        <f t="shared" si="1169"/>
        <v>0</v>
      </c>
      <c r="BB1591" s="62" t="str">
        <f t="shared" si="1170"/>
        <v/>
      </c>
    </row>
    <row r="1592" spans="1:54" hidden="1" x14ac:dyDescent="0.35">
      <c r="A1592" s="73">
        <f t="shared" si="1091"/>
        <v>2019</v>
      </c>
      <c r="B1592" s="73" t="str">
        <f t="shared" si="1171"/>
        <v>Nov</v>
      </c>
      <c r="C1592" s="74">
        <f t="shared" si="1172"/>
        <v>17</v>
      </c>
      <c r="D1592" s="75">
        <f t="shared" si="1173"/>
        <v>15</v>
      </c>
      <c r="E1592" s="76">
        <f t="shared" si="1092"/>
        <v>25</v>
      </c>
      <c r="F1592" s="80">
        <v>36</v>
      </c>
      <c r="G1592" s="83"/>
      <c r="H1592" s="69" t="str">
        <f t="shared" si="1174"/>
        <v>Senbur6_20191117_15_00</v>
      </c>
      <c r="I1592" s="70">
        <f t="shared" ref="I1592:N1592" si="1189">I1591</f>
        <v>1</v>
      </c>
      <c r="J1592" s="77" t="str">
        <f t="shared" si="1189"/>
        <v>Senecio</v>
      </c>
      <c r="K1592" s="77" t="str">
        <f t="shared" si="1189"/>
        <v>burtoni</v>
      </c>
      <c r="L1592" s="78">
        <f t="shared" si="1189"/>
        <v>6</v>
      </c>
      <c r="M1592" s="78">
        <f t="shared" si="1189"/>
        <v>12</v>
      </c>
      <c r="N1592" s="72">
        <f t="shared" si="1189"/>
        <v>0</v>
      </c>
      <c r="O1592" s="45"/>
      <c r="P1592" s="46">
        <f t="shared" si="1156"/>
        <v>1</v>
      </c>
      <c r="Q1592" s="47" t="str">
        <f t="shared" si="1157"/>
        <v>15:25:36</v>
      </c>
      <c r="R1592" s="48" t="str">
        <f t="shared" si="1158"/>
        <v>25:36</v>
      </c>
      <c r="S1592" s="49">
        <f t="shared" si="1159"/>
        <v>1</v>
      </c>
      <c r="T1592" s="48" t="str">
        <f t="shared" si="1160"/>
        <v>15</v>
      </c>
      <c r="U1592" s="50">
        <v>25</v>
      </c>
      <c r="V1592" s="51">
        <v>37</v>
      </c>
      <c r="W1592" s="52" t="str">
        <f t="shared" si="1161"/>
        <v>25:37</v>
      </c>
      <c r="X1592" s="53" t="s">
        <v>61</v>
      </c>
      <c r="Y1592" s="97" t="s">
        <v>78</v>
      </c>
      <c r="Z1592" s="97"/>
      <c r="AA1592" s="48" t="s">
        <v>60</v>
      </c>
      <c r="AB1592" s="48" t="str">
        <f t="shared" si="1162"/>
        <v>NA</v>
      </c>
      <c r="AC1592" s="54">
        <f t="shared" si="1163"/>
        <v>0</v>
      </c>
      <c r="AD1592" s="55">
        <f t="shared" si="1177"/>
        <v>1</v>
      </c>
      <c r="AE1592" s="55"/>
      <c r="AF1592" s="55"/>
      <c r="AG1592" s="56">
        <v>1</v>
      </c>
      <c r="AH1592" s="57">
        <f t="shared" si="1182"/>
        <v>1</v>
      </c>
      <c r="AI1592" s="56"/>
      <c r="AJ1592" s="57" t="str">
        <f t="shared" si="1178"/>
        <v/>
      </c>
      <c r="AK1592" s="56"/>
      <c r="AL1592" s="57" t="str">
        <f t="shared" si="1183"/>
        <v/>
      </c>
      <c r="AM1592" s="56"/>
      <c r="AN1592" s="57" t="str">
        <f t="shared" si="1164"/>
        <v/>
      </c>
      <c r="AO1592" s="56"/>
      <c r="AP1592" s="57" t="str">
        <f t="shared" si="1165"/>
        <v/>
      </c>
      <c r="AQ1592" s="56"/>
      <c r="AR1592" s="57" t="str">
        <f t="shared" si="1166"/>
        <v/>
      </c>
      <c r="AS1592" s="56"/>
      <c r="AT1592" s="57" t="str">
        <f t="shared" si="1167"/>
        <v/>
      </c>
      <c r="AU1592" s="58"/>
      <c r="AV1592" s="59"/>
      <c r="AW1592" s="59"/>
      <c r="AX1592" s="60"/>
      <c r="AY1592" s="61">
        <f t="shared" si="1184"/>
        <v>0</v>
      </c>
      <c r="AZ1592" s="62" t="str">
        <f t="shared" si="1168"/>
        <v/>
      </c>
      <c r="BA1592" s="61">
        <f t="shared" si="1169"/>
        <v>0</v>
      </c>
      <c r="BB1592" s="62" t="str">
        <f t="shared" si="1170"/>
        <v/>
      </c>
    </row>
    <row r="1593" spans="1:54" hidden="1" x14ac:dyDescent="0.35">
      <c r="A1593" s="73">
        <f t="shared" si="1091"/>
        <v>2019</v>
      </c>
      <c r="B1593" s="73" t="str">
        <f t="shared" si="1171"/>
        <v>Nov</v>
      </c>
      <c r="C1593" s="74">
        <f t="shared" si="1172"/>
        <v>17</v>
      </c>
      <c r="D1593" s="75">
        <f t="shared" si="1173"/>
        <v>15</v>
      </c>
      <c r="E1593" s="76">
        <v>25</v>
      </c>
      <c r="F1593" s="80">
        <v>39</v>
      </c>
      <c r="G1593" s="83"/>
      <c r="H1593" s="69" t="str">
        <f t="shared" si="1174"/>
        <v>Senbur6_20191117_15_00</v>
      </c>
      <c r="I1593" s="70">
        <f t="shared" ref="I1593:N1593" si="1190">I1592</f>
        <v>1</v>
      </c>
      <c r="J1593" s="77" t="str">
        <f t="shared" si="1190"/>
        <v>Senecio</v>
      </c>
      <c r="K1593" s="77" t="str">
        <f t="shared" si="1190"/>
        <v>burtoni</v>
      </c>
      <c r="L1593" s="78">
        <f t="shared" si="1190"/>
        <v>6</v>
      </c>
      <c r="M1593" s="78">
        <f t="shared" si="1190"/>
        <v>12</v>
      </c>
      <c r="N1593" s="72">
        <f t="shared" si="1190"/>
        <v>0</v>
      </c>
      <c r="O1593" s="45"/>
      <c r="P1593" s="46">
        <f t="shared" si="1156"/>
        <v>1</v>
      </c>
      <c r="Q1593" s="47" t="str">
        <f t="shared" si="1157"/>
        <v>15:25:39</v>
      </c>
      <c r="R1593" s="48" t="str">
        <f t="shared" si="1158"/>
        <v>25:39</v>
      </c>
      <c r="S1593" s="49">
        <f t="shared" si="1159"/>
        <v>490</v>
      </c>
      <c r="T1593" s="48" t="str">
        <f t="shared" si="1160"/>
        <v>15</v>
      </c>
      <c r="U1593" s="50">
        <v>33</v>
      </c>
      <c r="V1593" s="51">
        <v>49</v>
      </c>
      <c r="W1593" s="52" t="str">
        <f t="shared" si="1161"/>
        <v>33:49</v>
      </c>
      <c r="X1593" s="53" t="s">
        <v>61</v>
      </c>
      <c r="Y1593" s="97" t="s">
        <v>78</v>
      </c>
      <c r="Z1593" s="97"/>
      <c r="AA1593" s="48" t="s">
        <v>60</v>
      </c>
      <c r="AB1593" s="48" t="str">
        <f t="shared" si="1162"/>
        <v>NA</v>
      </c>
      <c r="AC1593" s="54">
        <f t="shared" si="1163"/>
        <v>0</v>
      </c>
      <c r="AD1593" s="55">
        <v>9</v>
      </c>
      <c r="AE1593" s="55"/>
      <c r="AF1593" s="55"/>
      <c r="AG1593" s="56">
        <v>1</v>
      </c>
      <c r="AH1593" s="57">
        <v>28</v>
      </c>
      <c r="AI1593" s="56">
        <v>1</v>
      </c>
      <c r="AJ1593" s="57">
        <v>8</v>
      </c>
      <c r="AK1593" s="56">
        <v>1</v>
      </c>
      <c r="AL1593" s="57">
        <v>454</v>
      </c>
      <c r="AM1593" s="56"/>
      <c r="AN1593" s="57" t="str">
        <f t="shared" si="1164"/>
        <v/>
      </c>
      <c r="AO1593" s="56"/>
      <c r="AP1593" s="57" t="str">
        <f t="shared" si="1165"/>
        <v/>
      </c>
      <c r="AQ1593" s="56"/>
      <c r="AR1593" s="57" t="str">
        <f t="shared" si="1166"/>
        <v/>
      </c>
      <c r="AS1593" s="56"/>
      <c r="AT1593" s="57" t="str">
        <f t="shared" si="1167"/>
        <v/>
      </c>
      <c r="AU1593" s="58"/>
      <c r="AV1593" s="59"/>
      <c r="AW1593" s="59"/>
      <c r="AX1593" s="60"/>
      <c r="AY1593" s="61">
        <v>1</v>
      </c>
      <c r="AZ1593" s="62">
        <f t="shared" si="1168"/>
        <v>9</v>
      </c>
      <c r="BA1593" s="61">
        <f t="shared" si="1169"/>
        <v>0</v>
      </c>
      <c r="BB1593" s="62" t="str">
        <f t="shared" si="1170"/>
        <v/>
      </c>
    </row>
    <row r="1594" spans="1:54" hidden="1" x14ac:dyDescent="0.35">
      <c r="A1594" s="73">
        <f t="shared" si="1091"/>
        <v>2019</v>
      </c>
      <c r="B1594" s="73" t="str">
        <f t="shared" si="1171"/>
        <v>Nov</v>
      </c>
      <c r="C1594" s="74">
        <f t="shared" si="1172"/>
        <v>17</v>
      </c>
      <c r="D1594" s="75">
        <f t="shared" si="1173"/>
        <v>15</v>
      </c>
      <c r="E1594" s="76">
        <f t="shared" si="1092"/>
        <v>26</v>
      </c>
      <c r="F1594" s="80">
        <v>11</v>
      </c>
      <c r="G1594" s="83"/>
      <c r="H1594" s="69" t="str">
        <f t="shared" si="1174"/>
        <v>Senbur6_20191117_15_00</v>
      </c>
      <c r="I1594" s="70">
        <f t="shared" ref="I1594:N1594" si="1191">I1593</f>
        <v>1</v>
      </c>
      <c r="J1594" s="77" t="str">
        <f t="shared" si="1191"/>
        <v>Senecio</v>
      </c>
      <c r="K1594" s="77" t="str">
        <f t="shared" si="1191"/>
        <v>burtoni</v>
      </c>
      <c r="L1594" s="78">
        <f t="shared" si="1191"/>
        <v>6</v>
      </c>
      <c r="M1594" s="78">
        <f t="shared" si="1191"/>
        <v>12</v>
      </c>
      <c r="N1594" s="72">
        <f t="shared" si="1191"/>
        <v>0</v>
      </c>
      <c r="O1594" s="45"/>
      <c r="P1594" s="46">
        <f t="shared" si="1156"/>
        <v>1</v>
      </c>
      <c r="Q1594" s="47" t="str">
        <f t="shared" si="1157"/>
        <v>15:26:11</v>
      </c>
      <c r="R1594" s="48" t="str">
        <f t="shared" si="1158"/>
        <v>26:11</v>
      </c>
      <c r="S1594" s="49">
        <f t="shared" si="1159"/>
        <v>162</v>
      </c>
      <c r="T1594" s="48" t="str">
        <f t="shared" si="1160"/>
        <v>15</v>
      </c>
      <c r="U1594" s="50">
        <v>28</v>
      </c>
      <c r="V1594" s="51">
        <v>53</v>
      </c>
      <c r="W1594" s="52" t="str">
        <f t="shared" si="1161"/>
        <v>28:53</v>
      </c>
      <c r="X1594" s="53" t="s">
        <v>61</v>
      </c>
      <c r="Y1594" s="97" t="s">
        <v>78</v>
      </c>
      <c r="Z1594" s="97"/>
      <c r="AA1594" s="48" t="s">
        <v>60</v>
      </c>
      <c r="AB1594" s="48" t="str">
        <f t="shared" si="1162"/>
        <v>NA</v>
      </c>
      <c r="AC1594" s="54">
        <f t="shared" si="1163"/>
        <v>0</v>
      </c>
      <c r="AD1594" s="55">
        <v>2</v>
      </c>
      <c r="AE1594" s="55"/>
      <c r="AF1594" s="55"/>
      <c r="AG1594" s="56" t="str">
        <f t="shared" si="1181"/>
        <v/>
      </c>
      <c r="AH1594" s="57" t="str">
        <f t="shared" si="1182"/>
        <v/>
      </c>
      <c r="AI1594" s="56">
        <v>1</v>
      </c>
      <c r="AJ1594" s="57">
        <v>6</v>
      </c>
      <c r="AK1594" s="56">
        <v>1</v>
      </c>
      <c r="AL1594" s="57">
        <v>156</v>
      </c>
      <c r="AM1594" s="56"/>
      <c r="AN1594" s="57" t="str">
        <f t="shared" si="1164"/>
        <v/>
      </c>
      <c r="AO1594" s="56"/>
      <c r="AP1594" s="57" t="str">
        <f t="shared" si="1165"/>
        <v/>
      </c>
      <c r="AQ1594" s="56"/>
      <c r="AR1594" s="57" t="str">
        <f t="shared" si="1166"/>
        <v/>
      </c>
      <c r="AS1594" s="56"/>
      <c r="AT1594" s="57" t="str">
        <f t="shared" si="1167"/>
        <v/>
      </c>
      <c r="AU1594" s="58"/>
      <c r="AV1594" s="59"/>
      <c r="AW1594" s="59"/>
      <c r="AX1594" s="60"/>
      <c r="AY1594" s="61">
        <v>1</v>
      </c>
      <c r="AZ1594" s="62">
        <f t="shared" si="1168"/>
        <v>2</v>
      </c>
      <c r="BA1594" s="61">
        <f t="shared" si="1169"/>
        <v>0</v>
      </c>
      <c r="BB1594" s="62" t="str">
        <f t="shared" si="1170"/>
        <v/>
      </c>
    </row>
    <row r="1595" spans="1:54" hidden="1" x14ac:dyDescent="0.35">
      <c r="A1595" s="73">
        <f t="shared" si="1091"/>
        <v>2019</v>
      </c>
      <c r="B1595" s="73" t="str">
        <f t="shared" si="1171"/>
        <v>Nov</v>
      </c>
      <c r="C1595" s="74">
        <f t="shared" si="1172"/>
        <v>17</v>
      </c>
      <c r="D1595" s="75">
        <f t="shared" si="1173"/>
        <v>15</v>
      </c>
      <c r="E1595" s="76">
        <f t="shared" si="1092"/>
        <v>27</v>
      </c>
      <c r="F1595" s="80"/>
      <c r="G1595" s="83"/>
      <c r="H1595" s="69" t="str">
        <f t="shared" si="1174"/>
        <v>Senbur6_20191117_15_00</v>
      </c>
      <c r="I1595" s="70">
        <f t="shared" ref="I1595:N1595" si="1192">I1594</f>
        <v>1</v>
      </c>
      <c r="J1595" s="77" t="str">
        <f t="shared" si="1192"/>
        <v>Senecio</v>
      </c>
      <c r="K1595" s="77" t="str">
        <f t="shared" si="1192"/>
        <v>burtoni</v>
      </c>
      <c r="L1595" s="78">
        <f t="shared" si="1192"/>
        <v>6</v>
      </c>
      <c r="M1595" s="78">
        <f t="shared" si="1192"/>
        <v>12</v>
      </c>
      <c r="N1595" s="72">
        <f t="shared" si="1192"/>
        <v>0</v>
      </c>
      <c r="O1595" s="45"/>
      <c r="P1595" s="46" t="str">
        <f t="shared" si="1156"/>
        <v/>
      </c>
      <c r="Q1595" s="47" t="str">
        <f t="shared" si="1157"/>
        <v/>
      </c>
      <c r="R1595" s="48" t="e">
        <f t="shared" si="1158"/>
        <v>#VALUE!</v>
      </c>
      <c r="S1595" s="49" t="e">
        <f t="shared" si="1159"/>
        <v>#VALUE!</v>
      </c>
      <c r="T1595" s="48" t="str">
        <f t="shared" si="1160"/>
        <v/>
      </c>
      <c r="U1595" s="50"/>
      <c r="V1595" s="51"/>
      <c r="W1595" s="52" t="e">
        <f t="shared" si="1161"/>
        <v>#VALUE!</v>
      </c>
      <c r="X1595" s="53"/>
      <c r="Y1595" s="53"/>
      <c r="Z1595" s="53"/>
      <c r="AA1595" s="48" t="e">
        <f>INDEX([1]!VISITORS[INSECT ORDER], MATCH(X1595,[1]!VISITORS[NAME USED],0))</f>
        <v>#REF!</v>
      </c>
      <c r="AB1595" s="48" t="e">
        <f t="shared" si="1162"/>
        <v>#REF!</v>
      </c>
      <c r="AC1595" s="54" t="e">
        <f t="shared" si="1163"/>
        <v>#VALUE!</v>
      </c>
      <c r="AD1595" s="55" t="str">
        <f t="shared" si="1177"/>
        <v/>
      </c>
      <c r="AE1595" s="55"/>
      <c r="AF1595" s="55"/>
      <c r="AG1595" s="56" t="str">
        <f t="shared" si="1181"/>
        <v/>
      </c>
      <c r="AH1595" s="57" t="str">
        <f t="shared" si="1182"/>
        <v/>
      </c>
      <c r="AI1595" s="56"/>
      <c r="AJ1595" s="57" t="str">
        <f t="shared" si="1178"/>
        <v/>
      </c>
      <c r="AK1595" s="56"/>
      <c r="AL1595" s="57" t="str">
        <f t="shared" si="1183"/>
        <v/>
      </c>
      <c r="AM1595" s="56"/>
      <c r="AN1595" s="57" t="str">
        <f t="shared" si="1164"/>
        <v/>
      </c>
      <c r="AO1595" s="56"/>
      <c r="AP1595" s="57" t="str">
        <f t="shared" si="1165"/>
        <v/>
      </c>
      <c r="AQ1595" s="56"/>
      <c r="AR1595" s="57" t="str">
        <f t="shared" si="1166"/>
        <v/>
      </c>
      <c r="AS1595" s="56"/>
      <c r="AT1595" s="57" t="str">
        <f t="shared" si="1167"/>
        <v/>
      </c>
      <c r="AU1595" s="58"/>
      <c r="AV1595" s="59"/>
      <c r="AW1595" s="59"/>
      <c r="AX1595" s="60"/>
      <c r="AY1595" s="61" t="str">
        <f t="shared" si="1184"/>
        <v/>
      </c>
      <c r="AZ1595" s="62" t="str">
        <f t="shared" si="1168"/>
        <v/>
      </c>
      <c r="BA1595" s="61" t="str">
        <f t="shared" si="1169"/>
        <v/>
      </c>
      <c r="BB1595" s="62" t="str">
        <f t="shared" si="1170"/>
        <v/>
      </c>
    </row>
    <row r="1596" spans="1:54" hidden="1" x14ac:dyDescent="0.35">
      <c r="A1596" s="73">
        <f t="shared" si="1091"/>
        <v>2019</v>
      </c>
      <c r="B1596" s="73" t="str">
        <f t="shared" si="1171"/>
        <v>Nov</v>
      </c>
      <c r="C1596" s="74">
        <f t="shared" si="1172"/>
        <v>17</v>
      </c>
      <c r="D1596" s="75">
        <f t="shared" si="1173"/>
        <v>15</v>
      </c>
      <c r="E1596" s="76">
        <f t="shared" si="1092"/>
        <v>28</v>
      </c>
      <c r="F1596" s="80">
        <v>55</v>
      </c>
      <c r="G1596" s="83"/>
      <c r="H1596" s="69" t="str">
        <f t="shared" si="1174"/>
        <v>Senbur6_20191117_15_00</v>
      </c>
      <c r="I1596" s="70">
        <f t="shared" ref="I1596:N1596" si="1193">I1595</f>
        <v>1</v>
      </c>
      <c r="J1596" s="77" t="str">
        <f t="shared" si="1193"/>
        <v>Senecio</v>
      </c>
      <c r="K1596" s="77" t="str">
        <f t="shared" si="1193"/>
        <v>burtoni</v>
      </c>
      <c r="L1596" s="78">
        <f t="shared" si="1193"/>
        <v>6</v>
      </c>
      <c r="M1596" s="78">
        <f t="shared" si="1193"/>
        <v>12</v>
      </c>
      <c r="N1596" s="72">
        <f t="shared" si="1193"/>
        <v>0</v>
      </c>
      <c r="O1596" s="45"/>
      <c r="P1596" s="46">
        <f t="shared" si="1156"/>
        <v>1</v>
      </c>
      <c r="Q1596" s="47" t="str">
        <f t="shared" si="1157"/>
        <v>15:28:55</v>
      </c>
      <c r="R1596" s="48" t="str">
        <f t="shared" si="1158"/>
        <v>28:55</v>
      </c>
      <c r="S1596" s="49">
        <f t="shared" si="1159"/>
        <v>787</v>
      </c>
      <c r="T1596" s="48" t="str">
        <f t="shared" si="1160"/>
        <v>15</v>
      </c>
      <c r="U1596" s="50">
        <v>42</v>
      </c>
      <c r="V1596" s="51">
        <v>2</v>
      </c>
      <c r="W1596" s="52" t="str">
        <f t="shared" si="1161"/>
        <v>42:02</v>
      </c>
      <c r="X1596" s="53" t="s">
        <v>61</v>
      </c>
      <c r="Y1596" s="97" t="s">
        <v>78</v>
      </c>
      <c r="Z1596" s="97"/>
      <c r="AA1596" s="48" t="s">
        <v>60</v>
      </c>
      <c r="AB1596" s="48" t="str">
        <f t="shared" si="1162"/>
        <v>NA</v>
      </c>
      <c r="AC1596" s="54">
        <f t="shared" si="1163"/>
        <v>0</v>
      </c>
      <c r="AD1596" s="55">
        <v>11</v>
      </c>
      <c r="AE1596" s="55"/>
      <c r="AF1596" s="55"/>
      <c r="AG1596" s="56">
        <v>1</v>
      </c>
      <c r="AH1596" s="57">
        <v>17</v>
      </c>
      <c r="AI1596" s="56">
        <v>1</v>
      </c>
      <c r="AJ1596" s="57">
        <v>17</v>
      </c>
      <c r="AK1596" s="56">
        <v>1</v>
      </c>
      <c r="AL1596" s="57">
        <v>753</v>
      </c>
      <c r="AM1596" s="56"/>
      <c r="AN1596" s="57" t="str">
        <f t="shared" si="1164"/>
        <v/>
      </c>
      <c r="AO1596" s="56"/>
      <c r="AP1596" s="57" t="str">
        <f t="shared" si="1165"/>
        <v/>
      </c>
      <c r="AQ1596" s="56"/>
      <c r="AR1596" s="57" t="str">
        <f t="shared" si="1166"/>
        <v/>
      </c>
      <c r="AS1596" s="56"/>
      <c r="AT1596" s="57" t="str">
        <f t="shared" si="1167"/>
        <v/>
      </c>
      <c r="AU1596" s="58"/>
      <c r="AV1596" s="59"/>
      <c r="AW1596" s="59"/>
      <c r="AX1596" s="60"/>
      <c r="AY1596" s="61">
        <v>1</v>
      </c>
      <c r="AZ1596" s="62">
        <f t="shared" si="1168"/>
        <v>11</v>
      </c>
      <c r="BA1596" s="61">
        <f t="shared" si="1169"/>
        <v>0</v>
      </c>
      <c r="BB1596" s="62" t="str">
        <f t="shared" si="1170"/>
        <v/>
      </c>
    </row>
    <row r="1597" spans="1:54" hidden="1" x14ac:dyDescent="0.35">
      <c r="A1597" s="73">
        <f t="shared" si="1091"/>
        <v>2019</v>
      </c>
      <c r="B1597" s="73" t="str">
        <f t="shared" si="1171"/>
        <v>Nov</v>
      </c>
      <c r="C1597" s="74">
        <f t="shared" si="1172"/>
        <v>17</v>
      </c>
      <c r="D1597" s="75">
        <f t="shared" si="1173"/>
        <v>15</v>
      </c>
      <c r="E1597" s="76">
        <f t="shared" si="1092"/>
        <v>29</v>
      </c>
      <c r="F1597" s="80">
        <v>50</v>
      </c>
      <c r="G1597" s="83"/>
      <c r="H1597" s="69" t="str">
        <f t="shared" si="1174"/>
        <v>Senbur6_20191117_15_00</v>
      </c>
      <c r="I1597" s="70">
        <f t="shared" ref="I1597:N1597" si="1194">I1596</f>
        <v>1</v>
      </c>
      <c r="J1597" s="77" t="str">
        <f t="shared" si="1194"/>
        <v>Senecio</v>
      </c>
      <c r="K1597" s="77" t="str">
        <f t="shared" si="1194"/>
        <v>burtoni</v>
      </c>
      <c r="L1597" s="78">
        <f t="shared" si="1194"/>
        <v>6</v>
      </c>
      <c r="M1597" s="78">
        <f t="shared" si="1194"/>
        <v>12</v>
      </c>
      <c r="N1597" s="72">
        <f t="shared" si="1194"/>
        <v>0</v>
      </c>
      <c r="O1597" s="45"/>
      <c r="P1597" s="46">
        <f t="shared" si="1156"/>
        <v>1</v>
      </c>
      <c r="Q1597" s="47" t="str">
        <f t="shared" si="1157"/>
        <v>15:29:50</v>
      </c>
      <c r="R1597" s="48" t="str">
        <f t="shared" si="1158"/>
        <v>29:50</v>
      </c>
      <c r="S1597" s="49">
        <f t="shared" si="1159"/>
        <v>26</v>
      </c>
      <c r="T1597" s="48" t="str">
        <f t="shared" si="1160"/>
        <v>15</v>
      </c>
      <c r="U1597" s="50">
        <v>30</v>
      </c>
      <c r="V1597" s="51">
        <v>16</v>
      </c>
      <c r="W1597" s="52" t="str">
        <f t="shared" si="1161"/>
        <v>30:16</v>
      </c>
      <c r="X1597" s="53" t="s">
        <v>61</v>
      </c>
      <c r="Y1597" s="97" t="s">
        <v>84</v>
      </c>
      <c r="Z1597" s="97" t="s">
        <v>80</v>
      </c>
      <c r="AA1597" s="48" t="s">
        <v>60</v>
      </c>
      <c r="AB1597" s="48" t="str">
        <f t="shared" si="1162"/>
        <v>NA</v>
      </c>
      <c r="AC1597" s="54">
        <f t="shared" si="1163"/>
        <v>0</v>
      </c>
      <c r="AD1597" s="55">
        <f t="shared" si="1177"/>
        <v>1</v>
      </c>
      <c r="AE1597" s="55"/>
      <c r="AF1597" s="55"/>
      <c r="AG1597" s="56" t="str">
        <f t="shared" si="1181"/>
        <v/>
      </c>
      <c r="AH1597" s="57" t="str">
        <f t="shared" si="1182"/>
        <v/>
      </c>
      <c r="AI1597" s="56"/>
      <c r="AJ1597" s="57" t="str">
        <f t="shared" si="1178"/>
        <v/>
      </c>
      <c r="AK1597" s="56">
        <v>1</v>
      </c>
      <c r="AL1597" s="57">
        <f t="shared" si="1183"/>
        <v>26</v>
      </c>
      <c r="AM1597" s="56"/>
      <c r="AN1597" s="57" t="str">
        <f t="shared" si="1164"/>
        <v/>
      </c>
      <c r="AO1597" s="56"/>
      <c r="AP1597" s="57" t="str">
        <f t="shared" si="1165"/>
        <v/>
      </c>
      <c r="AQ1597" s="56"/>
      <c r="AR1597" s="57" t="str">
        <f t="shared" si="1166"/>
        <v/>
      </c>
      <c r="AS1597" s="56"/>
      <c r="AT1597" s="57" t="str">
        <f t="shared" si="1167"/>
        <v/>
      </c>
      <c r="AU1597" s="58"/>
      <c r="AV1597" s="59"/>
      <c r="AW1597" s="59"/>
      <c r="AX1597" s="60"/>
      <c r="AY1597" s="61">
        <v>1</v>
      </c>
      <c r="AZ1597" s="62">
        <f t="shared" si="1168"/>
        <v>1</v>
      </c>
      <c r="BA1597" s="61">
        <f t="shared" si="1169"/>
        <v>0</v>
      </c>
      <c r="BB1597" s="62" t="str">
        <f t="shared" si="1170"/>
        <v/>
      </c>
    </row>
    <row r="1598" spans="1:54" hidden="1" x14ac:dyDescent="0.35">
      <c r="A1598" s="73">
        <f t="shared" si="1091"/>
        <v>2019</v>
      </c>
      <c r="B1598" s="73" t="str">
        <f t="shared" si="1171"/>
        <v>Nov</v>
      </c>
      <c r="C1598" s="74">
        <f t="shared" si="1172"/>
        <v>17</v>
      </c>
      <c r="D1598" s="75">
        <f t="shared" si="1173"/>
        <v>15</v>
      </c>
      <c r="E1598" s="76">
        <f t="shared" si="1092"/>
        <v>30</v>
      </c>
      <c r="F1598" s="80"/>
      <c r="G1598" s="83"/>
      <c r="H1598" s="69" t="str">
        <f t="shared" si="1174"/>
        <v>Senbur6_20191117_15_00</v>
      </c>
      <c r="I1598" s="70">
        <f t="shared" ref="I1598:N1598" si="1195">I1597</f>
        <v>1</v>
      </c>
      <c r="J1598" s="77" t="str">
        <f t="shared" si="1195"/>
        <v>Senecio</v>
      </c>
      <c r="K1598" s="77" t="str">
        <f t="shared" si="1195"/>
        <v>burtoni</v>
      </c>
      <c r="L1598" s="78">
        <f t="shared" si="1195"/>
        <v>6</v>
      </c>
      <c r="M1598" s="78">
        <f t="shared" si="1195"/>
        <v>12</v>
      </c>
      <c r="N1598" s="72">
        <f t="shared" si="1195"/>
        <v>0</v>
      </c>
      <c r="O1598" s="45"/>
      <c r="P1598" s="46" t="str">
        <f t="shared" si="1156"/>
        <v/>
      </c>
      <c r="Q1598" s="47" t="str">
        <f t="shared" si="1157"/>
        <v/>
      </c>
      <c r="R1598" s="48" t="e">
        <f t="shared" si="1158"/>
        <v>#VALUE!</v>
      </c>
      <c r="S1598" s="49" t="e">
        <f t="shared" si="1159"/>
        <v>#VALUE!</v>
      </c>
      <c r="T1598" s="48" t="str">
        <f t="shared" si="1160"/>
        <v/>
      </c>
      <c r="U1598" s="50"/>
      <c r="V1598" s="51"/>
      <c r="W1598" s="52" t="e">
        <f t="shared" si="1161"/>
        <v>#VALUE!</v>
      </c>
      <c r="X1598" s="53"/>
      <c r="Y1598" s="53"/>
      <c r="Z1598" s="53"/>
      <c r="AA1598" s="48" t="e">
        <f>INDEX([1]!VISITORS[INSECT ORDER], MATCH(X1598,[1]!VISITORS[NAME USED],0))</f>
        <v>#REF!</v>
      </c>
      <c r="AB1598" s="48" t="e">
        <f t="shared" si="1162"/>
        <v>#REF!</v>
      </c>
      <c r="AC1598" s="54" t="e">
        <f t="shared" si="1163"/>
        <v>#VALUE!</v>
      </c>
      <c r="AD1598" s="55" t="str">
        <f t="shared" si="1177"/>
        <v/>
      </c>
      <c r="AE1598" s="55"/>
      <c r="AF1598" s="55"/>
      <c r="AG1598" s="56" t="str">
        <f t="shared" si="1181"/>
        <v/>
      </c>
      <c r="AH1598" s="57" t="str">
        <f t="shared" si="1182"/>
        <v/>
      </c>
      <c r="AI1598" s="56"/>
      <c r="AJ1598" s="57" t="str">
        <f t="shared" si="1178"/>
        <v/>
      </c>
      <c r="AK1598" s="56"/>
      <c r="AL1598" s="57" t="str">
        <f t="shared" si="1183"/>
        <v/>
      </c>
      <c r="AM1598" s="56"/>
      <c r="AN1598" s="57" t="str">
        <f t="shared" si="1164"/>
        <v/>
      </c>
      <c r="AO1598" s="56"/>
      <c r="AP1598" s="57" t="str">
        <f t="shared" si="1165"/>
        <v/>
      </c>
      <c r="AQ1598" s="56"/>
      <c r="AR1598" s="57" t="str">
        <f t="shared" si="1166"/>
        <v/>
      </c>
      <c r="AS1598" s="56"/>
      <c r="AT1598" s="57" t="str">
        <f t="shared" si="1167"/>
        <v/>
      </c>
      <c r="AU1598" s="58"/>
      <c r="AV1598" s="59"/>
      <c r="AW1598" s="59"/>
      <c r="AX1598" s="60"/>
      <c r="AY1598" s="61" t="str">
        <f t="shared" si="1184"/>
        <v/>
      </c>
      <c r="AZ1598" s="62" t="str">
        <f t="shared" si="1168"/>
        <v/>
      </c>
      <c r="BA1598" s="61" t="str">
        <f t="shared" si="1169"/>
        <v/>
      </c>
      <c r="BB1598" s="62" t="str">
        <f t="shared" si="1170"/>
        <v/>
      </c>
    </row>
    <row r="1599" spans="1:54" hidden="1" x14ac:dyDescent="0.35">
      <c r="A1599" s="73">
        <f t="shared" si="1091"/>
        <v>2019</v>
      </c>
      <c r="B1599" s="73" t="str">
        <f t="shared" si="1171"/>
        <v>Nov</v>
      </c>
      <c r="C1599" s="74">
        <f t="shared" si="1172"/>
        <v>17</v>
      </c>
      <c r="D1599" s="75">
        <f t="shared" si="1173"/>
        <v>15</v>
      </c>
      <c r="E1599" s="76">
        <f t="shared" si="1092"/>
        <v>31</v>
      </c>
      <c r="F1599" s="80"/>
      <c r="G1599" s="83"/>
      <c r="H1599" s="69" t="str">
        <f t="shared" si="1174"/>
        <v>Senbur6_20191117_15_00</v>
      </c>
      <c r="I1599" s="70">
        <f t="shared" ref="I1599:N1599" si="1196">I1598</f>
        <v>1</v>
      </c>
      <c r="J1599" s="77" t="str">
        <f t="shared" si="1196"/>
        <v>Senecio</v>
      </c>
      <c r="K1599" s="77" t="str">
        <f t="shared" si="1196"/>
        <v>burtoni</v>
      </c>
      <c r="L1599" s="78">
        <f t="shared" si="1196"/>
        <v>6</v>
      </c>
      <c r="M1599" s="78">
        <f t="shared" si="1196"/>
        <v>12</v>
      </c>
      <c r="N1599" s="72">
        <f t="shared" si="1196"/>
        <v>0</v>
      </c>
      <c r="O1599" s="45"/>
      <c r="P1599" s="46" t="str">
        <f t="shared" si="1156"/>
        <v/>
      </c>
      <c r="Q1599" s="47" t="str">
        <f t="shared" si="1157"/>
        <v/>
      </c>
      <c r="R1599" s="48" t="e">
        <f t="shared" si="1158"/>
        <v>#VALUE!</v>
      </c>
      <c r="S1599" s="49" t="e">
        <f t="shared" si="1159"/>
        <v>#VALUE!</v>
      </c>
      <c r="T1599" s="48" t="str">
        <f t="shared" si="1160"/>
        <v/>
      </c>
      <c r="U1599" s="50"/>
      <c r="V1599" s="51"/>
      <c r="W1599" s="52" t="e">
        <f t="shared" si="1161"/>
        <v>#VALUE!</v>
      </c>
      <c r="X1599" s="53"/>
      <c r="Y1599" s="53"/>
      <c r="Z1599" s="53"/>
      <c r="AA1599" s="48" t="e">
        <f>INDEX([1]!VISITORS[INSECT ORDER], MATCH(X1599,[1]!VISITORS[NAME USED],0))</f>
        <v>#REF!</v>
      </c>
      <c r="AB1599" s="48" t="e">
        <f t="shared" si="1162"/>
        <v>#REF!</v>
      </c>
      <c r="AC1599" s="54" t="e">
        <f t="shared" si="1163"/>
        <v>#VALUE!</v>
      </c>
      <c r="AD1599" s="55" t="str">
        <f t="shared" si="1177"/>
        <v/>
      </c>
      <c r="AE1599" s="55"/>
      <c r="AF1599" s="55"/>
      <c r="AG1599" s="56" t="str">
        <f t="shared" si="1181"/>
        <v/>
      </c>
      <c r="AH1599" s="57" t="str">
        <f t="shared" si="1182"/>
        <v/>
      </c>
      <c r="AI1599" s="56"/>
      <c r="AJ1599" s="57" t="str">
        <f t="shared" si="1178"/>
        <v/>
      </c>
      <c r="AK1599" s="56"/>
      <c r="AL1599" s="57" t="str">
        <f t="shared" si="1183"/>
        <v/>
      </c>
      <c r="AM1599" s="56"/>
      <c r="AN1599" s="57" t="str">
        <f t="shared" si="1164"/>
        <v/>
      </c>
      <c r="AO1599" s="56"/>
      <c r="AP1599" s="57" t="str">
        <f t="shared" si="1165"/>
        <v/>
      </c>
      <c r="AQ1599" s="56"/>
      <c r="AR1599" s="57" t="str">
        <f t="shared" si="1166"/>
        <v/>
      </c>
      <c r="AS1599" s="56"/>
      <c r="AT1599" s="57" t="str">
        <f t="shared" si="1167"/>
        <v/>
      </c>
      <c r="AU1599" s="58"/>
      <c r="AV1599" s="59"/>
      <c r="AW1599" s="59"/>
      <c r="AX1599" s="60"/>
      <c r="AY1599" s="61" t="str">
        <f t="shared" si="1184"/>
        <v/>
      </c>
      <c r="AZ1599" s="62" t="str">
        <f t="shared" si="1168"/>
        <v/>
      </c>
      <c r="BA1599" s="61" t="str">
        <f t="shared" si="1169"/>
        <v/>
      </c>
      <c r="BB1599" s="62" t="str">
        <f t="shared" si="1170"/>
        <v/>
      </c>
    </row>
    <row r="1600" spans="1:54" hidden="1" x14ac:dyDescent="0.35">
      <c r="A1600" s="73">
        <f t="shared" si="1091"/>
        <v>2019</v>
      </c>
      <c r="B1600" s="73" t="str">
        <f t="shared" si="1171"/>
        <v>Nov</v>
      </c>
      <c r="C1600" s="74">
        <f t="shared" si="1172"/>
        <v>17</v>
      </c>
      <c r="D1600" s="75">
        <f t="shared" si="1173"/>
        <v>15</v>
      </c>
      <c r="E1600" s="76">
        <f t="shared" si="1092"/>
        <v>32</v>
      </c>
      <c r="F1600" s="80"/>
      <c r="G1600" s="83"/>
      <c r="H1600" s="69" t="str">
        <f t="shared" si="1174"/>
        <v>Senbur6_20191117_15_00</v>
      </c>
      <c r="I1600" s="70">
        <f t="shared" ref="I1600:N1600" si="1197">I1599</f>
        <v>1</v>
      </c>
      <c r="J1600" s="77" t="str">
        <f t="shared" si="1197"/>
        <v>Senecio</v>
      </c>
      <c r="K1600" s="77" t="str">
        <f t="shared" si="1197"/>
        <v>burtoni</v>
      </c>
      <c r="L1600" s="78">
        <f t="shared" si="1197"/>
        <v>6</v>
      </c>
      <c r="M1600" s="78">
        <f t="shared" si="1197"/>
        <v>12</v>
      </c>
      <c r="N1600" s="72">
        <f t="shared" si="1197"/>
        <v>0</v>
      </c>
      <c r="O1600" s="45"/>
      <c r="P1600" s="46" t="str">
        <f t="shared" si="1156"/>
        <v/>
      </c>
      <c r="Q1600" s="47" t="str">
        <f t="shared" si="1157"/>
        <v/>
      </c>
      <c r="R1600" s="48" t="e">
        <f t="shared" si="1158"/>
        <v>#VALUE!</v>
      </c>
      <c r="S1600" s="49" t="e">
        <f t="shared" si="1159"/>
        <v>#VALUE!</v>
      </c>
      <c r="T1600" s="48" t="str">
        <f t="shared" si="1160"/>
        <v/>
      </c>
      <c r="U1600" s="50"/>
      <c r="V1600" s="51"/>
      <c r="W1600" s="52" t="e">
        <f t="shared" si="1161"/>
        <v>#VALUE!</v>
      </c>
      <c r="X1600" s="53"/>
      <c r="Y1600" s="53"/>
      <c r="Z1600" s="53"/>
      <c r="AA1600" s="48" t="e">
        <f>INDEX([1]!VISITORS[INSECT ORDER], MATCH(X1600,[1]!VISITORS[NAME USED],0))</f>
        <v>#REF!</v>
      </c>
      <c r="AB1600" s="48" t="e">
        <f t="shared" si="1162"/>
        <v>#REF!</v>
      </c>
      <c r="AC1600" s="54" t="e">
        <f t="shared" si="1163"/>
        <v>#VALUE!</v>
      </c>
      <c r="AD1600" s="55" t="str">
        <f t="shared" si="1177"/>
        <v/>
      </c>
      <c r="AE1600" s="55"/>
      <c r="AF1600" s="55"/>
      <c r="AG1600" s="56" t="str">
        <f t="shared" si="1181"/>
        <v/>
      </c>
      <c r="AH1600" s="57" t="str">
        <f t="shared" si="1182"/>
        <v/>
      </c>
      <c r="AI1600" s="56"/>
      <c r="AJ1600" s="57" t="str">
        <f t="shared" si="1178"/>
        <v/>
      </c>
      <c r="AK1600" s="56"/>
      <c r="AL1600" s="57" t="str">
        <f t="shared" si="1183"/>
        <v/>
      </c>
      <c r="AM1600" s="56"/>
      <c r="AN1600" s="57" t="str">
        <f t="shared" si="1164"/>
        <v/>
      </c>
      <c r="AO1600" s="56"/>
      <c r="AP1600" s="57" t="str">
        <f t="shared" si="1165"/>
        <v/>
      </c>
      <c r="AQ1600" s="56"/>
      <c r="AR1600" s="57" t="str">
        <f t="shared" si="1166"/>
        <v/>
      </c>
      <c r="AS1600" s="56"/>
      <c r="AT1600" s="57" t="str">
        <f t="shared" si="1167"/>
        <v/>
      </c>
      <c r="AU1600" s="58"/>
      <c r="AV1600" s="59"/>
      <c r="AW1600" s="59"/>
      <c r="AX1600" s="60"/>
      <c r="AY1600" s="61" t="str">
        <f t="shared" si="1184"/>
        <v/>
      </c>
      <c r="AZ1600" s="62" t="str">
        <f t="shared" si="1168"/>
        <v/>
      </c>
      <c r="BA1600" s="61" t="str">
        <f t="shared" si="1169"/>
        <v/>
      </c>
      <c r="BB1600" s="62" t="str">
        <f t="shared" si="1170"/>
        <v/>
      </c>
    </row>
    <row r="1601" spans="1:54" hidden="1" x14ac:dyDescent="0.35">
      <c r="A1601" s="73">
        <f t="shared" si="1091"/>
        <v>2019</v>
      </c>
      <c r="B1601" s="73" t="str">
        <f t="shared" si="1171"/>
        <v>Nov</v>
      </c>
      <c r="C1601" s="74">
        <f t="shared" si="1172"/>
        <v>17</v>
      </c>
      <c r="D1601" s="75">
        <f t="shared" si="1173"/>
        <v>15</v>
      </c>
      <c r="E1601" s="76">
        <f t="shared" si="1092"/>
        <v>33</v>
      </c>
      <c r="F1601" s="80">
        <v>50</v>
      </c>
      <c r="G1601" s="83"/>
      <c r="H1601" s="69" t="str">
        <f t="shared" si="1174"/>
        <v>Senbur6_20191117_15_00</v>
      </c>
      <c r="I1601" s="70">
        <f t="shared" ref="I1601:N1601" si="1198">I1600</f>
        <v>1</v>
      </c>
      <c r="J1601" s="77" t="str">
        <f t="shared" si="1198"/>
        <v>Senecio</v>
      </c>
      <c r="K1601" s="77" t="str">
        <f t="shared" si="1198"/>
        <v>burtoni</v>
      </c>
      <c r="L1601" s="78">
        <f t="shared" si="1198"/>
        <v>6</v>
      </c>
      <c r="M1601" s="78">
        <f t="shared" si="1198"/>
        <v>12</v>
      </c>
      <c r="N1601" s="72">
        <f t="shared" si="1198"/>
        <v>0</v>
      </c>
      <c r="O1601" s="45"/>
      <c r="P1601" s="46">
        <f t="shared" si="1156"/>
        <v>1</v>
      </c>
      <c r="Q1601" s="47" t="str">
        <f t="shared" si="1157"/>
        <v>15:33:50</v>
      </c>
      <c r="R1601" s="48" t="str">
        <f t="shared" si="1158"/>
        <v>33:50</v>
      </c>
      <c r="S1601" s="49">
        <f t="shared" si="1159"/>
        <v>671</v>
      </c>
      <c r="T1601" s="48" t="str">
        <f t="shared" si="1160"/>
        <v>15</v>
      </c>
      <c r="U1601" s="50">
        <v>45</v>
      </c>
      <c r="V1601" s="51">
        <v>1</v>
      </c>
      <c r="W1601" s="52" t="str">
        <f t="shared" si="1161"/>
        <v>45:01</v>
      </c>
      <c r="X1601" s="53" t="s">
        <v>61</v>
      </c>
      <c r="Y1601" s="97" t="s">
        <v>78</v>
      </c>
      <c r="Z1601" s="97"/>
      <c r="AA1601" s="48" t="s">
        <v>60</v>
      </c>
      <c r="AB1601" s="48" t="str">
        <f t="shared" si="1162"/>
        <v>NA</v>
      </c>
      <c r="AC1601" s="54">
        <f t="shared" si="1163"/>
        <v>0</v>
      </c>
      <c r="AD1601" s="55">
        <v>4</v>
      </c>
      <c r="AE1601" s="55"/>
      <c r="AF1601" s="55"/>
      <c r="AG1601" s="56">
        <v>1</v>
      </c>
      <c r="AH1601" s="57">
        <v>6</v>
      </c>
      <c r="AI1601" s="56">
        <v>1</v>
      </c>
      <c r="AJ1601" s="57">
        <v>3</v>
      </c>
      <c r="AK1601" s="56">
        <v>1</v>
      </c>
      <c r="AL1601" s="57">
        <v>662</v>
      </c>
      <c r="AM1601" s="56"/>
      <c r="AN1601" s="57" t="str">
        <f t="shared" si="1164"/>
        <v/>
      </c>
      <c r="AO1601" s="56"/>
      <c r="AP1601" s="57" t="str">
        <f t="shared" si="1165"/>
        <v/>
      </c>
      <c r="AQ1601" s="56"/>
      <c r="AR1601" s="57" t="str">
        <f t="shared" si="1166"/>
        <v/>
      </c>
      <c r="AS1601" s="56"/>
      <c r="AT1601" s="57" t="str">
        <f t="shared" si="1167"/>
        <v/>
      </c>
      <c r="AU1601" s="58"/>
      <c r="AV1601" s="59"/>
      <c r="AW1601" s="59"/>
      <c r="AX1601" s="60"/>
      <c r="AY1601" s="61">
        <v>1</v>
      </c>
      <c r="AZ1601" s="62">
        <f t="shared" si="1168"/>
        <v>4</v>
      </c>
      <c r="BA1601" s="61">
        <f t="shared" si="1169"/>
        <v>0</v>
      </c>
      <c r="BB1601" s="62" t="str">
        <f t="shared" si="1170"/>
        <v/>
      </c>
    </row>
    <row r="1602" spans="1:54" hidden="1" x14ac:dyDescent="0.35">
      <c r="A1602" s="73">
        <f t="shared" si="1091"/>
        <v>2019</v>
      </c>
      <c r="B1602" s="73" t="str">
        <f t="shared" si="1171"/>
        <v>Nov</v>
      </c>
      <c r="C1602" s="74">
        <f t="shared" si="1172"/>
        <v>17</v>
      </c>
      <c r="D1602" s="75">
        <f t="shared" si="1173"/>
        <v>15</v>
      </c>
      <c r="E1602" s="76">
        <f t="shared" si="1092"/>
        <v>34</v>
      </c>
      <c r="F1602" s="80"/>
      <c r="G1602" s="83"/>
      <c r="H1602" s="69" t="str">
        <f t="shared" si="1174"/>
        <v>Senbur6_20191117_15_00</v>
      </c>
      <c r="I1602" s="70">
        <f t="shared" ref="I1602:N1602" si="1199">I1601</f>
        <v>1</v>
      </c>
      <c r="J1602" s="77" t="str">
        <f t="shared" si="1199"/>
        <v>Senecio</v>
      </c>
      <c r="K1602" s="77" t="str">
        <f t="shared" si="1199"/>
        <v>burtoni</v>
      </c>
      <c r="L1602" s="78">
        <f t="shared" si="1199"/>
        <v>6</v>
      </c>
      <c r="M1602" s="78">
        <f t="shared" si="1199"/>
        <v>12</v>
      </c>
      <c r="N1602" s="72">
        <f t="shared" si="1199"/>
        <v>0</v>
      </c>
      <c r="O1602" s="45"/>
      <c r="P1602" s="46" t="str">
        <f t="shared" si="1156"/>
        <v/>
      </c>
      <c r="Q1602" s="47" t="str">
        <f t="shared" si="1157"/>
        <v/>
      </c>
      <c r="R1602" s="48" t="e">
        <f t="shared" si="1158"/>
        <v>#VALUE!</v>
      </c>
      <c r="S1602" s="49" t="e">
        <f t="shared" si="1159"/>
        <v>#VALUE!</v>
      </c>
      <c r="T1602" s="48" t="str">
        <f t="shared" si="1160"/>
        <v/>
      </c>
      <c r="U1602" s="50"/>
      <c r="V1602" s="51"/>
      <c r="W1602" s="52" t="e">
        <f t="shared" si="1161"/>
        <v>#VALUE!</v>
      </c>
      <c r="X1602" s="53"/>
      <c r="Y1602" s="53"/>
      <c r="Z1602" s="53"/>
      <c r="AA1602" s="48" t="e">
        <f>INDEX([1]!VISITORS[INSECT ORDER], MATCH(X1602,[1]!VISITORS[NAME USED],0))</f>
        <v>#REF!</v>
      </c>
      <c r="AB1602" s="48" t="e">
        <f t="shared" si="1162"/>
        <v>#REF!</v>
      </c>
      <c r="AC1602" s="54" t="e">
        <f t="shared" si="1163"/>
        <v>#VALUE!</v>
      </c>
      <c r="AD1602" s="55" t="str">
        <f t="shared" si="1177"/>
        <v/>
      </c>
      <c r="AE1602" s="55"/>
      <c r="AF1602" s="55"/>
      <c r="AG1602" s="56" t="str">
        <f t="shared" si="1181"/>
        <v/>
      </c>
      <c r="AH1602" s="57" t="str">
        <f t="shared" si="1182"/>
        <v/>
      </c>
      <c r="AI1602" s="56"/>
      <c r="AJ1602" s="57" t="str">
        <f t="shared" si="1178"/>
        <v/>
      </c>
      <c r="AK1602" s="56"/>
      <c r="AL1602" s="57" t="str">
        <f t="shared" si="1183"/>
        <v/>
      </c>
      <c r="AM1602" s="56"/>
      <c r="AN1602" s="57" t="str">
        <f t="shared" si="1164"/>
        <v/>
      </c>
      <c r="AO1602" s="56"/>
      <c r="AP1602" s="57" t="str">
        <f t="shared" si="1165"/>
        <v/>
      </c>
      <c r="AQ1602" s="56"/>
      <c r="AR1602" s="57" t="str">
        <f t="shared" si="1166"/>
        <v/>
      </c>
      <c r="AS1602" s="56"/>
      <c r="AT1602" s="57" t="str">
        <f t="shared" si="1167"/>
        <v/>
      </c>
      <c r="AU1602" s="58"/>
      <c r="AV1602" s="59"/>
      <c r="AW1602" s="59"/>
      <c r="AX1602" s="60"/>
      <c r="AY1602" s="61" t="str">
        <f t="shared" si="1184"/>
        <v/>
      </c>
      <c r="AZ1602" s="62" t="str">
        <f t="shared" si="1168"/>
        <v/>
      </c>
      <c r="BA1602" s="61" t="str">
        <f t="shared" si="1169"/>
        <v/>
      </c>
      <c r="BB1602" s="62" t="str">
        <f t="shared" si="1170"/>
        <v/>
      </c>
    </row>
    <row r="1603" spans="1:54" hidden="1" x14ac:dyDescent="0.35">
      <c r="A1603" s="73">
        <f t="shared" si="1091"/>
        <v>2019</v>
      </c>
      <c r="B1603" s="73" t="str">
        <f t="shared" si="1171"/>
        <v>Nov</v>
      </c>
      <c r="C1603" s="74">
        <f t="shared" si="1172"/>
        <v>17</v>
      </c>
      <c r="D1603" s="75">
        <f t="shared" si="1173"/>
        <v>15</v>
      </c>
      <c r="E1603" s="76">
        <f t="shared" si="1092"/>
        <v>35</v>
      </c>
      <c r="F1603" s="80"/>
      <c r="G1603" s="83"/>
      <c r="H1603" s="69" t="str">
        <f t="shared" si="1174"/>
        <v>Senbur6_20191117_15_00</v>
      </c>
      <c r="I1603" s="70">
        <f t="shared" ref="I1603:N1603" si="1200">I1602</f>
        <v>1</v>
      </c>
      <c r="J1603" s="77" t="str">
        <f t="shared" si="1200"/>
        <v>Senecio</v>
      </c>
      <c r="K1603" s="77" t="str">
        <f t="shared" si="1200"/>
        <v>burtoni</v>
      </c>
      <c r="L1603" s="78">
        <f t="shared" si="1200"/>
        <v>6</v>
      </c>
      <c r="M1603" s="78">
        <f t="shared" si="1200"/>
        <v>12</v>
      </c>
      <c r="N1603" s="72">
        <f t="shared" si="1200"/>
        <v>0</v>
      </c>
      <c r="O1603" s="45"/>
      <c r="P1603" s="46" t="str">
        <f t="shared" si="1156"/>
        <v/>
      </c>
      <c r="Q1603" s="47" t="str">
        <f t="shared" si="1157"/>
        <v/>
      </c>
      <c r="R1603" s="48" t="e">
        <f t="shared" si="1158"/>
        <v>#VALUE!</v>
      </c>
      <c r="S1603" s="49" t="e">
        <f t="shared" si="1159"/>
        <v>#VALUE!</v>
      </c>
      <c r="T1603" s="48" t="str">
        <f t="shared" si="1160"/>
        <v/>
      </c>
      <c r="U1603" s="50"/>
      <c r="V1603" s="51"/>
      <c r="W1603" s="52" t="e">
        <f t="shared" si="1161"/>
        <v>#VALUE!</v>
      </c>
      <c r="X1603" s="53"/>
      <c r="Y1603" s="53"/>
      <c r="Z1603" s="53"/>
      <c r="AA1603" s="48" t="e">
        <f>INDEX([1]!VISITORS[INSECT ORDER], MATCH(X1603,[1]!VISITORS[NAME USED],0))</f>
        <v>#REF!</v>
      </c>
      <c r="AB1603" s="48" t="e">
        <f t="shared" si="1162"/>
        <v>#REF!</v>
      </c>
      <c r="AC1603" s="54" t="e">
        <f t="shared" si="1163"/>
        <v>#VALUE!</v>
      </c>
      <c r="AD1603" s="55" t="str">
        <f t="shared" si="1177"/>
        <v/>
      </c>
      <c r="AE1603" s="55"/>
      <c r="AF1603" s="55"/>
      <c r="AG1603" s="56" t="str">
        <f t="shared" si="1181"/>
        <v/>
      </c>
      <c r="AH1603" s="57" t="str">
        <f t="shared" si="1182"/>
        <v/>
      </c>
      <c r="AI1603" s="56"/>
      <c r="AJ1603" s="57" t="str">
        <f t="shared" si="1178"/>
        <v/>
      </c>
      <c r="AK1603" s="56"/>
      <c r="AL1603" s="57" t="str">
        <f t="shared" si="1183"/>
        <v/>
      </c>
      <c r="AM1603" s="56"/>
      <c r="AN1603" s="57" t="str">
        <f t="shared" si="1164"/>
        <v/>
      </c>
      <c r="AO1603" s="56"/>
      <c r="AP1603" s="57" t="str">
        <f t="shared" si="1165"/>
        <v/>
      </c>
      <c r="AQ1603" s="56"/>
      <c r="AR1603" s="57" t="str">
        <f t="shared" si="1166"/>
        <v/>
      </c>
      <c r="AS1603" s="56"/>
      <c r="AT1603" s="57" t="str">
        <f t="shared" si="1167"/>
        <v/>
      </c>
      <c r="AU1603" s="58"/>
      <c r="AV1603" s="59"/>
      <c r="AW1603" s="59"/>
      <c r="AX1603" s="60"/>
      <c r="AY1603" s="61" t="str">
        <f t="shared" si="1184"/>
        <v/>
      </c>
      <c r="AZ1603" s="62" t="str">
        <f t="shared" si="1168"/>
        <v/>
      </c>
      <c r="BA1603" s="61" t="str">
        <f t="shared" si="1169"/>
        <v/>
      </c>
      <c r="BB1603" s="62" t="str">
        <f t="shared" si="1170"/>
        <v/>
      </c>
    </row>
    <row r="1604" spans="1:54" hidden="1" x14ac:dyDescent="0.35">
      <c r="A1604" s="73">
        <f t="shared" si="1091"/>
        <v>2019</v>
      </c>
      <c r="B1604" s="73" t="str">
        <f t="shared" si="1171"/>
        <v>Nov</v>
      </c>
      <c r="C1604" s="74">
        <f t="shared" si="1172"/>
        <v>17</v>
      </c>
      <c r="D1604" s="75">
        <f t="shared" si="1173"/>
        <v>15</v>
      </c>
      <c r="E1604" s="76">
        <f t="shared" si="1092"/>
        <v>36</v>
      </c>
      <c r="F1604" s="80"/>
      <c r="G1604" s="83"/>
      <c r="H1604" s="69" t="str">
        <f t="shared" si="1174"/>
        <v>Senbur6_20191117_15_00</v>
      </c>
      <c r="I1604" s="70">
        <f t="shared" ref="I1604:N1604" si="1201">I1603</f>
        <v>1</v>
      </c>
      <c r="J1604" s="77" t="str">
        <f t="shared" si="1201"/>
        <v>Senecio</v>
      </c>
      <c r="K1604" s="77" t="str">
        <f t="shared" si="1201"/>
        <v>burtoni</v>
      </c>
      <c r="L1604" s="78">
        <f t="shared" si="1201"/>
        <v>6</v>
      </c>
      <c r="M1604" s="78">
        <f t="shared" si="1201"/>
        <v>12</v>
      </c>
      <c r="N1604" s="72">
        <f t="shared" si="1201"/>
        <v>0</v>
      </c>
      <c r="O1604" s="45"/>
      <c r="P1604" s="46" t="str">
        <f t="shared" si="1156"/>
        <v/>
      </c>
      <c r="Q1604" s="47" t="str">
        <f t="shared" si="1157"/>
        <v/>
      </c>
      <c r="R1604" s="48" t="e">
        <f t="shared" si="1158"/>
        <v>#VALUE!</v>
      </c>
      <c r="S1604" s="49" t="e">
        <f t="shared" si="1159"/>
        <v>#VALUE!</v>
      </c>
      <c r="T1604" s="48" t="str">
        <f t="shared" si="1160"/>
        <v/>
      </c>
      <c r="U1604" s="50"/>
      <c r="V1604" s="51"/>
      <c r="W1604" s="52" t="e">
        <f t="shared" si="1161"/>
        <v>#VALUE!</v>
      </c>
      <c r="X1604" s="53"/>
      <c r="Y1604" s="53"/>
      <c r="Z1604" s="53"/>
      <c r="AA1604" s="48" t="e">
        <f>INDEX([1]!VISITORS[INSECT ORDER], MATCH(X1604,[1]!VISITORS[NAME USED],0))</f>
        <v>#REF!</v>
      </c>
      <c r="AB1604" s="48" t="e">
        <f t="shared" si="1162"/>
        <v>#REF!</v>
      </c>
      <c r="AC1604" s="54" t="e">
        <f t="shared" si="1163"/>
        <v>#VALUE!</v>
      </c>
      <c r="AD1604" s="55" t="str">
        <f t="shared" si="1177"/>
        <v/>
      </c>
      <c r="AE1604" s="55"/>
      <c r="AF1604" s="55"/>
      <c r="AG1604" s="56" t="str">
        <f t="shared" si="1181"/>
        <v/>
      </c>
      <c r="AH1604" s="57" t="str">
        <f t="shared" si="1182"/>
        <v/>
      </c>
      <c r="AI1604" s="56"/>
      <c r="AJ1604" s="57" t="str">
        <f t="shared" si="1178"/>
        <v/>
      </c>
      <c r="AK1604" s="56"/>
      <c r="AL1604" s="57" t="str">
        <f t="shared" si="1183"/>
        <v/>
      </c>
      <c r="AM1604" s="56"/>
      <c r="AN1604" s="57" t="str">
        <f t="shared" si="1164"/>
        <v/>
      </c>
      <c r="AO1604" s="56"/>
      <c r="AP1604" s="57" t="str">
        <f t="shared" si="1165"/>
        <v/>
      </c>
      <c r="AQ1604" s="56"/>
      <c r="AR1604" s="57" t="str">
        <f t="shared" si="1166"/>
        <v/>
      </c>
      <c r="AS1604" s="56"/>
      <c r="AT1604" s="57" t="str">
        <f t="shared" si="1167"/>
        <v/>
      </c>
      <c r="AU1604" s="58"/>
      <c r="AV1604" s="59"/>
      <c r="AW1604" s="59"/>
      <c r="AX1604" s="60"/>
      <c r="AY1604" s="61" t="str">
        <f t="shared" si="1184"/>
        <v/>
      </c>
      <c r="AZ1604" s="62" t="str">
        <f t="shared" si="1168"/>
        <v/>
      </c>
      <c r="BA1604" s="61" t="str">
        <f t="shared" si="1169"/>
        <v/>
      </c>
      <c r="BB1604" s="62" t="str">
        <f t="shared" si="1170"/>
        <v/>
      </c>
    </row>
    <row r="1605" spans="1:54" hidden="1" x14ac:dyDescent="0.35">
      <c r="A1605" s="73">
        <f t="shared" si="1091"/>
        <v>2019</v>
      </c>
      <c r="B1605" s="73" t="str">
        <f t="shared" si="1171"/>
        <v>Nov</v>
      </c>
      <c r="C1605" s="74">
        <f t="shared" si="1172"/>
        <v>17</v>
      </c>
      <c r="D1605" s="75">
        <f t="shared" si="1173"/>
        <v>15</v>
      </c>
      <c r="E1605" s="76">
        <f t="shared" si="1092"/>
        <v>37</v>
      </c>
      <c r="F1605" s="80">
        <v>23</v>
      </c>
      <c r="G1605" s="83"/>
      <c r="H1605" s="69" t="str">
        <f t="shared" si="1174"/>
        <v>Senbur6_20191117_15_00</v>
      </c>
      <c r="I1605" s="70">
        <f t="shared" ref="I1605:N1605" si="1202">I1604</f>
        <v>1</v>
      </c>
      <c r="J1605" s="77" t="str">
        <f t="shared" si="1202"/>
        <v>Senecio</v>
      </c>
      <c r="K1605" s="77" t="str">
        <f t="shared" si="1202"/>
        <v>burtoni</v>
      </c>
      <c r="L1605" s="78">
        <f t="shared" si="1202"/>
        <v>6</v>
      </c>
      <c r="M1605" s="78">
        <f t="shared" si="1202"/>
        <v>12</v>
      </c>
      <c r="N1605" s="72">
        <f t="shared" si="1202"/>
        <v>0</v>
      </c>
      <c r="O1605" s="45"/>
      <c r="P1605" s="46">
        <f t="shared" si="1156"/>
        <v>1</v>
      </c>
      <c r="Q1605" s="47" t="str">
        <f t="shared" si="1157"/>
        <v>15:37:23</v>
      </c>
      <c r="R1605" s="48" t="str">
        <f t="shared" si="1158"/>
        <v>37:23</v>
      </c>
      <c r="S1605" s="49">
        <f t="shared" si="1159"/>
        <v>29</v>
      </c>
      <c r="T1605" s="48" t="str">
        <f t="shared" si="1160"/>
        <v>15</v>
      </c>
      <c r="U1605" s="50">
        <v>37</v>
      </c>
      <c r="V1605" s="51">
        <v>52</v>
      </c>
      <c r="W1605" s="52" t="str">
        <f t="shared" si="1161"/>
        <v>37:52</v>
      </c>
      <c r="X1605" s="53" t="s">
        <v>61</v>
      </c>
      <c r="Y1605" s="97" t="s">
        <v>84</v>
      </c>
      <c r="Z1605" s="97" t="s">
        <v>80</v>
      </c>
      <c r="AA1605" s="48" t="s">
        <v>60</v>
      </c>
      <c r="AB1605" s="48" t="str">
        <f t="shared" si="1162"/>
        <v>NA</v>
      </c>
      <c r="AC1605" s="54">
        <f t="shared" si="1163"/>
        <v>0</v>
      </c>
      <c r="AD1605" s="55">
        <f t="shared" si="1177"/>
        <v>1</v>
      </c>
      <c r="AE1605" s="55"/>
      <c r="AF1605" s="55"/>
      <c r="AG1605" s="56" t="str">
        <f t="shared" si="1181"/>
        <v/>
      </c>
      <c r="AH1605" s="57" t="str">
        <f t="shared" si="1182"/>
        <v/>
      </c>
      <c r="AI1605" s="56"/>
      <c r="AJ1605" s="57" t="str">
        <f t="shared" si="1178"/>
        <v/>
      </c>
      <c r="AK1605" s="56">
        <v>1</v>
      </c>
      <c r="AL1605" s="57">
        <f t="shared" si="1183"/>
        <v>29</v>
      </c>
      <c r="AM1605" s="56"/>
      <c r="AN1605" s="57" t="str">
        <f t="shared" si="1164"/>
        <v/>
      </c>
      <c r="AO1605" s="56"/>
      <c r="AP1605" s="57" t="str">
        <f t="shared" si="1165"/>
        <v/>
      </c>
      <c r="AQ1605" s="56"/>
      <c r="AR1605" s="57" t="str">
        <f t="shared" si="1166"/>
        <v/>
      </c>
      <c r="AS1605" s="56"/>
      <c r="AT1605" s="57" t="str">
        <f t="shared" si="1167"/>
        <v/>
      </c>
      <c r="AU1605" s="58"/>
      <c r="AV1605" s="59"/>
      <c r="AW1605" s="59"/>
      <c r="AX1605" s="60"/>
      <c r="AY1605" s="61">
        <v>1</v>
      </c>
      <c r="AZ1605" s="62">
        <f t="shared" si="1168"/>
        <v>1</v>
      </c>
      <c r="BA1605" s="61">
        <f t="shared" si="1169"/>
        <v>0</v>
      </c>
      <c r="BB1605" s="62" t="str">
        <f t="shared" si="1170"/>
        <v/>
      </c>
    </row>
    <row r="1606" spans="1:54" hidden="1" x14ac:dyDescent="0.35">
      <c r="A1606" s="73">
        <f t="shared" si="1091"/>
        <v>2019</v>
      </c>
      <c r="B1606" s="73" t="str">
        <f t="shared" si="1171"/>
        <v>Nov</v>
      </c>
      <c r="C1606" s="74">
        <f t="shared" si="1172"/>
        <v>17</v>
      </c>
      <c r="D1606" s="75">
        <f t="shared" si="1173"/>
        <v>15</v>
      </c>
      <c r="E1606" s="76">
        <v>36</v>
      </c>
      <c r="F1606" s="80">
        <v>26</v>
      </c>
      <c r="G1606" s="83"/>
      <c r="H1606" s="69" t="str">
        <f t="shared" si="1174"/>
        <v>Senbur6_20191117_15_00</v>
      </c>
      <c r="I1606" s="70">
        <f t="shared" ref="I1606:N1606" si="1203">I1605</f>
        <v>1</v>
      </c>
      <c r="J1606" s="77" t="str">
        <f t="shared" si="1203"/>
        <v>Senecio</v>
      </c>
      <c r="K1606" s="77" t="str">
        <f t="shared" si="1203"/>
        <v>burtoni</v>
      </c>
      <c r="L1606" s="78">
        <f t="shared" si="1203"/>
        <v>6</v>
      </c>
      <c r="M1606" s="78">
        <f t="shared" si="1203"/>
        <v>12</v>
      </c>
      <c r="N1606" s="72">
        <f t="shared" si="1203"/>
        <v>0</v>
      </c>
      <c r="O1606" s="45"/>
      <c r="P1606" s="46">
        <f t="shared" si="1156"/>
        <v>1</v>
      </c>
      <c r="Q1606" s="47" t="str">
        <f t="shared" si="1157"/>
        <v>15:36:26</v>
      </c>
      <c r="R1606" s="48" t="str">
        <f t="shared" si="1158"/>
        <v>36:26</v>
      </c>
      <c r="S1606" s="49">
        <f t="shared" si="1159"/>
        <v>440</v>
      </c>
      <c r="T1606" s="48" t="str">
        <f t="shared" si="1160"/>
        <v>15</v>
      </c>
      <c r="U1606" s="50">
        <v>43</v>
      </c>
      <c r="V1606" s="51">
        <v>46</v>
      </c>
      <c r="W1606" s="52" t="str">
        <f t="shared" si="1161"/>
        <v>43:46</v>
      </c>
      <c r="X1606" s="53" t="s">
        <v>61</v>
      </c>
      <c r="Y1606" s="97" t="s">
        <v>78</v>
      </c>
      <c r="Z1606" s="97"/>
      <c r="AA1606" s="48" t="s">
        <v>60</v>
      </c>
      <c r="AB1606" s="48" t="str">
        <f t="shared" si="1162"/>
        <v>NA</v>
      </c>
      <c r="AC1606" s="54">
        <f t="shared" si="1163"/>
        <v>0</v>
      </c>
      <c r="AD1606" s="55">
        <v>6</v>
      </c>
      <c r="AE1606" s="55"/>
      <c r="AF1606" s="55"/>
      <c r="AG1606" s="56">
        <v>1</v>
      </c>
      <c r="AH1606" s="57">
        <v>18</v>
      </c>
      <c r="AI1606" s="56">
        <v>1</v>
      </c>
      <c r="AJ1606" s="57">
        <v>9</v>
      </c>
      <c r="AK1606" s="56">
        <v>1</v>
      </c>
      <c r="AL1606" s="57">
        <v>413</v>
      </c>
      <c r="AM1606" s="56"/>
      <c r="AN1606" s="57" t="str">
        <f t="shared" si="1164"/>
        <v/>
      </c>
      <c r="AO1606" s="56"/>
      <c r="AP1606" s="57" t="str">
        <f t="shared" si="1165"/>
        <v/>
      </c>
      <c r="AQ1606" s="56"/>
      <c r="AR1606" s="57" t="str">
        <f t="shared" si="1166"/>
        <v/>
      </c>
      <c r="AS1606" s="56"/>
      <c r="AT1606" s="57" t="str">
        <f t="shared" si="1167"/>
        <v/>
      </c>
      <c r="AU1606" s="58"/>
      <c r="AV1606" s="59"/>
      <c r="AW1606" s="59"/>
      <c r="AX1606" s="60"/>
      <c r="AY1606" s="61">
        <v>1</v>
      </c>
      <c r="AZ1606" s="62">
        <f t="shared" si="1168"/>
        <v>6</v>
      </c>
      <c r="BA1606" s="61">
        <f t="shared" si="1169"/>
        <v>0</v>
      </c>
      <c r="BB1606" s="62" t="str">
        <f t="shared" si="1170"/>
        <v/>
      </c>
    </row>
    <row r="1607" spans="1:54" hidden="1" x14ac:dyDescent="0.35">
      <c r="A1607" s="73">
        <f t="shared" si="1091"/>
        <v>2019</v>
      </c>
      <c r="B1607" s="73" t="str">
        <f t="shared" si="1171"/>
        <v>Nov</v>
      </c>
      <c r="C1607" s="74">
        <f t="shared" si="1172"/>
        <v>17</v>
      </c>
      <c r="D1607" s="75">
        <f t="shared" si="1173"/>
        <v>15</v>
      </c>
      <c r="E1607" s="76">
        <f t="shared" si="1092"/>
        <v>37</v>
      </c>
      <c r="F1607" s="80"/>
      <c r="G1607" s="83"/>
      <c r="H1607" s="69" t="str">
        <f t="shared" si="1174"/>
        <v>Senbur6_20191117_15_00</v>
      </c>
      <c r="I1607" s="70">
        <f t="shared" ref="I1607:N1607" si="1204">I1606</f>
        <v>1</v>
      </c>
      <c r="J1607" s="77" t="str">
        <f t="shared" si="1204"/>
        <v>Senecio</v>
      </c>
      <c r="K1607" s="77" t="str">
        <f t="shared" si="1204"/>
        <v>burtoni</v>
      </c>
      <c r="L1607" s="78">
        <f t="shared" si="1204"/>
        <v>6</v>
      </c>
      <c r="M1607" s="78">
        <f t="shared" si="1204"/>
        <v>12</v>
      </c>
      <c r="N1607" s="72">
        <f t="shared" si="1204"/>
        <v>0</v>
      </c>
      <c r="O1607" s="45"/>
      <c r="P1607" s="46" t="str">
        <f t="shared" si="1156"/>
        <v/>
      </c>
      <c r="Q1607" s="47" t="str">
        <f t="shared" si="1157"/>
        <v/>
      </c>
      <c r="R1607" s="48" t="e">
        <f t="shared" si="1158"/>
        <v>#VALUE!</v>
      </c>
      <c r="S1607" s="49" t="e">
        <f t="shared" si="1159"/>
        <v>#VALUE!</v>
      </c>
      <c r="T1607" s="48" t="str">
        <f t="shared" si="1160"/>
        <v/>
      </c>
      <c r="U1607" s="50"/>
      <c r="V1607" s="51"/>
      <c r="W1607" s="52" t="e">
        <f t="shared" si="1161"/>
        <v>#VALUE!</v>
      </c>
      <c r="X1607" s="53"/>
      <c r="Y1607" s="53"/>
      <c r="Z1607" s="53"/>
      <c r="AA1607" s="48" t="e">
        <f>INDEX([1]!VISITORS[INSECT ORDER], MATCH(X1607,[1]!VISITORS[NAME USED],0))</f>
        <v>#REF!</v>
      </c>
      <c r="AB1607" s="48" t="e">
        <f t="shared" si="1162"/>
        <v>#REF!</v>
      </c>
      <c r="AC1607" s="54" t="e">
        <f t="shared" si="1163"/>
        <v>#VALUE!</v>
      </c>
      <c r="AD1607" s="55" t="str">
        <f t="shared" si="1177"/>
        <v/>
      </c>
      <c r="AE1607" s="55"/>
      <c r="AF1607" s="55"/>
      <c r="AG1607" s="56" t="str">
        <f t="shared" si="1181"/>
        <v/>
      </c>
      <c r="AH1607" s="57" t="str">
        <f t="shared" si="1182"/>
        <v/>
      </c>
      <c r="AI1607" s="56"/>
      <c r="AJ1607" s="57" t="str">
        <f t="shared" si="1178"/>
        <v/>
      </c>
      <c r="AK1607" s="56"/>
      <c r="AL1607" s="57" t="str">
        <f t="shared" si="1183"/>
        <v/>
      </c>
      <c r="AM1607" s="56"/>
      <c r="AN1607" s="57" t="str">
        <f t="shared" si="1164"/>
        <v/>
      </c>
      <c r="AO1607" s="56"/>
      <c r="AP1607" s="57" t="str">
        <f t="shared" si="1165"/>
        <v/>
      </c>
      <c r="AQ1607" s="56"/>
      <c r="AR1607" s="57" t="str">
        <f t="shared" si="1166"/>
        <v/>
      </c>
      <c r="AS1607" s="56"/>
      <c r="AT1607" s="57" t="str">
        <f t="shared" si="1167"/>
        <v/>
      </c>
      <c r="AU1607" s="58"/>
      <c r="AV1607" s="59"/>
      <c r="AW1607" s="59"/>
      <c r="AX1607" s="60"/>
      <c r="AY1607" s="61" t="str">
        <f t="shared" si="1184"/>
        <v/>
      </c>
      <c r="AZ1607" s="62" t="str">
        <f t="shared" si="1168"/>
        <v/>
      </c>
      <c r="BA1607" s="61" t="str">
        <f t="shared" si="1169"/>
        <v/>
      </c>
      <c r="BB1607" s="62" t="str">
        <f t="shared" si="1170"/>
        <v/>
      </c>
    </row>
    <row r="1608" spans="1:54" hidden="1" x14ac:dyDescent="0.35">
      <c r="A1608" s="73">
        <f t="shared" si="1091"/>
        <v>2019</v>
      </c>
      <c r="B1608" s="73" t="str">
        <f t="shared" si="1171"/>
        <v>Nov</v>
      </c>
      <c r="C1608" s="74">
        <f t="shared" si="1172"/>
        <v>17</v>
      </c>
      <c r="D1608" s="75">
        <f t="shared" si="1173"/>
        <v>15</v>
      </c>
      <c r="E1608" s="76">
        <f t="shared" si="1092"/>
        <v>38</v>
      </c>
      <c r="F1608" s="80"/>
      <c r="G1608" s="83"/>
      <c r="H1608" s="69" t="str">
        <f t="shared" si="1174"/>
        <v>Senbur6_20191117_15_00</v>
      </c>
      <c r="I1608" s="70">
        <f t="shared" ref="I1608:N1608" si="1205">I1607</f>
        <v>1</v>
      </c>
      <c r="J1608" s="77" t="str">
        <f t="shared" si="1205"/>
        <v>Senecio</v>
      </c>
      <c r="K1608" s="77" t="str">
        <f t="shared" si="1205"/>
        <v>burtoni</v>
      </c>
      <c r="L1608" s="78">
        <f t="shared" si="1205"/>
        <v>6</v>
      </c>
      <c r="M1608" s="78">
        <f t="shared" si="1205"/>
        <v>12</v>
      </c>
      <c r="N1608" s="72">
        <f t="shared" si="1205"/>
        <v>0</v>
      </c>
      <c r="O1608" s="45"/>
      <c r="P1608" s="46" t="str">
        <f t="shared" si="1156"/>
        <v/>
      </c>
      <c r="Q1608" s="47" t="str">
        <f t="shared" si="1157"/>
        <v/>
      </c>
      <c r="R1608" s="48" t="e">
        <f t="shared" si="1158"/>
        <v>#VALUE!</v>
      </c>
      <c r="S1608" s="49" t="e">
        <f t="shared" si="1159"/>
        <v>#VALUE!</v>
      </c>
      <c r="T1608" s="48" t="str">
        <f t="shared" si="1160"/>
        <v/>
      </c>
      <c r="U1608" s="50"/>
      <c r="V1608" s="51"/>
      <c r="W1608" s="52" t="e">
        <f t="shared" si="1161"/>
        <v>#VALUE!</v>
      </c>
      <c r="X1608" s="53"/>
      <c r="Y1608" s="53"/>
      <c r="Z1608" s="53"/>
      <c r="AA1608" s="48" t="e">
        <f>INDEX([1]!VISITORS[INSECT ORDER], MATCH(X1608,[1]!VISITORS[NAME USED],0))</f>
        <v>#REF!</v>
      </c>
      <c r="AB1608" s="48" t="e">
        <f t="shared" si="1162"/>
        <v>#REF!</v>
      </c>
      <c r="AC1608" s="54" t="e">
        <f t="shared" si="1163"/>
        <v>#VALUE!</v>
      </c>
      <c r="AD1608" s="55" t="str">
        <f t="shared" si="1177"/>
        <v/>
      </c>
      <c r="AE1608" s="55"/>
      <c r="AF1608" s="55"/>
      <c r="AG1608" s="56" t="str">
        <f t="shared" si="1181"/>
        <v/>
      </c>
      <c r="AH1608" s="57" t="str">
        <f t="shared" si="1182"/>
        <v/>
      </c>
      <c r="AI1608" s="56"/>
      <c r="AJ1608" s="57" t="str">
        <f t="shared" si="1178"/>
        <v/>
      </c>
      <c r="AK1608" s="56"/>
      <c r="AL1608" s="57" t="str">
        <f t="shared" si="1183"/>
        <v/>
      </c>
      <c r="AM1608" s="56"/>
      <c r="AN1608" s="57" t="str">
        <f t="shared" si="1164"/>
        <v/>
      </c>
      <c r="AO1608" s="56"/>
      <c r="AP1608" s="57" t="str">
        <f t="shared" si="1165"/>
        <v/>
      </c>
      <c r="AQ1608" s="56"/>
      <c r="AR1608" s="57" t="str">
        <f t="shared" si="1166"/>
        <v/>
      </c>
      <c r="AS1608" s="56"/>
      <c r="AT1608" s="57" t="str">
        <f t="shared" si="1167"/>
        <v/>
      </c>
      <c r="AU1608" s="58"/>
      <c r="AV1608" s="59"/>
      <c r="AW1608" s="59"/>
      <c r="AX1608" s="60"/>
      <c r="AY1608" s="61" t="str">
        <f t="shared" si="1184"/>
        <v/>
      </c>
      <c r="AZ1608" s="62" t="str">
        <f t="shared" si="1168"/>
        <v/>
      </c>
      <c r="BA1608" s="61" t="str">
        <f t="shared" si="1169"/>
        <v/>
      </c>
      <c r="BB1608" s="62" t="str">
        <f t="shared" si="1170"/>
        <v/>
      </c>
    </row>
    <row r="1609" spans="1:54" hidden="1" x14ac:dyDescent="0.35">
      <c r="A1609" s="73">
        <f t="shared" si="1091"/>
        <v>2019</v>
      </c>
      <c r="B1609" s="73" t="str">
        <f t="shared" si="1171"/>
        <v>Nov</v>
      </c>
      <c r="C1609" s="74">
        <f t="shared" si="1172"/>
        <v>17</v>
      </c>
      <c r="D1609" s="75">
        <f t="shared" si="1173"/>
        <v>15</v>
      </c>
      <c r="E1609" s="76">
        <f t="shared" si="1092"/>
        <v>39</v>
      </c>
      <c r="F1609" s="80">
        <v>21</v>
      </c>
      <c r="G1609" s="83"/>
      <c r="H1609" s="69" t="str">
        <f t="shared" si="1174"/>
        <v>Senbur6_20191117_15_00</v>
      </c>
      <c r="I1609" s="70">
        <f t="shared" ref="I1609:N1609" si="1206">I1608</f>
        <v>1</v>
      </c>
      <c r="J1609" s="77" t="str">
        <f t="shared" si="1206"/>
        <v>Senecio</v>
      </c>
      <c r="K1609" s="77" t="str">
        <f t="shared" si="1206"/>
        <v>burtoni</v>
      </c>
      <c r="L1609" s="78">
        <f t="shared" si="1206"/>
        <v>6</v>
      </c>
      <c r="M1609" s="78">
        <f t="shared" si="1206"/>
        <v>12</v>
      </c>
      <c r="N1609" s="72">
        <f t="shared" si="1206"/>
        <v>0</v>
      </c>
      <c r="O1609" s="45"/>
      <c r="P1609" s="46">
        <f t="shared" si="1156"/>
        <v>1</v>
      </c>
      <c r="Q1609" s="47" t="str">
        <f t="shared" si="1157"/>
        <v>15:39:21</v>
      </c>
      <c r="R1609" s="48" t="str">
        <f t="shared" si="1158"/>
        <v>39:21</v>
      </c>
      <c r="S1609" s="49">
        <f t="shared" si="1159"/>
        <v>91</v>
      </c>
      <c r="T1609" s="48" t="str">
        <f t="shared" si="1160"/>
        <v>15</v>
      </c>
      <c r="U1609" s="50">
        <v>40</v>
      </c>
      <c r="V1609" s="51">
        <v>52</v>
      </c>
      <c r="W1609" s="52" t="str">
        <f t="shared" si="1161"/>
        <v>40:52</v>
      </c>
      <c r="X1609" s="53" t="s">
        <v>61</v>
      </c>
      <c r="Y1609" s="97" t="s">
        <v>78</v>
      </c>
      <c r="Z1609" s="97"/>
      <c r="AA1609" s="48" t="s">
        <v>60</v>
      </c>
      <c r="AB1609" s="48" t="str">
        <f t="shared" si="1162"/>
        <v>NA</v>
      </c>
      <c r="AC1609" s="54">
        <f t="shared" si="1163"/>
        <v>0</v>
      </c>
      <c r="AD1609" s="55">
        <v>2</v>
      </c>
      <c r="AE1609" s="55"/>
      <c r="AF1609" s="55"/>
      <c r="AG1609" s="56" t="str">
        <f t="shared" si="1181"/>
        <v/>
      </c>
      <c r="AH1609" s="57" t="str">
        <f t="shared" si="1182"/>
        <v/>
      </c>
      <c r="AI1609" s="56">
        <v>1</v>
      </c>
      <c r="AJ1609" s="57">
        <v>1</v>
      </c>
      <c r="AK1609" s="56">
        <v>1</v>
      </c>
      <c r="AL1609" s="57">
        <v>90</v>
      </c>
      <c r="AM1609" s="56"/>
      <c r="AN1609" s="57" t="str">
        <f t="shared" si="1164"/>
        <v/>
      </c>
      <c r="AO1609" s="56"/>
      <c r="AP1609" s="57" t="str">
        <f t="shared" si="1165"/>
        <v/>
      </c>
      <c r="AQ1609" s="56"/>
      <c r="AR1609" s="57" t="str">
        <f t="shared" si="1166"/>
        <v/>
      </c>
      <c r="AS1609" s="56"/>
      <c r="AT1609" s="57" t="str">
        <f t="shared" si="1167"/>
        <v/>
      </c>
      <c r="AU1609" s="58"/>
      <c r="AV1609" s="59"/>
      <c r="AW1609" s="59"/>
      <c r="AX1609" s="60"/>
      <c r="AY1609" s="61">
        <v>1</v>
      </c>
      <c r="AZ1609" s="62">
        <f t="shared" si="1168"/>
        <v>2</v>
      </c>
      <c r="BA1609" s="61">
        <f t="shared" si="1169"/>
        <v>0</v>
      </c>
      <c r="BB1609" s="62" t="str">
        <f t="shared" si="1170"/>
        <v/>
      </c>
    </row>
    <row r="1610" spans="1:54" hidden="1" x14ac:dyDescent="0.35">
      <c r="A1610" s="73">
        <f t="shared" si="1091"/>
        <v>2019</v>
      </c>
      <c r="B1610" s="73" t="str">
        <f t="shared" si="1171"/>
        <v>Nov</v>
      </c>
      <c r="C1610" s="74">
        <f t="shared" si="1172"/>
        <v>17</v>
      </c>
      <c r="D1610" s="75">
        <f t="shared" si="1173"/>
        <v>15</v>
      </c>
      <c r="E1610" s="76">
        <f t="shared" si="1092"/>
        <v>40</v>
      </c>
      <c r="F1610" s="80"/>
      <c r="G1610" s="83"/>
      <c r="H1610" s="69" t="str">
        <f t="shared" si="1174"/>
        <v>Senbur6_20191117_15_00</v>
      </c>
      <c r="I1610" s="70">
        <f t="shared" ref="I1610:N1610" si="1207">I1609</f>
        <v>1</v>
      </c>
      <c r="J1610" s="77" t="str">
        <f t="shared" si="1207"/>
        <v>Senecio</v>
      </c>
      <c r="K1610" s="77" t="str">
        <f t="shared" si="1207"/>
        <v>burtoni</v>
      </c>
      <c r="L1610" s="78">
        <f t="shared" si="1207"/>
        <v>6</v>
      </c>
      <c r="M1610" s="78">
        <f t="shared" si="1207"/>
        <v>12</v>
      </c>
      <c r="N1610" s="72">
        <f t="shared" si="1207"/>
        <v>0</v>
      </c>
      <c r="O1610" s="45"/>
      <c r="P1610" s="46" t="str">
        <f t="shared" si="1156"/>
        <v/>
      </c>
      <c r="Q1610" s="47" t="str">
        <f t="shared" si="1157"/>
        <v/>
      </c>
      <c r="R1610" s="48" t="e">
        <f t="shared" si="1158"/>
        <v>#VALUE!</v>
      </c>
      <c r="S1610" s="49" t="e">
        <f t="shared" si="1159"/>
        <v>#VALUE!</v>
      </c>
      <c r="T1610" s="48" t="str">
        <f t="shared" si="1160"/>
        <v/>
      </c>
      <c r="U1610" s="50"/>
      <c r="V1610" s="51"/>
      <c r="W1610" s="52" t="e">
        <f t="shared" si="1161"/>
        <v>#VALUE!</v>
      </c>
      <c r="X1610" s="53"/>
      <c r="Y1610" s="53"/>
      <c r="Z1610" s="53"/>
      <c r="AA1610" s="48" t="e">
        <f>INDEX([1]!VISITORS[INSECT ORDER], MATCH(X1610,[1]!VISITORS[NAME USED],0))</f>
        <v>#REF!</v>
      </c>
      <c r="AB1610" s="48" t="e">
        <f t="shared" si="1162"/>
        <v>#REF!</v>
      </c>
      <c r="AC1610" s="54" t="e">
        <f t="shared" si="1163"/>
        <v>#VALUE!</v>
      </c>
      <c r="AD1610" s="55" t="str">
        <f t="shared" si="1177"/>
        <v/>
      </c>
      <c r="AE1610" s="55"/>
      <c r="AF1610" s="55"/>
      <c r="AG1610" s="56" t="str">
        <f t="shared" si="1181"/>
        <v/>
      </c>
      <c r="AH1610" s="57" t="str">
        <f t="shared" si="1182"/>
        <v/>
      </c>
      <c r="AI1610" s="56"/>
      <c r="AJ1610" s="57" t="str">
        <f t="shared" si="1178"/>
        <v/>
      </c>
      <c r="AK1610" s="56"/>
      <c r="AL1610" s="57" t="str">
        <f t="shared" si="1183"/>
        <v/>
      </c>
      <c r="AM1610" s="56"/>
      <c r="AN1610" s="57" t="str">
        <f t="shared" si="1164"/>
        <v/>
      </c>
      <c r="AO1610" s="56"/>
      <c r="AP1610" s="57" t="str">
        <f t="shared" si="1165"/>
        <v/>
      </c>
      <c r="AQ1610" s="56"/>
      <c r="AR1610" s="57" t="str">
        <f t="shared" si="1166"/>
        <v/>
      </c>
      <c r="AS1610" s="56"/>
      <c r="AT1610" s="57" t="str">
        <f t="shared" si="1167"/>
        <v/>
      </c>
      <c r="AU1610" s="58"/>
      <c r="AV1610" s="59"/>
      <c r="AW1610" s="59"/>
      <c r="AX1610" s="60"/>
      <c r="AY1610" s="61" t="str">
        <f t="shared" si="1184"/>
        <v/>
      </c>
      <c r="AZ1610" s="62" t="str">
        <f t="shared" si="1168"/>
        <v/>
      </c>
      <c r="BA1610" s="61" t="str">
        <f t="shared" si="1169"/>
        <v/>
      </c>
      <c r="BB1610" s="62" t="str">
        <f t="shared" si="1170"/>
        <v/>
      </c>
    </row>
    <row r="1611" spans="1:54" hidden="1" x14ac:dyDescent="0.35">
      <c r="A1611" s="73">
        <f t="shared" si="1091"/>
        <v>2019</v>
      </c>
      <c r="B1611" s="73" t="str">
        <f t="shared" si="1171"/>
        <v>Nov</v>
      </c>
      <c r="C1611" s="74">
        <f t="shared" si="1172"/>
        <v>17</v>
      </c>
      <c r="D1611" s="75">
        <f t="shared" si="1173"/>
        <v>15</v>
      </c>
      <c r="E1611" s="76">
        <f t="shared" si="1092"/>
        <v>41</v>
      </c>
      <c r="F1611" s="80"/>
      <c r="G1611" s="83"/>
      <c r="H1611" s="69" t="str">
        <f t="shared" si="1174"/>
        <v>Senbur6_20191117_15_00</v>
      </c>
      <c r="I1611" s="70">
        <f t="shared" ref="I1611:N1611" si="1208">I1610</f>
        <v>1</v>
      </c>
      <c r="J1611" s="77" t="str">
        <f t="shared" si="1208"/>
        <v>Senecio</v>
      </c>
      <c r="K1611" s="77" t="str">
        <f t="shared" si="1208"/>
        <v>burtoni</v>
      </c>
      <c r="L1611" s="78">
        <f t="shared" si="1208"/>
        <v>6</v>
      </c>
      <c r="M1611" s="78">
        <f t="shared" si="1208"/>
        <v>12</v>
      </c>
      <c r="N1611" s="72">
        <f t="shared" si="1208"/>
        <v>0</v>
      </c>
      <c r="O1611" s="45"/>
      <c r="P1611" s="46" t="str">
        <f t="shared" si="1156"/>
        <v/>
      </c>
      <c r="Q1611" s="47" t="str">
        <f t="shared" si="1157"/>
        <v/>
      </c>
      <c r="R1611" s="48" t="e">
        <f t="shared" si="1158"/>
        <v>#VALUE!</v>
      </c>
      <c r="S1611" s="49" t="e">
        <f t="shared" si="1159"/>
        <v>#VALUE!</v>
      </c>
      <c r="T1611" s="48" t="str">
        <f t="shared" si="1160"/>
        <v/>
      </c>
      <c r="U1611" s="50"/>
      <c r="V1611" s="51"/>
      <c r="W1611" s="52" t="e">
        <f t="shared" si="1161"/>
        <v>#VALUE!</v>
      </c>
      <c r="X1611" s="53"/>
      <c r="Y1611" s="53"/>
      <c r="Z1611" s="53"/>
      <c r="AA1611" s="48" t="e">
        <f>INDEX([1]!VISITORS[INSECT ORDER], MATCH(X1611,[1]!VISITORS[NAME USED],0))</f>
        <v>#REF!</v>
      </c>
      <c r="AB1611" s="48" t="e">
        <f t="shared" si="1162"/>
        <v>#REF!</v>
      </c>
      <c r="AC1611" s="54" t="e">
        <f t="shared" si="1163"/>
        <v>#VALUE!</v>
      </c>
      <c r="AD1611" s="55" t="str">
        <f t="shared" si="1177"/>
        <v/>
      </c>
      <c r="AE1611" s="55"/>
      <c r="AF1611" s="55"/>
      <c r="AG1611" s="56" t="str">
        <f t="shared" si="1181"/>
        <v/>
      </c>
      <c r="AH1611" s="57" t="str">
        <f t="shared" si="1182"/>
        <v/>
      </c>
      <c r="AI1611" s="56"/>
      <c r="AJ1611" s="57" t="str">
        <f t="shared" si="1178"/>
        <v/>
      </c>
      <c r="AK1611" s="56"/>
      <c r="AL1611" s="57" t="str">
        <f t="shared" si="1183"/>
        <v/>
      </c>
      <c r="AM1611" s="56"/>
      <c r="AN1611" s="57" t="str">
        <f t="shared" si="1164"/>
        <v/>
      </c>
      <c r="AO1611" s="56"/>
      <c r="AP1611" s="57" t="str">
        <f t="shared" si="1165"/>
        <v/>
      </c>
      <c r="AQ1611" s="56"/>
      <c r="AR1611" s="57" t="str">
        <f t="shared" si="1166"/>
        <v/>
      </c>
      <c r="AS1611" s="56"/>
      <c r="AT1611" s="57" t="str">
        <f t="shared" si="1167"/>
        <v/>
      </c>
      <c r="AU1611" s="58"/>
      <c r="AV1611" s="59"/>
      <c r="AW1611" s="59"/>
      <c r="AX1611" s="60"/>
      <c r="AY1611" s="61" t="str">
        <f t="shared" si="1184"/>
        <v/>
      </c>
      <c r="AZ1611" s="62" t="str">
        <f t="shared" si="1168"/>
        <v/>
      </c>
      <c r="BA1611" s="61" t="str">
        <f t="shared" si="1169"/>
        <v/>
      </c>
      <c r="BB1611" s="62" t="str">
        <f t="shared" si="1170"/>
        <v/>
      </c>
    </row>
    <row r="1612" spans="1:54" hidden="1" x14ac:dyDescent="0.35">
      <c r="A1612" s="73">
        <f t="shared" si="1091"/>
        <v>2019</v>
      </c>
      <c r="B1612" s="73" t="str">
        <f t="shared" si="1171"/>
        <v>Nov</v>
      </c>
      <c r="C1612" s="74">
        <f t="shared" si="1172"/>
        <v>17</v>
      </c>
      <c r="D1612" s="75">
        <f t="shared" si="1173"/>
        <v>15</v>
      </c>
      <c r="E1612" s="76">
        <f t="shared" si="1092"/>
        <v>42</v>
      </c>
      <c r="F1612" s="80">
        <v>22</v>
      </c>
      <c r="G1612" s="83"/>
      <c r="H1612" s="69" t="str">
        <f t="shared" si="1174"/>
        <v>Senbur6_20191117_15_00</v>
      </c>
      <c r="I1612" s="70">
        <f t="shared" ref="I1612:N1612" si="1209">I1611</f>
        <v>1</v>
      </c>
      <c r="J1612" s="77" t="str">
        <f t="shared" si="1209"/>
        <v>Senecio</v>
      </c>
      <c r="K1612" s="77" t="str">
        <f t="shared" si="1209"/>
        <v>burtoni</v>
      </c>
      <c r="L1612" s="78">
        <f t="shared" si="1209"/>
        <v>6</v>
      </c>
      <c r="M1612" s="78">
        <f t="shared" si="1209"/>
        <v>12</v>
      </c>
      <c r="N1612" s="72">
        <f t="shared" si="1209"/>
        <v>0</v>
      </c>
      <c r="O1612" s="45"/>
      <c r="P1612" s="46">
        <f t="shared" si="1156"/>
        <v>1</v>
      </c>
      <c r="Q1612" s="47" t="str">
        <f t="shared" si="1157"/>
        <v>15:42:22</v>
      </c>
      <c r="R1612" s="48" t="str">
        <f t="shared" si="1158"/>
        <v>42:22</v>
      </c>
      <c r="S1612" s="49">
        <f t="shared" si="1159"/>
        <v>294</v>
      </c>
      <c r="T1612" s="48" t="str">
        <f t="shared" si="1160"/>
        <v>15</v>
      </c>
      <c r="U1612" s="50">
        <v>47</v>
      </c>
      <c r="V1612" s="51">
        <v>16</v>
      </c>
      <c r="W1612" s="52" t="str">
        <f t="shared" si="1161"/>
        <v>47:16</v>
      </c>
      <c r="X1612" s="53" t="s">
        <v>61</v>
      </c>
      <c r="Y1612" s="97" t="s">
        <v>84</v>
      </c>
      <c r="Z1612" s="97" t="s">
        <v>80</v>
      </c>
      <c r="AA1612" s="48" t="s">
        <v>60</v>
      </c>
      <c r="AB1612" s="48" t="str">
        <f t="shared" si="1162"/>
        <v>NA</v>
      </c>
      <c r="AC1612" s="54">
        <f t="shared" si="1163"/>
        <v>0</v>
      </c>
      <c r="AD1612" s="55">
        <v>7</v>
      </c>
      <c r="AE1612" s="55"/>
      <c r="AF1612" s="55"/>
      <c r="AG1612" s="56">
        <v>1</v>
      </c>
      <c r="AH1612" s="57">
        <v>33</v>
      </c>
      <c r="AI1612" s="56">
        <v>1</v>
      </c>
      <c r="AJ1612" s="57">
        <v>5</v>
      </c>
      <c r="AK1612" s="56">
        <v>1</v>
      </c>
      <c r="AL1612" s="57">
        <v>256</v>
      </c>
      <c r="AM1612" s="56"/>
      <c r="AN1612" s="57" t="str">
        <f t="shared" si="1164"/>
        <v/>
      </c>
      <c r="AO1612" s="56"/>
      <c r="AP1612" s="57" t="str">
        <f t="shared" si="1165"/>
        <v/>
      </c>
      <c r="AQ1612" s="56"/>
      <c r="AR1612" s="57" t="str">
        <f t="shared" si="1166"/>
        <v/>
      </c>
      <c r="AS1612" s="56"/>
      <c r="AT1612" s="57" t="str">
        <f t="shared" si="1167"/>
        <v/>
      </c>
      <c r="AU1612" s="58"/>
      <c r="AV1612" s="59"/>
      <c r="AW1612" s="59"/>
      <c r="AX1612" s="60"/>
      <c r="AY1612" s="61">
        <v>1</v>
      </c>
      <c r="AZ1612" s="62">
        <f t="shared" si="1168"/>
        <v>7</v>
      </c>
      <c r="BA1612" s="61">
        <f t="shared" si="1169"/>
        <v>0</v>
      </c>
      <c r="BB1612" s="62" t="str">
        <f t="shared" si="1170"/>
        <v/>
      </c>
    </row>
    <row r="1613" spans="1:54" hidden="1" x14ac:dyDescent="0.35">
      <c r="A1613" s="73">
        <f t="shared" si="1091"/>
        <v>2019</v>
      </c>
      <c r="B1613" s="73" t="str">
        <f t="shared" si="1171"/>
        <v>Nov</v>
      </c>
      <c r="C1613" s="74">
        <f t="shared" si="1172"/>
        <v>17</v>
      </c>
      <c r="D1613" s="75">
        <f t="shared" si="1173"/>
        <v>15</v>
      </c>
      <c r="E1613" s="76">
        <f t="shared" si="1092"/>
        <v>43</v>
      </c>
      <c r="F1613" s="80"/>
      <c r="G1613" s="83"/>
      <c r="H1613" s="69" t="str">
        <f t="shared" si="1174"/>
        <v>Senbur6_20191117_15_00</v>
      </c>
      <c r="I1613" s="70">
        <f t="shared" ref="I1613:N1613" si="1210">I1612</f>
        <v>1</v>
      </c>
      <c r="J1613" s="77" t="str">
        <f t="shared" si="1210"/>
        <v>Senecio</v>
      </c>
      <c r="K1613" s="77" t="str">
        <f t="shared" si="1210"/>
        <v>burtoni</v>
      </c>
      <c r="L1613" s="78">
        <f t="shared" si="1210"/>
        <v>6</v>
      </c>
      <c r="M1613" s="78">
        <f t="shared" si="1210"/>
        <v>12</v>
      </c>
      <c r="N1613" s="72">
        <f t="shared" si="1210"/>
        <v>0</v>
      </c>
      <c r="O1613" s="45"/>
      <c r="P1613" s="46" t="str">
        <f t="shared" si="1156"/>
        <v/>
      </c>
      <c r="Q1613" s="47" t="str">
        <f t="shared" si="1157"/>
        <v/>
      </c>
      <c r="R1613" s="48" t="e">
        <f t="shared" si="1158"/>
        <v>#VALUE!</v>
      </c>
      <c r="S1613" s="49" t="e">
        <f t="shared" si="1159"/>
        <v>#VALUE!</v>
      </c>
      <c r="T1613" s="48" t="str">
        <f t="shared" si="1160"/>
        <v/>
      </c>
      <c r="U1613" s="50"/>
      <c r="V1613" s="51"/>
      <c r="W1613" s="52" t="e">
        <f t="shared" si="1161"/>
        <v>#VALUE!</v>
      </c>
      <c r="X1613" s="53"/>
      <c r="Y1613" s="53"/>
      <c r="Z1613" s="53"/>
      <c r="AA1613" s="48" t="e">
        <f>INDEX([1]!VISITORS[INSECT ORDER], MATCH(X1613,[1]!VISITORS[NAME USED],0))</f>
        <v>#REF!</v>
      </c>
      <c r="AB1613" s="48" t="e">
        <f t="shared" si="1162"/>
        <v>#REF!</v>
      </c>
      <c r="AC1613" s="54" t="e">
        <f t="shared" si="1163"/>
        <v>#VALUE!</v>
      </c>
      <c r="AD1613" s="55" t="str">
        <f t="shared" si="1177"/>
        <v/>
      </c>
      <c r="AE1613" s="55"/>
      <c r="AF1613" s="55"/>
      <c r="AG1613" s="56" t="str">
        <f t="shared" si="1181"/>
        <v/>
      </c>
      <c r="AH1613" s="57" t="str">
        <f t="shared" si="1182"/>
        <v/>
      </c>
      <c r="AI1613" s="56"/>
      <c r="AJ1613" s="57" t="str">
        <f t="shared" si="1178"/>
        <v/>
      </c>
      <c r="AK1613" s="56"/>
      <c r="AL1613" s="57" t="str">
        <f t="shared" si="1183"/>
        <v/>
      </c>
      <c r="AM1613" s="56"/>
      <c r="AN1613" s="57" t="str">
        <f t="shared" si="1164"/>
        <v/>
      </c>
      <c r="AO1613" s="56"/>
      <c r="AP1613" s="57" t="str">
        <f t="shared" si="1165"/>
        <v/>
      </c>
      <c r="AQ1613" s="56"/>
      <c r="AR1613" s="57" t="str">
        <f t="shared" si="1166"/>
        <v/>
      </c>
      <c r="AS1613" s="56"/>
      <c r="AT1613" s="57" t="str">
        <f t="shared" si="1167"/>
        <v/>
      </c>
      <c r="AU1613" s="58"/>
      <c r="AV1613" s="59"/>
      <c r="AW1613" s="59"/>
      <c r="AX1613" s="60"/>
      <c r="AY1613" s="61" t="str">
        <f t="shared" si="1184"/>
        <v/>
      </c>
      <c r="AZ1613" s="62" t="str">
        <f t="shared" si="1168"/>
        <v/>
      </c>
      <c r="BA1613" s="61" t="str">
        <f t="shared" si="1169"/>
        <v/>
      </c>
      <c r="BB1613" s="62" t="str">
        <f t="shared" si="1170"/>
        <v/>
      </c>
    </row>
    <row r="1614" spans="1:54" hidden="1" x14ac:dyDescent="0.35">
      <c r="A1614" s="73">
        <f t="shared" si="1091"/>
        <v>2019</v>
      </c>
      <c r="B1614" s="73" t="str">
        <f t="shared" si="1171"/>
        <v>Nov</v>
      </c>
      <c r="C1614" s="74">
        <f t="shared" si="1172"/>
        <v>17</v>
      </c>
      <c r="D1614" s="75">
        <f t="shared" si="1173"/>
        <v>15</v>
      </c>
      <c r="E1614" s="76">
        <f t="shared" si="1092"/>
        <v>44</v>
      </c>
      <c r="F1614" s="80"/>
      <c r="G1614" s="83"/>
      <c r="H1614" s="69" t="str">
        <f t="shared" si="1174"/>
        <v>Senbur6_20191117_15_00</v>
      </c>
      <c r="I1614" s="70">
        <f t="shared" ref="I1614:N1614" si="1211">I1613</f>
        <v>1</v>
      </c>
      <c r="J1614" s="77" t="str">
        <f t="shared" si="1211"/>
        <v>Senecio</v>
      </c>
      <c r="K1614" s="77" t="str">
        <f t="shared" si="1211"/>
        <v>burtoni</v>
      </c>
      <c r="L1614" s="78">
        <f t="shared" si="1211"/>
        <v>6</v>
      </c>
      <c r="M1614" s="78">
        <f t="shared" si="1211"/>
        <v>12</v>
      </c>
      <c r="N1614" s="72">
        <f t="shared" si="1211"/>
        <v>0</v>
      </c>
      <c r="O1614" s="45"/>
      <c r="P1614" s="46" t="str">
        <f t="shared" si="1156"/>
        <v/>
      </c>
      <c r="Q1614" s="47" t="str">
        <f t="shared" si="1157"/>
        <v/>
      </c>
      <c r="R1614" s="48" t="e">
        <f t="shared" si="1158"/>
        <v>#VALUE!</v>
      </c>
      <c r="S1614" s="49" t="e">
        <f t="shared" si="1159"/>
        <v>#VALUE!</v>
      </c>
      <c r="T1614" s="48" t="str">
        <f t="shared" si="1160"/>
        <v/>
      </c>
      <c r="U1614" s="50"/>
      <c r="V1614" s="51"/>
      <c r="W1614" s="52" t="e">
        <f t="shared" si="1161"/>
        <v>#VALUE!</v>
      </c>
      <c r="X1614" s="53"/>
      <c r="Y1614" s="53"/>
      <c r="Z1614" s="53"/>
      <c r="AA1614" s="48" t="e">
        <f>INDEX([1]!VISITORS[INSECT ORDER], MATCH(X1614,[1]!VISITORS[NAME USED],0))</f>
        <v>#REF!</v>
      </c>
      <c r="AB1614" s="48" t="e">
        <f t="shared" si="1162"/>
        <v>#REF!</v>
      </c>
      <c r="AC1614" s="54" t="e">
        <f t="shared" si="1163"/>
        <v>#VALUE!</v>
      </c>
      <c r="AD1614" s="55" t="str">
        <f t="shared" si="1177"/>
        <v/>
      </c>
      <c r="AE1614" s="55"/>
      <c r="AF1614" s="55"/>
      <c r="AG1614" s="56" t="str">
        <f t="shared" si="1181"/>
        <v/>
      </c>
      <c r="AH1614" s="57" t="str">
        <f t="shared" si="1182"/>
        <v/>
      </c>
      <c r="AI1614" s="56"/>
      <c r="AJ1614" s="57" t="str">
        <f t="shared" si="1178"/>
        <v/>
      </c>
      <c r="AK1614" s="56"/>
      <c r="AL1614" s="57" t="str">
        <f t="shared" si="1183"/>
        <v/>
      </c>
      <c r="AM1614" s="56"/>
      <c r="AN1614" s="57" t="str">
        <f t="shared" si="1164"/>
        <v/>
      </c>
      <c r="AO1614" s="56"/>
      <c r="AP1614" s="57" t="str">
        <f t="shared" si="1165"/>
        <v/>
      </c>
      <c r="AQ1614" s="56"/>
      <c r="AR1614" s="57" t="str">
        <f t="shared" si="1166"/>
        <v/>
      </c>
      <c r="AS1614" s="56"/>
      <c r="AT1614" s="57" t="str">
        <f t="shared" si="1167"/>
        <v/>
      </c>
      <c r="AU1614" s="58"/>
      <c r="AV1614" s="59"/>
      <c r="AW1614" s="59"/>
      <c r="AX1614" s="60"/>
      <c r="AY1614" s="61" t="str">
        <f t="shared" si="1184"/>
        <v/>
      </c>
      <c r="AZ1614" s="62" t="str">
        <f t="shared" si="1168"/>
        <v/>
      </c>
      <c r="BA1614" s="61" t="str">
        <f t="shared" si="1169"/>
        <v/>
      </c>
      <c r="BB1614" s="62" t="str">
        <f t="shared" si="1170"/>
        <v/>
      </c>
    </row>
    <row r="1615" spans="1:54" hidden="1" x14ac:dyDescent="0.35">
      <c r="A1615" s="73">
        <f t="shared" si="1091"/>
        <v>2019</v>
      </c>
      <c r="B1615" s="73" t="str">
        <f t="shared" si="1171"/>
        <v>Nov</v>
      </c>
      <c r="C1615" s="74">
        <f t="shared" si="1172"/>
        <v>17</v>
      </c>
      <c r="D1615" s="75">
        <f t="shared" si="1173"/>
        <v>15</v>
      </c>
      <c r="E1615" s="76">
        <f t="shared" si="1092"/>
        <v>45</v>
      </c>
      <c r="F1615" s="80">
        <v>3</v>
      </c>
      <c r="G1615" s="83"/>
      <c r="H1615" s="69" t="str">
        <f t="shared" si="1174"/>
        <v>Senbur6_20191117_15_00</v>
      </c>
      <c r="I1615" s="70">
        <f t="shared" ref="I1615:N1615" si="1212">I1614</f>
        <v>1</v>
      </c>
      <c r="J1615" s="77" t="str">
        <f t="shared" si="1212"/>
        <v>Senecio</v>
      </c>
      <c r="K1615" s="77" t="str">
        <f t="shared" si="1212"/>
        <v>burtoni</v>
      </c>
      <c r="L1615" s="78">
        <f t="shared" si="1212"/>
        <v>6</v>
      </c>
      <c r="M1615" s="78">
        <f t="shared" si="1212"/>
        <v>12</v>
      </c>
      <c r="N1615" s="72">
        <f t="shared" si="1212"/>
        <v>0</v>
      </c>
      <c r="O1615" s="45"/>
      <c r="P1615" s="46">
        <f t="shared" si="1156"/>
        <v>1</v>
      </c>
      <c r="Q1615" s="47" t="str">
        <f t="shared" si="1157"/>
        <v>15:45:03</v>
      </c>
      <c r="R1615" s="48" t="str">
        <f t="shared" si="1158"/>
        <v>45:03</v>
      </c>
      <c r="S1615" s="49">
        <f t="shared" si="1159"/>
        <v>133</v>
      </c>
      <c r="T1615" s="48" t="str">
        <f t="shared" si="1160"/>
        <v>15</v>
      </c>
      <c r="U1615" s="50">
        <v>47</v>
      </c>
      <c r="V1615" s="51">
        <v>16</v>
      </c>
      <c r="W1615" s="52" t="str">
        <f t="shared" si="1161"/>
        <v>47:16</v>
      </c>
      <c r="X1615" s="53" t="s">
        <v>61</v>
      </c>
      <c r="Y1615" s="97" t="s">
        <v>84</v>
      </c>
      <c r="Z1615" s="97" t="s">
        <v>80</v>
      </c>
      <c r="AA1615" s="48" t="s">
        <v>60</v>
      </c>
      <c r="AB1615" s="48" t="str">
        <f t="shared" si="1162"/>
        <v>NA</v>
      </c>
      <c r="AC1615" s="54">
        <f t="shared" si="1163"/>
        <v>0</v>
      </c>
      <c r="AD1615" s="55">
        <v>2</v>
      </c>
      <c r="AE1615" s="55"/>
      <c r="AF1615" s="55"/>
      <c r="AG1615" s="56" t="str">
        <f t="shared" si="1181"/>
        <v/>
      </c>
      <c r="AH1615" s="57" t="str">
        <f t="shared" si="1182"/>
        <v/>
      </c>
      <c r="AI1615" s="56">
        <v>1</v>
      </c>
      <c r="AJ1615" s="57">
        <v>1</v>
      </c>
      <c r="AK1615" s="56">
        <v>1</v>
      </c>
      <c r="AL1615" s="57">
        <v>132</v>
      </c>
      <c r="AM1615" s="56"/>
      <c r="AN1615" s="57" t="str">
        <f t="shared" si="1164"/>
        <v/>
      </c>
      <c r="AO1615" s="56"/>
      <c r="AP1615" s="57" t="str">
        <f t="shared" si="1165"/>
        <v/>
      </c>
      <c r="AQ1615" s="56"/>
      <c r="AR1615" s="57" t="str">
        <f t="shared" si="1166"/>
        <v/>
      </c>
      <c r="AS1615" s="56"/>
      <c r="AT1615" s="57" t="str">
        <f t="shared" si="1167"/>
        <v/>
      </c>
      <c r="AU1615" s="58"/>
      <c r="AV1615" s="59"/>
      <c r="AW1615" s="59"/>
      <c r="AX1615" s="60"/>
      <c r="AY1615" s="61">
        <v>1</v>
      </c>
      <c r="AZ1615" s="62">
        <f t="shared" si="1168"/>
        <v>2</v>
      </c>
      <c r="BA1615" s="61">
        <f t="shared" si="1169"/>
        <v>0</v>
      </c>
      <c r="BB1615" s="62" t="str">
        <f t="shared" si="1170"/>
        <v/>
      </c>
    </row>
    <row r="1616" spans="1:54" hidden="1" x14ac:dyDescent="0.35">
      <c r="A1616" s="73">
        <f t="shared" si="1091"/>
        <v>2019</v>
      </c>
      <c r="B1616" s="73" t="str">
        <f t="shared" si="1171"/>
        <v>Nov</v>
      </c>
      <c r="C1616" s="74">
        <f t="shared" si="1172"/>
        <v>17</v>
      </c>
      <c r="D1616" s="75">
        <f t="shared" si="1173"/>
        <v>15</v>
      </c>
      <c r="E1616" s="76">
        <f t="shared" si="1092"/>
        <v>46</v>
      </c>
      <c r="F1616" s="80"/>
      <c r="G1616" s="83"/>
      <c r="H1616" s="69" t="str">
        <f t="shared" si="1174"/>
        <v>Senbur6_20191117_15_00</v>
      </c>
      <c r="I1616" s="70">
        <f t="shared" ref="I1616:N1616" si="1213">I1615</f>
        <v>1</v>
      </c>
      <c r="J1616" s="77" t="str">
        <f t="shared" si="1213"/>
        <v>Senecio</v>
      </c>
      <c r="K1616" s="77" t="str">
        <f t="shared" si="1213"/>
        <v>burtoni</v>
      </c>
      <c r="L1616" s="78">
        <f t="shared" si="1213"/>
        <v>6</v>
      </c>
      <c r="M1616" s="78">
        <f t="shared" si="1213"/>
        <v>12</v>
      </c>
      <c r="N1616" s="72">
        <f t="shared" si="1213"/>
        <v>0</v>
      </c>
      <c r="O1616" s="45"/>
      <c r="P1616" s="46" t="str">
        <f t="shared" si="1156"/>
        <v/>
      </c>
      <c r="Q1616" s="47" t="str">
        <f t="shared" si="1157"/>
        <v/>
      </c>
      <c r="R1616" s="48" t="e">
        <f t="shared" si="1158"/>
        <v>#VALUE!</v>
      </c>
      <c r="S1616" s="49" t="e">
        <f t="shared" si="1159"/>
        <v>#VALUE!</v>
      </c>
      <c r="T1616" s="48" t="str">
        <f t="shared" si="1160"/>
        <v/>
      </c>
      <c r="U1616" s="50"/>
      <c r="V1616" s="51"/>
      <c r="W1616" s="52" t="e">
        <f t="shared" si="1161"/>
        <v>#VALUE!</v>
      </c>
      <c r="X1616" s="53"/>
      <c r="Y1616" s="53"/>
      <c r="Z1616" s="53"/>
      <c r="AA1616" s="48" t="e">
        <f>INDEX([1]!VISITORS[INSECT ORDER], MATCH(X1616,[1]!VISITORS[NAME USED],0))</f>
        <v>#REF!</v>
      </c>
      <c r="AB1616" s="48" t="e">
        <f t="shared" si="1162"/>
        <v>#REF!</v>
      </c>
      <c r="AC1616" s="54" t="e">
        <f t="shared" si="1163"/>
        <v>#VALUE!</v>
      </c>
      <c r="AD1616" s="55" t="str">
        <f t="shared" si="1177"/>
        <v/>
      </c>
      <c r="AE1616" s="55"/>
      <c r="AF1616" s="55"/>
      <c r="AG1616" s="56" t="str">
        <f t="shared" si="1181"/>
        <v/>
      </c>
      <c r="AH1616" s="57" t="str">
        <f t="shared" si="1182"/>
        <v/>
      </c>
      <c r="AI1616" s="56"/>
      <c r="AJ1616" s="57" t="str">
        <f t="shared" si="1178"/>
        <v/>
      </c>
      <c r="AK1616" s="56"/>
      <c r="AL1616" s="57" t="str">
        <f t="shared" si="1183"/>
        <v/>
      </c>
      <c r="AM1616" s="56"/>
      <c r="AN1616" s="57" t="str">
        <f t="shared" si="1164"/>
        <v/>
      </c>
      <c r="AO1616" s="56"/>
      <c r="AP1616" s="57" t="str">
        <f t="shared" si="1165"/>
        <v/>
      </c>
      <c r="AQ1616" s="56"/>
      <c r="AR1616" s="57" t="str">
        <f t="shared" si="1166"/>
        <v/>
      </c>
      <c r="AS1616" s="56"/>
      <c r="AT1616" s="57" t="str">
        <f t="shared" si="1167"/>
        <v/>
      </c>
      <c r="AU1616" s="58"/>
      <c r="AV1616" s="59"/>
      <c r="AW1616" s="59"/>
      <c r="AX1616" s="60"/>
      <c r="AY1616" s="61" t="str">
        <f t="shared" si="1184"/>
        <v/>
      </c>
      <c r="AZ1616" s="62" t="str">
        <f t="shared" si="1168"/>
        <v/>
      </c>
      <c r="BA1616" s="61" t="str">
        <f t="shared" si="1169"/>
        <v/>
      </c>
      <c r="BB1616" s="62" t="str">
        <f t="shared" si="1170"/>
        <v/>
      </c>
    </row>
    <row r="1617" spans="1:54" hidden="1" x14ac:dyDescent="0.35">
      <c r="A1617" s="73">
        <f t="shared" si="1091"/>
        <v>2019</v>
      </c>
      <c r="B1617" s="73" t="str">
        <f t="shared" si="1171"/>
        <v>Nov</v>
      </c>
      <c r="C1617" s="74">
        <f t="shared" si="1172"/>
        <v>17</v>
      </c>
      <c r="D1617" s="75">
        <f t="shared" si="1173"/>
        <v>15</v>
      </c>
      <c r="E1617" s="76">
        <f t="shared" si="1092"/>
        <v>47</v>
      </c>
      <c r="F1617" s="80"/>
      <c r="G1617" s="83"/>
      <c r="H1617" s="69" t="str">
        <f t="shared" si="1174"/>
        <v>Senbur6_20191117_15_00</v>
      </c>
      <c r="I1617" s="70">
        <f t="shared" ref="I1617:N1617" si="1214">I1616</f>
        <v>1</v>
      </c>
      <c r="J1617" s="77" t="str">
        <f t="shared" si="1214"/>
        <v>Senecio</v>
      </c>
      <c r="K1617" s="77" t="str">
        <f t="shared" si="1214"/>
        <v>burtoni</v>
      </c>
      <c r="L1617" s="78">
        <f t="shared" si="1214"/>
        <v>6</v>
      </c>
      <c r="M1617" s="78">
        <f t="shared" si="1214"/>
        <v>12</v>
      </c>
      <c r="N1617" s="72">
        <f t="shared" si="1214"/>
        <v>0</v>
      </c>
      <c r="O1617" s="45"/>
      <c r="P1617" s="46" t="str">
        <f t="shared" si="1156"/>
        <v/>
      </c>
      <c r="Q1617" s="47" t="str">
        <f t="shared" si="1157"/>
        <v/>
      </c>
      <c r="R1617" s="48" t="e">
        <f t="shared" si="1158"/>
        <v>#VALUE!</v>
      </c>
      <c r="S1617" s="49" t="e">
        <f t="shared" si="1159"/>
        <v>#VALUE!</v>
      </c>
      <c r="T1617" s="48" t="str">
        <f t="shared" si="1160"/>
        <v/>
      </c>
      <c r="U1617" s="50"/>
      <c r="V1617" s="51"/>
      <c r="W1617" s="52" t="e">
        <f t="shared" si="1161"/>
        <v>#VALUE!</v>
      </c>
      <c r="X1617" s="53"/>
      <c r="Y1617" s="53"/>
      <c r="Z1617" s="53"/>
      <c r="AA1617" s="48" t="e">
        <f>INDEX([1]!VISITORS[INSECT ORDER], MATCH(X1617,[1]!VISITORS[NAME USED],0))</f>
        <v>#REF!</v>
      </c>
      <c r="AB1617" s="48" t="e">
        <f t="shared" si="1162"/>
        <v>#REF!</v>
      </c>
      <c r="AC1617" s="54" t="e">
        <f t="shared" si="1163"/>
        <v>#VALUE!</v>
      </c>
      <c r="AD1617" s="55" t="str">
        <f t="shared" si="1177"/>
        <v/>
      </c>
      <c r="AE1617" s="55"/>
      <c r="AF1617" s="55"/>
      <c r="AG1617" s="56" t="str">
        <f t="shared" si="1181"/>
        <v/>
      </c>
      <c r="AH1617" s="57" t="str">
        <f t="shared" si="1182"/>
        <v/>
      </c>
      <c r="AI1617" s="56"/>
      <c r="AJ1617" s="57" t="str">
        <f t="shared" si="1178"/>
        <v/>
      </c>
      <c r="AK1617" s="56"/>
      <c r="AL1617" s="57" t="str">
        <f t="shared" si="1183"/>
        <v/>
      </c>
      <c r="AM1617" s="56"/>
      <c r="AN1617" s="57" t="str">
        <f t="shared" si="1164"/>
        <v/>
      </c>
      <c r="AO1617" s="56"/>
      <c r="AP1617" s="57" t="str">
        <f t="shared" si="1165"/>
        <v/>
      </c>
      <c r="AQ1617" s="56"/>
      <c r="AR1617" s="57" t="str">
        <f t="shared" si="1166"/>
        <v/>
      </c>
      <c r="AS1617" s="56"/>
      <c r="AT1617" s="57" t="str">
        <f t="shared" si="1167"/>
        <v/>
      </c>
      <c r="AU1617" s="58"/>
      <c r="AV1617" s="59"/>
      <c r="AW1617" s="59"/>
      <c r="AX1617" s="60"/>
      <c r="AY1617" s="61" t="str">
        <f t="shared" si="1184"/>
        <v/>
      </c>
      <c r="AZ1617" s="62" t="str">
        <f t="shared" si="1168"/>
        <v/>
      </c>
      <c r="BA1617" s="61" t="str">
        <f t="shared" si="1169"/>
        <v/>
      </c>
      <c r="BB1617" s="62" t="str">
        <f t="shared" si="1170"/>
        <v/>
      </c>
    </row>
    <row r="1618" spans="1:54" hidden="1" x14ac:dyDescent="0.35">
      <c r="A1618" s="73">
        <f t="shared" si="1091"/>
        <v>2019</v>
      </c>
      <c r="B1618" s="73" t="str">
        <f t="shared" si="1171"/>
        <v>Nov</v>
      </c>
      <c r="C1618" s="74">
        <f t="shared" si="1172"/>
        <v>17</v>
      </c>
      <c r="D1618" s="75">
        <f t="shared" si="1173"/>
        <v>15</v>
      </c>
      <c r="E1618" s="76">
        <f t="shared" si="1092"/>
        <v>48</v>
      </c>
      <c r="F1618" s="80"/>
      <c r="G1618" s="83"/>
      <c r="H1618" s="69" t="str">
        <f t="shared" si="1174"/>
        <v>Senbur6_20191117_15_00</v>
      </c>
      <c r="I1618" s="70">
        <f t="shared" ref="I1618:N1618" si="1215">I1617</f>
        <v>1</v>
      </c>
      <c r="J1618" s="77" t="str">
        <f t="shared" si="1215"/>
        <v>Senecio</v>
      </c>
      <c r="K1618" s="77" t="str">
        <f t="shared" si="1215"/>
        <v>burtoni</v>
      </c>
      <c r="L1618" s="78">
        <f t="shared" si="1215"/>
        <v>6</v>
      </c>
      <c r="M1618" s="78">
        <f t="shared" si="1215"/>
        <v>12</v>
      </c>
      <c r="N1618" s="72">
        <f t="shared" si="1215"/>
        <v>0</v>
      </c>
      <c r="O1618" s="45"/>
      <c r="P1618" s="46" t="str">
        <f t="shared" si="1156"/>
        <v/>
      </c>
      <c r="Q1618" s="47" t="str">
        <f t="shared" si="1157"/>
        <v/>
      </c>
      <c r="R1618" s="48" t="e">
        <f t="shared" si="1158"/>
        <v>#VALUE!</v>
      </c>
      <c r="S1618" s="49" t="e">
        <f t="shared" si="1159"/>
        <v>#VALUE!</v>
      </c>
      <c r="T1618" s="48" t="str">
        <f t="shared" si="1160"/>
        <v/>
      </c>
      <c r="U1618" s="50"/>
      <c r="V1618" s="51"/>
      <c r="W1618" s="52" t="e">
        <f t="shared" si="1161"/>
        <v>#VALUE!</v>
      </c>
      <c r="X1618" s="53"/>
      <c r="Y1618" s="53"/>
      <c r="Z1618" s="53"/>
      <c r="AA1618" s="48" t="e">
        <f>INDEX([1]!VISITORS[INSECT ORDER], MATCH(X1618,[1]!VISITORS[NAME USED],0))</f>
        <v>#REF!</v>
      </c>
      <c r="AB1618" s="48" t="e">
        <f t="shared" si="1162"/>
        <v>#REF!</v>
      </c>
      <c r="AC1618" s="54" t="e">
        <f t="shared" si="1163"/>
        <v>#VALUE!</v>
      </c>
      <c r="AD1618" s="55" t="str">
        <f t="shared" si="1177"/>
        <v/>
      </c>
      <c r="AE1618" s="55"/>
      <c r="AF1618" s="55"/>
      <c r="AG1618" s="56" t="str">
        <f t="shared" si="1181"/>
        <v/>
      </c>
      <c r="AH1618" s="57" t="str">
        <f t="shared" si="1182"/>
        <v/>
      </c>
      <c r="AI1618" s="56"/>
      <c r="AJ1618" s="57" t="str">
        <f t="shared" si="1178"/>
        <v/>
      </c>
      <c r="AK1618" s="56"/>
      <c r="AL1618" s="57" t="str">
        <f t="shared" si="1183"/>
        <v/>
      </c>
      <c r="AM1618" s="56"/>
      <c r="AN1618" s="57" t="str">
        <f t="shared" si="1164"/>
        <v/>
      </c>
      <c r="AO1618" s="56"/>
      <c r="AP1618" s="57" t="str">
        <f t="shared" si="1165"/>
        <v/>
      </c>
      <c r="AQ1618" s="56"/>
      <c r="AR1618" s="57" t="str">
        <f t="shared" si="1166"/>
        <v/>
      </c>
      <c r="AS1618" s="56"/>
      <c r="AT1618" s="57" t="str">
        <f t="shared" si="1167"/>
        <v/>
      </c>
      <c r="AU1618" s="58"/>
      <c r="AV1618" s="59"/>
      <c r="AW1618" s="59"/>
      <c r="AX1618" s="60"/>
      <c r="AY1618" s="61" t="str">
        <f t="shared" si="1184"/>
        <v/>
      </c>
      <c r="AZ1618" s="62" t="str">
        <f t="shared" si="1168"/>
        <v/>
      </c>
      <c r="BA1618" s="61" t="str">
        <f t="shared" si="1169"/>
        <v/>
      </c>
      <c r="BB1618" s="62" t="str">
        <f t="shared" si="1170"/>
        <v/>
      </c>
    </row>
    <row r="1619" spans="1:54" hidden="1" x14ac:dyDescent="0.35">
      <c r="A1619" s="73">
        <f t="shared" si="1091"/>
        <v>2019</v>
      </c>
      <c r="B1619" s="73" t="str">
        <f t="shared" si="1171"/>
        <v>Nov</v>
      </c>
      <c r="C1619" s="74">
        <f t="shared" si="1172"/>
        <v>17</v>
      </c>
      <c r="D1619" s="75">
        <f t="shared" si="1173"/>
        <v>15</v>
      </c>
      <c r="E1619" s="76">
        <f t="shared" si="1092"/>
        <v>49</v>
      </c>
      <c r="F1619" s="80"/>
      <c r="G1619" s="83"/>
      <c r="H1619" s="69" t="str">
        <f t="shared" si="1174"/>
        <v>Senbur6_20191117_15_00</v>
      </c>
      <c r="I1619" s="70">
        <f t="shared" ref="I1619:N1619" si="1216">I1618</f>
        <v>1</v>
      </c>
      <c r="J1619" s="77" t="str">
        <f t="shared" si="1216"/>
        <v>Senecio</v>
      </c>
      <c r="K1619" s="77" t="str">
        <f t="shared" si="1216"/>
        <v>burtoni</v>
      </c>
      <c r="L1619" s="78">
        <f t="shared" si="1216"/>
        <v>6</v>
      </c>
      <c r="M1619" s="78">
        <f t="shared" si="1216"/>
        <v>12</v>
      </c>
      <c r="N1619" s="72">
        <f t="shared" si="1216"/>
        <v>0</v>
      </c>
      <c r="O1619" s="45"/>
      <c r="P1619" s="46" t="str">
        <f t="shared" si="1156"/>
        <v/>
      </c>
      <c r="Q1619" s="47" t="str">
        <f t="shared" si="1157"/>
        <v/>
      </c>
      <c r="R1619" s="48" t="e">
        <f t="shared" si="1158"/>
        <v>#VALUE!</v>
      </c>
      <c r="S1619" s="49" t="e">
        <f t="shared" si="1159"/>
        <v>#VALUE!</v>
      </c>
      <c r="T1619" s="48" t="str">
        <f t="shared" si="1160"/>
        <v/>
      </c>
      <c r="U1619" s="50"/>
      <c r="V1619" s="51"/>
      <c r="W1619" s="52" t="e">
        <f t="shared" si="1161"/>
        <v>#VALUE!</v>
      </c>
      <c r="X1619" s="53"/>
      <c r="Y1619" s="53"/>
      <c r="Z1619" s="53"/>
      <c r="AA1619" s="48" t="e">
        <f>INDEX([1]!VISITORS[INSECT ORDER], MATCH(X1619,[1]!VISITORS[NAME USED],0))</f>
        <v>#REF!</v>
      </c>
      <c r="AB1619" s="48" t="e">
        <f t="shared" si="1162"/>
        <v>#REF!</v>
      </c>
      <c r="AC1619" s="54" t="e">
        <f t="shared" si="1163"/>
        <v>#VALUE!</v>
      </c>
      <c r="AD1619" s="55" t="str">
        <f t="shared" si="1177"/>
        <v/>
      </c>
      <c r="AE1619" s="55"/>
      <c r="AF1619" s="55"/>
      <c r="AG1619" s="56" t="str">
        <f t="shared" si="1181"/>
        <v/>
      </c>
      <c r="AH1619" s="57" t="str">
        <f t="shared" si="1182"/>
        <v/>
      </c>
      <c r="AI1619" s="56"/>
      <c r="AJ1619" s="57" t="str">
        <f t="shared" si="1178"/>
        <v/>
      </c>
      <c r="AK1619" s="56"/>
      <c r="AL1619" s="57" t="str">
        <f t="shared" si="1183"/>
        <v/>
      </c>
      <c r="AM1619" s="56"/>
      <c r="AN1619" s="57" t="str">
        <f t="shared" si="1164"/>
        <v/>
      </c>
      <c r="AO1619" s="56"/>
      <c r="AP1619" s="57" t="str">
        <f t="shared" si="1165"/>
        <v/>
      </c>
      <c r="AQ1619" s="56"/>
      <c r="AR1619" s="57" t="str">
        <f t="shared" si="1166"/>
        <v/>
      </c>
      <c r="AS1619" s="56"/>
      <c r="AT1619" s="57" t="str">
        <f t="shared" si="1167"/>
        <v/>
      </c>
      <c r="AU1619" s="58"/>
      <c r="AV1619" s="59"/>
      <c r="AW1619" s="59"/>
      <c r="AX1619" s="60"/>
      <c r="AY1619" s="61" t="str">
        <f t="shared" si="1184"/>
        <v/>
      </c>
      <c r="AZ1619" s="62" t="str">
        <f t="shared" si="1168"/>
        <v/>
      </c>
      <c r="BA1619" s="61" t="str">
        <f t="shared" si="1169"/>
        <v/>
      </c>
      <c r="BB1619" s="62" t="str">
        <f t="shared" si="1170"/>
        <v/>
      </c>
    </row>
    <row r="1620" spans="1:54" hidden="1" x14ac:dyDescent="0.35">
      <c r="A1620" s="73">
        <f t="shared" si="1091"/>
        <v>2019</v>
      </c>
      <c r="B1620" s="73" t="str">
        <f t="shared" si="1171"/>
        <v>Nov</v>
      </c>
      <c r="C1620" s="74">
        <f t="shared" si="1172"/>
        <v>17</v>
      </c>
      <c r="D1620" s="75">
        <f t="shared" si="1173"/>
        <v>15</v>
      </c>
      <c r="E1620" s="76">
        <f t="shared" si="1092"/>
        <v>50</v>
      </c>
      <c r="F1620" s="80"/>
      <c r="G1620" s="83"/>
      <c r="H1620" s="69" t="str">
        <f t="shared" si="1174"/>
        <v>Senbur6_20191117_15_00</v>
      </c>
      <c r="I1620" s="70">
        <f t="shared" ref="I1620:N1620" si="1217">I1619</f>
        <v>1</v>
      </c>
      <c r="J1620" s="77" t="str">
        <f t="shared" si="1217"/>
        <v>Senecio</v>
      </c>
      <c r="K1620" s="77" t="str">
        <f t="shared" si="1217"/>
        <v>burtoni</v>
      </c>
      <c r="L1620" s="78">
        <f t="shared" si="1217"/>
        <v>6</v>
      </c>
      <c r="M1620" s="78">
        <f t="shared" si="1217"/>
        <v>12</v>
      </c>
      <c r="N1620" s="72">
        <f t="shared" si="1217"/>
        <v>0</v>
      </c>
      <c r="O1620" s="45"/>
      <c r="P1620" s="46" t="str">
        <f t="shared" si="1156"/>
        <v/>
      </c>
      <c r="Q1620" s="47" t="str">
        <f t="shared" si="1157"/>
        <v/>
      </c>
      <c r="R1620" s="48" t="e">
        <f t="shared" si="1158"/>
        <v>#VALUE!</v>
      </c>
      <c r="S1620" s="49" t="e">
        <f t="shared" si="1159"/>
        <v>#VALUE!</v>
      </c>
      <c r="T1620" s="48" t="str">
        <f t="shared" si="1160"/>
        <v/>
      </c>
      <c r="U1620" s="50"/>
      <c r="V1620" s="51"/>
      <c r="W1620" s="52" t="e">
        <f t="shared" si="1161"/>
        <v>#VALUE!</v>
      </c>
      <c r="X1620" s="53"/>
      <c r="Y1620" s="53"/>
      <c r="Z1620" s="53"/>
      <c r="AA1620" s="48" t="e">
        <f>INDEX([1]!VISITORS[INSECT ORDER], MATCH(X1620,[1]!VISITORS[NAME USED],0))</f>
        <v>#REF!</v>
      </c>
      <c r="AB1620" s="48" t="e">
        <f t="shared" si="1162"/>
        <v>#REF!</v>
      </c>
      <c r="AC1620" s="54" t="e">
        <f t="shared" si="1163"/>
        <v>#VALUE!</v>
      </c>
      <c r="AD1620" s="55" t="str">
        <f t="shared" si="1177"/>
        <v/>
      </c>
      <c r="AE1620" s="55"/>
      <c r="AF1620" s="55"/>
      <c r="AG1620" s="56" t="str">
        <f t="shared" si="1181"/>
        <v/>
      </c>
      <c r="AH1620" s="57" t="str">
        <f t="shared" si="1182"/>
        <v/>
      </c>
      <c r="AI1620" s="56"/>
      <c r="AJ1620" s="57" t="str">
        <f t="shared" si="1178"/>
        <v/>
      </c>
      <c r="AK1620" s="56"/>
      <c r="AL1620" s="57" t="str">
        <f t="shared" si="1183"/>
        <v/>
      </c>
      <c r="AM1620" s="56"/>
      <c r="AN1620" s="57" t="str">
        <f t="shared" si="1164"/>
        <v/>
      </c>
      <c r="AO1620" s="56"/>
      <c r="AP1620" s="57" t="str">
        <f t="shared" si="1165"/>
        <v/>
      </c>
      <c r="AQ1620" s="56"/>
      <c r="AR1620" s="57" t="str">
        <f t="shared" si="1166"/>
        <v/>
      </c>
      <c r="AS1620" s="56"/>
      <c r="AT1620" s="57" t="str">
        <f t="shared" si="1167"/>
        <v/>
      </c>
      <c r="AU1620" s="58"/>
      <c r="AV1620" s="59"/>
      <c r="AW1620" s="59"/>
      <c r="AX1620" s="60"/>
      <c r="AY1620" s="61" t="str">
        <f t="shared" si="1184"/>
        <v/>
      </c>
      <c r="AZ1620" s="62" t="str">
        <f t="shared" si="1168"/>
        <v/>
      </c>
      <c r="BA1620" s="61" t="str">
        <f t="shared" si="1169"/>
        <v/>
      </c>
      <c r="BB1620" s="62" t="str">
        <f t="shared" si="1170"/>
        <v/>
      </c>
    </row>
    <row r="1621" spans="1:54" hidden="1" x14ac:dyDescent="0.35">
      <c r="A1621" s="73">
        <f t="shared" si="1091"/>
        <v>2019</v>
      </c>
      <c r="B1621" s="73" t="str">
        <f t="shared" si="1171"/>
        <v>Nov</v>
      </c>
      <c r="C1621" s="74">
        <f t="shared" si="1172"/>
        <v>17</v>
      </c>
      <c r="D1621" s="75">
        <f t="shared" si="1173"/>
        <v>15</v>
      </c>
      <c r="E1621" s="76">
        <f t="shared" si="1092"/>
        <v>51</v>
      </c>
      <c r="F1621" s="80"/>
      <c r="G1621" s="83"/>
      <c r="H1621" s="69" t="str">
        <f t="shared" si="1174"/>
        <v>Senbur6_20191117_15_00</v>
      </c>
      <c r="I1621" s="70">
        <f t="shared" ref="I1621:N1621" si="1218">I1620</f>
        <v>1</v>
      </c>
      <c r="J1621" s="77" t="str">
        <f t="shared" si="1218"/>
        <v>Senecio</v>
      </c>
      <c r="K1621" s="77" t="str">
        <f t="shared" si="1218"/>
        <v>burtoni</v>
      </c>
      <c r="L1621" s="78">
        <f t="shared" si="1218"/>
        <v>6</v>
      </c>
      <c r="M1621" s="78">
        <f t="shared" si="1218"/>
        <v>12</v>
      </c>
      <c r="N1621" s="72">
        <f t="shared" si="1218"/>
        <v>0</v>
      </c>
      <c r="O1621" s="45"/>
      <c r="P1621" s="46" t="str">
        <f t="shared" si="1156"/>
        <v/>
      </c>
      <c r="Q1621" s="47" t="str">
        <f t="shared" si="1157"/>
        <v/>
      </c>
      <c r="R1621" s="48" t="e">
        <f t="shared" si="1158"/>
        <v>#VALUE!</v>
      </c>
      <c r="S1621" s="49" t="e">
        <f t="shared" si="1159"/>
        <v>#VALUE!</v>
      </c>
      <c r="T1621" s="48" t="str">
        <f t="shared" si="1160"/>
        <v/>
      </c>
      <c r="U1621" s="50"/>
      <c r="V1621" s="51"/>
      <c r="W1621" s="52" t="e">
        <f t="shared" si="1161"/>
        <v>#VALUE!</v>
      </c>
      <c r="X1621" s="53"/>
      <c r="Y1621" s="53"/>
      <c r="Z1621" s="53"/>
      <c r="AA1621" s="48" t="e">
        <f>INDEX([1]!VISITORS[INSECT ORDER], MATCH(X1621,[1]!VISITORS[NAME USED],0))</f>
        <v>#REF!</v>
      </c>
      <c r="AB1621" s="48" t="e">
        <f t="shared" si="1162"/>
        <v>#REF!</v>
      </c>
      <c r="AC1621" s="54" t="e">
        <f t="shared" si="1163"/>
        <v>#VALUE!</v>
      </c>
      <c r="AD1621" s="55" t="str">
        <f t="shared" si="1177"/>
        <v/>
      </c>
      <c r="AE1621" s="55"/>
      <c r="AF1621" s="55"/>
      <c r="AG1621" s="56" t="str">
        <f t="shared" si="1181"/>
        <v/>
      </c>
      <c r="AH1621" s="57" t="str">
        <f t="shared" si="1182"/>
        <v/>
      </c>
      <c r="AI1621" s="56"/>
      <c r="AJ1621" s="57" t="str">
        <f t="shared" si="1178"/>
        <v/>
      </c>
      <c r="AK1621" s="56"/>
      <c r="AL1621" s="57" t="str">
        <f t="shared" si="1183"/>
        <v/>
      </c>
      <c r="AM1621" s="56"/>
      <c r="AN1621" s="57" t="str">
        <f t="shared" si="1164"/>
        <v/>
      </c>
      <c r="AO1621" s="56"/>
      <c r="AP1621" s="57" t="str">
        <f t="shared" si="1165"/>
        <v/>
      </c>
      <c r="AQ1621" s="56"/>
      <c r="AR1621" s="57" t="str">
        <f t="shared" si="1166"/>
        <v/>
      </c>
      <c r="AS1621" s="56"/>
      <c r="AT1621" s="57" t="str">
        <f t="shared" si="1167"/>
        <v/>
      </c>
      <c r="AU1621" s="58"/>
      <c r="AV1621" s="59"/>
      <c r="AW1621" s="59"/>
      <c r="AX1621" s="60"/>
      <c r="AY1621" s="61" t="str">
        <f t="shared" si="1184"/>
        <v/>
      </c>
      <c r="AZ1621" s="62" t="str">
        <f t="shared" si="1168"/>
        <v/>
      </c>
      <c r="BA1621" s="61" t="str">
        <f t="shared" si="1169"/>
        <v/>
      </c>
      <c r="BB1621" s="62" t="str">
        <f t="shared" si="1170"/>
        <v/>
      </c>
    </row>
    <row r="1622" spans="1:54" hidden="1" x14ac:dyDescent="0.35">
      <c r="A1622" s="73">
        <f t="shared" si="1091"/>
        <v>2019</v>
      </c>
      <c r="B1622" s="73" t="str">
        <f t="shared" si="1171"/>
        <v>Nov</v>
      </c>
      <c r="C1622" s="74">
        <f t="shared" si="1172"/>
        <v>17</v>
      </c>
      <c r="D1622" s="75">
        <f t="shared" si="1173"/>
        <v>15</v>
      </c>
      <c r="E1622" s="76">
        <f t="shared" si="1092"/>
        <v>52</v>
      </c>
      <c r="F1622" s="80"/>
      <c r="G1622" s="83"/>
      <c r="H1622" s="69" t="str">
        <f t="shared" si="1174"/>
        <v>Senbur6_20191117_15_00</v>
      </c>
      <c r="I1622" s="70">
        <f t="shared" ref="I1622:N1622" si="1219">I1621</f>
        <v>1</v>
      </c>
      <c r="J1622" s="77" t="str">
        <f t="shared" si="1219"/>
        <v>Senecio</v>
      </c>
      <c r="K1622" s="77" t="str">
        <f t="shared" si="1219"/>
        <v>burtoni</v>
      </c>
      <c r="L1622" s="78">
        <f t="shared" si="1219"/>
        <v>6</v>
      </c>
      <c r="M1622" s="78">
        <f t="shared" si="1219"/>
        <v>12</v>
      </c>
      <c r="N1622" s="72">
        <f t="shared" si="1219"/>
        <v>0</v>
      </c>
      <c r="O1622" s="45"/>
      <c r="P1622" s="46" t="str">
        <f t="shared" si="1156"/>
        <v/>
      </c>
      <c r="Q1622" s="47" t="str">
        <f t="shared" si="1157"/>
        <v/>
      </c>
      <c r="R1622" s="48" t="e">
        <f t="shared" si="1158"/>
        <v>#VALUE!</v>
      </c>
      <c r="S1622" s="49" t="e">
        <f t="shared" si="1159"/>
        <v>#VALUE!</v>
      </c>
      <c r="T1622" s="48" t="str">
        <f t="shared" si="1160"/>
        <v/>
      </c>
      <c r="U1622" s="50"/>
      <c r="V1622" s="51"/>
      <c r="W1622" s="52" t="e">
        <f t="shared" si="1161"/>
        <v>#VALUE!</v>
      </c>
      <c r="X1622" s="53"/>
      <c r="Y1622" s="53"/>
      <c r="Z1622" s="53"/>
      <c r="AA1622" s="48" t="e">
        <f>INDEX([1]!VISITORS[INSECT ORDER], MATCH(X1622,[1]!VISITORS[NAME USED],0))</f>
        <v>#REF!</v>
      </c>
      <c r="AB1622" s="48" t="e">
        <f t="shared" si="1162"/>
        <v>#REF!</v>
      </c>
      <c r="AC1622" s="54" t="e">
        <f t="shared" si="1163"/>
        <v>#VALUE!</v>
      </c>
      <c r="AD1622" s="55" t="str">
        <f t="shared" si="1177"/>
        <v/>
      </c>
      <c r="AE1622" s="55"/>
      <c r="AF1622" s="55"/>
      <c r="AG1622" s="56" t="str">
        <f t="shared" si="1181"/>
        <v/>
      </c>
      <c r="AH1622" s="57" t="str">
        <f t="shared" si="1182"/>
        <v/>
      </c>
      <c r="AI1622" s="56"/>
      <c r="AJ1622" s="57" t="str">
        <f t="shared" si="1178"/>
        <v/>
      </c>
      <c r="AK1622" s="56"/>
      <c r="AL1622" s="57" t="str">
        <f t="shared" si="1183"/>
        <v/>
      </c>
      <c r="AM1622" s="56"/>
      <c r="AN1622" s="57" t="str">
        <f t="shared" si="1164"/>
        <v/>
      </c>
      <c r="AO1622" s="56"/>
      <c r="AP1622" s="57" t="str">
        <f t="shared" si="1165"/>
        <v/>
      </c>
      <c r="AQ1622" s="56"/>
      <c r="AR1622" s="57" t="str">
        <f t="shared" si="1166"/>
        <v/>
      </c>
      <c r="AS1622" s="56"/>
      <c r="AT1622" s="57" t="str">
        <f t="shared" si="1167"/>
        <v/>
      </c>
      <c r="AU1622" s="58"/>
      <c r="AV1622" s="59"/>
      <c r="AW1622" s="59"/>
      <c r="AX1622" s="60"/>
      <c r="AY1622" s="61" t="str">
        <f t="shared" si="1184"/>
        <v/>
      </c>
      <c r="AZ1622" s="62" t="str">
        <f t="shared" si="1168"/>
        <v/>
      </c>
      <c r="BA1622" s="61" t="str">
        <f t="shared" si="1169"/>
        <v/>
      </c>
      <c r="BB1622" s="62" t="str">
        <f t="shared" si="1170"/>
        <v/>
      </c>
    </row>
    <row r="1623" spans="1:54" hidden="1" x14ac:dyDescent="0.35">
      <c r="A1623" s="73">
        <f t="shared" si="1091"/>
        <v>2019</v>
      </c>
      <c r="B1623" s="73" t="str">
        <f t="shared" si="1171"/>
        <v>Nov</v>
      </c>
      <c r="C1623" s="74">
        <f t="shared" si="1172"/>
        <v>17</v>
      </c>
      <c r="D1623" s="75">
        <f t="shared" si="1173"/>
        <v>15</v>
      </c>
      <c r="E1623" s="76">
        <f t="shared" si="1092"/>
        <v>53</v>
      </c>
      <c r="F1623" s="80"/>
      <c r="G1623" s="83"/>
      <c r="H1623" s="69" t="str">
        <f t="shared" si="1174"/>
        <v>Senbur6_20191117_15_00</v>
      </c>
      <c r="I1623" s="70">
        <f t="shared" ref="I1623:N1623" si="1220">I1622</f>
        <v>1</v>
      </c>
      <c r="J1623" s="77" t="str">
        <f t="shared" si="1220"/>
        <v>Senecio</v>
      </c>
      <c r="K1623" s="77" t="str">
        <f t="shared" si="1220"/>
        <v>burtoni</v>
      </c>
      <c r="L1623" s="78">
        <f t="shared" si="1220"/>
        <v>6</v>
      </c>
      <c r="M1623" s="78">
        <f t="shared" si="1220"/>
        <v>12</v>
      </c>
      <c r="N1623" s="72">
        <f t="shared" si="1220"/>
        <v>0</v>
      </c>
      <c r="O1623" s="45"/>
      <c r="P1623" s="46" t="str">
        <f t="shared" si="1156"/>
        <v/>
      </c>
      <c r="Q1623" s="47" t="str">
        <f t="shared" si="1157"/>
        <v/>
      </c>
      <c r="R1623" s="48" t="e">
        <f t="shared" si="1158"/>
        <v>#VALUE!</v>
      </c>
      <c r="S1623" s="49" t="e">
        <f t="shared" si="1159"/>
        <v>#VALUE!</v>
      </c>
      <c r="T1623" s="48" t="str">
        <f t="shared" si="1160"/>
        <v/>
      </c>
      <c r="U1623" s="50"/>
      <c r="V1623" s="51"/>
      <c r="W1623" s="52" t="e">
        <f t="shared" si="1161"/>
        <v>#VALUE!</v>
      </c>
      <c r="X1623" s="53"/>
      <c r="Y1623" s="53"/>
      <c r="Z1623" s="53"/>
      <c r="AA1623" s="48" t="e">
        <f>INDEX([1]!VISITORS[INSECT ORDER], MATCH(X1623,[1]!VISITORS[NAME USED],0))</f>
        <v>#REF!</v>
      </c>
      <c r="AB1623" s="48" t="e">
        <f t="shared" si="1162"/>
        <v>#REF!</v>
      </c>
      <c r="AC1623" s="54" t="e">
        <f t="shared" si="1163"/>
        <v>#VALUE!</v>
      </c>
      <c r="AD1623" s="55" t="str">
        <f t="shared" si="1177"/>
        <v/>
      </c>
      <c r="AE1623" s="55"/>
      <c r="AF1623" s="55"/>
      <c r="AG1623" s="56" t="str">
        <f t="shared" si="1181"/>
        <v/>
      </c>
      <c r="AH1623" s="57" t="str">
        <f t="shared" si="1182"/>
        <v/>
      </c>
      <c r="AI1623" s="56"/>
      <c r="AJ1623" s="57" t="str">
        <f t="shared" si="1178"/>
        <v/>
      </c>
      <c r="AK1623" s="56"/>
      <c r="AL1623" s="57" t="str">
        <f t="shared" si="1183"/>
        <v/>
      </c>
      <c r="AM1623" s="56"/>
      <c r="AN1623" s="57" t="str">
        <f t="shared" si="1164"/>
        <v/>
      </c>
      <c r="AO1623" s="56"/>
      <c r="AP1623" s="57" t="str">
        <f t="shared" si="1165"/>
        <v/>
      </c>
      <c r="AQ1623" s="56"/>
      <c r="AR1623" s="57" t="str">
        <f t="shared" si="1166"/>
        <v/>
      </c>
      <c r="AS1623" s="56"/>
      <c r="AT1623" s="57" t="str">
        <f t="shared" si="1167"/>
        <v/>
      </c>
      <c r="AU1623" s="58"/>
      <c r="AV1623" s="59"/>
      <c r="AW1623" s="59"/>
      <c r="AX1623" s="60"/>
      <c r="AY1623" s="61" t="str">
        <f t="shared" si="1184"/>
        <v/>
      </c>
      <c r="AZ1623" s="62" t="str">
        <f t="shared" si="1168"/>
        <v/>
      </c>
      <c r="BA1623" s="61" t="str">
        <f t="shared" si="1169"/>
        <v/>
      </c>
      <c r="BB1623" s="62" t="str">
        <f t="shared" si="1170"/>
        <v/>
      </c>
    </row>
    <row r="1624" spans="1:54" hidden="1" x14ac:dyDescent="0.35">
      <c r="A1624" s="73">
        <f t="shared" si="1091"/>
        <v>2019</v>
      </c>
      <c r="B1624" s="73" t="str">
        <f t="shared" si="1171"/>
        <v>Nov</v>
      </c>
      <c r="C1624" s="74">
        <f t="shared" si="1172"/>
        <v>17</v>
      </c>
      <c r="D1624" s="75">
        <f t="shared" si="1173"/>
        <v>15</v>
      </c>
      <c r="E1624" s="76">
        <f t="shared" si="1092"/>
        <v>54</v>
      </c>
      <c r="F1624" s="80"/>
      <c r="G1624" s="83"/>
      <c r="H1624" s="69" t="str">
        <f t="shared" si="1174"/>
        <v>Senbur6_20191117_15_00</v>
      </c>
      <c r="I1624" s="70">
        <f t="shared" ref="I1624:N1624" si="1221">I1623</f>
        <v>1</v>
      </c>
      <c r="J1624" s="77" t="str">
        <f t="shared" si="1221"/>
        <v>Senecio</v>
      </c>
      <c r="K1624" s="77" t="str">
        <f t="shared" si="1221"/>
        <v>burtoni</v>
      </c>
      <c r="L1624" s="78">
        <f t="shared" si="1221"/>
        <v>6</v>
      </c>
      <c r="M1624" s="78">
        <f t="shared" si="1221"/>
        <v>12</v>
      </c>
      <c r="N1624" s="72">
        <f t="shared" si="1221"/>
        <v>0</v>
      </c>
      <c r="O1624" s="45"/>
      <c r="P1624" s="46" t="str">
        <f t="shared" si="1156"/>
        <v/>
      </c>
      <c r="Q1624" s="47" t="str">
        <f t="shared" si="1157"/>
        <v/>
      </c>
      <c r="R1624" s="48" t="e">
        <f t="shared" si="1158"/>
        <v>#VALUE!</v>
      </c>
      <c r="S1624" s="49" t="e">
        <f t="shared" si="1159"/>
        <v>#VALUE!</v>
      </c>
      <c r="T1624" s="48" t="str">
        <f t="shared" si="1160"/>
        <v/>
      </c>
      <c r="U1624" s="50"/>
      <c r="V1624" s="51"/>
      <c r="W1624" s="52" t="e">
        <f t="shared" si="1161"/>
        <v>#VALUE!</v>
      </c>
      <c r="X1624" s="53"/>
      <c r="Y1624" s="53"/>
      <c r="Z1624" s="53"/>
      <c r="AA1624" s="48" t="e">
        <f>INDEX([1]!VISITORS[INSECT ORDER], MATCH(X1624,[1]!VISITORS[NAME USED],0))</f>
        <v>#REF!</v>
      </c>
      <c r="AB1624" s="48" t="e">
        <f t="shared" si="1162"/>
        <v>#REF!</v>
      </c>
      <c r="AC1624" s="54" t="e">
        <f t="shared" si="1163"/>
        <v>#VALUE!</v>
      </c>
      <c r="AD1624" s="55" t="str">
        <f t="shared" si="1177"/>
        <v/>
      </c>
      <c r="AE1624" s="55"/>
      <c r="AF1624" s="55"/>
      <c r="AG1624" s="56" t="str">
        <f t="shared" si="1181"/>
        <v/>
      </c>
      <c r="AH1624" s="57" t="str">
        <f t="shared" si="1182"/>
        <v/>
      </c>
      <c r="AI1624" s="56"/>
      <c r="AJ1624" s="57" t="str">
        <f t="shared" si="1178"/>
        <v/>
      </c>
      <c r="AK1624" s="56"/>
      <c r="AL1624" s="57" t="str">
        <f t="shared" si="1183"/>
        <v/>
      </c>
      <c r="AM1624" s="56"/>
      <c r="AN1624" s="57" t="str">
        <f t="shared" si="1164"/>
        <v/>
      </c>
      <c r="AO1624" s="56"/>
      <c r="AP1624" s="57" t="str">
        <f t="shared" si="1165"/>
        <v/>
      </c>
      <c r="AQ1624" s="56"/>
      <c r="AR1624" s="57" t="str">
        <f t="shared" si="1166"/>
        <v/>
      </c>
      <c r="AS1624" s="56"/>
      <c r="AT1624" s="57" t="str">
        <f t="shared" si="1167"/>
        <v/>
      </c>
      <c r="AU1624" s="58"/>
      <c r="AV1624" s="59"/>
      <c r="AW1624" s="59"/>
      <c r="AX1624" s="60"/>
      <c r="AY1624" s="61" t="str">
        <f t="shared" si="1184"/>
        <v/>
      </c>
      <c r="AZ1624" s="62" t="str">
        <f t="shared" si="1168"/>
        <v/>
      </c>
      <c r="BA1624" s="61" t="str">
        <f t="shared" si="1169"/>
        <v/>
      </c>
      <c r="BB1624" s="62" t="str">
        <f t="shared" si="1170"/>
        <v/>
      </c>
    </row>
    <row r="1625" spans="1:54" hidden="1" x14ac:dyDescent="0.35">
      <c r="A1625" s="73">
        <f t="shared" si="1091"/>
        <v>2019</v>
      </c>
      <c r="B1625" s="73" t="str">
        <f t="shared" si="1171"/>
        <v>Nov</v>
      </c>
      <c r="C1625" s="74">
        <f t="shared" si="1172"/>
        <v>17</v>
      </c>
      <c r="D1625" s="75">
        <f t="shared" si="1173"/>
        <v>15</v>
      </c>
      <c r="E1625" s="76">
        <f t="shared" si="1092"/>
        <v>55</v>
      </c>
      <c r="F1625" s="80"/>
      <c r="G1625" s="83"/>
      <c r="H1625" s="69" t="str">
        <f t="shared" si="1174"/>
        <v>Senbur6_20191117_15_00</v>
      </c>
      <c r="I1625" s="70">
        <f t="shared" ref="I1625:N1625" si="1222">I1624</f>
        <v>1</v>
      </c>
      <c r="J1625" s="77" t="str">
        <f t="shared" si="1222"/>
        <v>Senecio</v>
      </c>
      <c r="K1625" s="77" t="str">
        <f t="shared" si="1222"/>
        <v>burtoni</v>
      </c>
      <c r="L1625" s="78">
        <f t="shared" si="1222"/>
        <v>6</v>
      </c>
      <c r="M1625" s="78">
        <f t="shared" si="1222"/>
        <v>12</v>
      </c>
      <c r="N1625" s="72">
        <f t="shared" si="1222"/>
        <v>0</v>
      </c>
      <c r="O1625" s="45"/>
      <c r="P1625" s="46" t="str">
        <f t="shared" si="1156"/>
        <v/>
      </c>
      <c r="Q1625" s="47" t="str">
        <f t="shared" si="1157"/>
        <v/>
      </c>
      <c r="R1625" s="48" t="e">
        <f t="shared" si="1158"/>
        <v>#VALUE!</v>
      </c>
      <c r="S1625" s="49" t="e">
        <f t="shared" si="1159"/>
        <v>#VALUE!</v>
      </c>
      <c r="T1625" s="48" t="str">
        <f t="shared" si="1160"/>
        <v/>
      </c>
      <c r="U1625" s="50"/>
      <c r="V1625" s="51"/>
      <c r="W1625" s="52" t="e">
        <f t="shared" si="1161"/>
        <v>#VALUE!</v>
      </c>
      <c r="X1625" s="53"/>
      <c r="Y1625" s="53"/>
      <c r="Z1625" s="53"/>
      <c r="AA1625" s="48" t="e">
        <f>INDEX([1]!VISITORS[INSECT ORDER], MATCH(X1625,[1]!VISITORS[NAME USED],0))</f>
        <v>#REF!</v>
      </c>
      <c r="AB1625" s="48" t="e">
        <f t="shared" si="1162"/>
        <v>#REF!</v>
      </c>
      <c r="AC1625" s="54" t="e">
        <f t="shared" si="1163"/>
        <v>#VALUE!</v>
      </c>
      <c r="AD1625" s="55" t="str">
        <f t="shared" si="1177"/>
        <v/>
      </c>
      <c r="AE1625" s="55"/>
      <c r="AF1625" s="55"/>
      <c r="AG1625" s="56" t="str">
        <f t="shared" si="1181"/>
        <v/>
      </c>
      <c r="AH1625" s="57" t="str">
        <f t="shared" si="1182"/>
        <v/>
      </c>
      <c r="AI1625" s="56"/>
      <c r="AJ1625" s="57" t="str">
        <f t="shared" si="1178"/>
        <v/>
      </c>
      <c r="AK1625" s="56"/>
      <c r="AL1625" s="57" t="str">
        <f t="shared" si="1183"/>
        <v/>
      </c>
      <c r="AM1625" s="56"/>
      <c r="AN1625" s="57" t="str">
        <f t="shared" si="1164"/>
        <v/>
      </c>
      <c r="AO1625" s="56"/>
      <c r="AP1625" s="57" t="str">
        <f t="shared" si="1165"/>
        <v/>
      </c>
      <c r="AQ1625" s="56"/>
      <c r="AR1625" s="57" t="str">
        <f t="shared" si="1166"/>
        <v/>
      </c>
      <c r="AS1625" s="56"/>
      <c r="AT1625" s="57" t="str">
        <f t="shared" si="1167"/>
        <v/>
      </c>
      <c r="AU1625" s="58"/>
      <c r="AV1625" s="59"/>
      <c r="AW1625" s="59"/>
      <c r="AX1625" s="60"/>
      <c r="AY1625" s="61" t="str">
        <f t="shared" si="1184"/>
        <v/>
      </c>
      <c r="AZ1625" s="62" t="str">
        <f t="shared" si="1168"/>
        <v/>
      </c>
      <c r="BA1625" s="61" t="str">
        <f t="shared" si="1169"/>
        <v/>
      </c>
      <c r="BB1625" s="62" t="str">
        <f t="shared" si="1170"/>
        <v/>
      </c>
    </row>
    <row r="1626" spans="1:54" hidden="1" x14ac:dyDescent="0.35">
      <c r="A1626" s="73">
        <f t="shared" si="1091"/>
        <v>2019</v>
      </c>
      <c r="B1626" s="73" t="str">
        <f t="shared" si="1171"/>
        <v>Nov</v>
      </c>
      <c r="C1626" s="74">
        <f t="shared" si="1172"/>
        <v>17</v>
      </c>
      <c r="D1626" s="75">
        <f t="shared" si="1173"/>
        <v>15</v>
      </c>
      <c r="E1626" s="76">
        <f t="shared" si="1092"/>
        <v>56</v>
      </c>
      <c r="F1626" s="80"/>
      <c r="G1626" s="83"/>
      <c r="H1626" s="69" t="str">
        <f t="shared" si="1174"/>
        <v>Senbur6_20191117_15_00</v>
      </c>
      <c r="I1626" s="70">
        <f t="shared" ref="I1626:N1626" si="1223">I1625</f>
        <v>1</v>
      </c>
      <c r="J1626" s="77" t="str">
        <f t="shared" si="1223"/>
        <v>Senecio</v>
      </c>
      <c r="K1626" s="77" t="str">
        <f t="shared" si="1223"/>
        <v>burtoni</v>
      </c>
      <c r="L1626" s="78">
        <f t="shared" si="1223"/>
        <v>6</v>
      </c>
      <c r="M1626" s="78">
        <f t="shared" si="1223"/>
        <v>12</v>
      </c>
      <c r="N1626" s="72">
        <f t="shared" si="1223"/>
        <v>0</v>
      </c>
      <c r="O1626" s="45"/>
      <c r="P1626" s="46" t="str">
        <f t="shared" si="1156"/>
        <v/>
      </c>
      <c r="Q1626" s="47" t="str">
        <f t="shared" si="1157"/>
        <v/>
      </c>
      <c r="R1626" s="48" t="e">
        <f t="shared" si="1158"/>
        <v>#VALUE!</v>
      </c>
      <c r="S1626" s="49" t="e">
        <f t="shared" si="1159"/>
        <v>#VALUE!</v>
      </c>
      <c r="T1626" s="48" t="str">
        <f t="shared" si="1160"/>
        <v/>
      </c>
      <c r="U1626" s="50"/>
      <c r="V1626" s="51"/>
      <c r="W1626" s="52" t="e">
        <f t="shared" si="1161"/>
        <v>#VALUE!</v>
      </c>
      <c r="X1626" s="53"/>
      <c r="Y1626" s="53"/>
      <c r="Z1626" s="53"/>
      <c r="AA1626" s="48" t="e">
        <f>INDEX([1]!VISITORS[INSECT ORDER], MATCH(X1626,[1]!VISITORS[NAME USED],0))</f>
        <v>#REF!</v>
      </c>
      <c r="AB1626" s="48" t="e">
        <f t="shared" si="1162"/>
        <v>#REF!</v>
      </c>
      <c r="AC1626" s="54" t="e">
        <f t="shared" si="1163"/>
        <v>#VALUE!</v>
      </c>
      <c r="AD1626" s="55" t="str">
        <f t="shared" si="1177"/>
        <v/>
      </c>
      <c r="AE1626" s="55"/>
      <c r="AF1626" s="55"/>
      <c r="AG1626" s="56" t="str">
        <f t="shared" si="1181"/>
        <v/>
      </c>
      <c r="AH1626" s="57" t="str">
        <f t="shared" si="1182"/>
        <v/>
      </c>
      <c r="AI1626" s="56"/>
      <c r="AJ1626" s="57" t="str">
        <f t="shared" si="1178"/>
        <v/>
      </c>
      <c r="AK1626" s="56"/>
      <c r="AL1626" s="57" t="str">
        <f t="shared" si="1183"/>
        <v/>
      </c>
      <c r="AM1626" s="56"/>
      <c r="AN1626" s="57" t="str">
        <f t="shared" si="1164"/>
        <v/>
      </c>
      <c r="AO1626" s="56"/>
      <c r="AP1626" s="57" t="str">
        <f t="shared" si="1165"/>
        <v/>
      </c>
      <c r="AQ1626" s="56"/>
      <c r="AR1626" s="57" t="str">
        <f t="shared" si="1166"/>
        <v/>
      </c>
      <c r="AS1626" s="56"/>
      <c r="AT1626" s="57" t="str">
        <f t="shared" si="1167"/>
        <v/>
      </c>
      <c r="AU1626" s="58"/>
      <c r="AV1626" s="59"/>
      <c r="AW1626" s="59"/>
      <c r="AX1626" s="60"/>
      <c r="AY1626" s="61" t="str">
        <f t="shared" si="1184"/>
        <v/>
      </c>
      <c r="AZ1626" s="62" t="str">
        <f t="shared" si="1168"/>
        <v/>
      </c>
      <c r="BA1626" s="61" t="str">
        <f t="shared" si="1169"/>
        <v/>
      </c>
      <c r="BB1626" s="62" t="str">
        <f t="shared" si="1170"/>
        <v/>
      </c>
    </row>
    <row r="1627" spans="1:54" hidden="1" x14ac:dyDescent="0.35">
      <c r="A1627" s="73">
        <f t="shared" si="1091"/>
        <v>2019</v>
      </c>
      <c r="B1627" s="73" t="str">
        <f t="shared" si="1171"/>
        <v>Nov</v>
      </c>
      <c r="C1627" s="74">
        <f t="shared" si="1172"/>
        <v>17</v>
      </c>
      <c r="D1627" s="75">
        <f t="shared" si="1173"/>
        <v>15</v>
      </c>
      <c r="E1627" s="76">
        <f t="shared" si="1092"/>
        <v>57</v>
      </c>
      <c r="F1627" s="80">
        <v>13</v>
      </c>
      <c r="G1627" s="83"/>
      <c r="H1627" s="69" t="str">
        <f t="shared" si="1174"/>
        <v>Senbur6_20191117_15_00</v>
      </c>
      <c r="I1627" s="70">
        <f t="shared" ref="I1627:N1627" si="1224">I1626</f>
        <v>1</v>
      </c>
      <c r="J1627" s="77" t="str">
        <f t="shared" si="1224"/>
        <v>Senecio</v>
      </c>
      <c r="K1627" s="77" t="str">
        <f t="shared" si="1224"/>
        <v>burtoni</v>
      </c>
      <c r="L1627" s="78">
        <f t="shared" si="1224"/>
        <v>6</v>
      </c>
      <c r="M1627" s="78">
        <f t="shared" si="1224"/>
        <v>12</v>
      </c>
      <c r="N1627" s="72">
        <f t="shared" si="1224"/>
        <v>0</v>
      </c>
      <c r="O1627" s="45"/>
      <c r="P1627" s="46">
        <f t="shared" si="1156"/>
        <v>1</v>
      </c>
      <c r="Q1627" s="47" t="str">
        <f t="shared" si="1157"/>
        <v>15:57:13</v>
      </c>
      <c r="R1627" s="48" t="str">
        <f t="shared" si="1158"/>
        <v>57:13</v>
      </c>
      <c r="S1627" s="49">
        <f t="shared" si="1159"/>
        <v>135</v>
      </c>
      <c r="T1627" s="48" t="str">
        <f t="shared" si="1160"/>
        <v>15</v>
      </c>
      <c r="U1627" s="50">
        <v>59</v>
      </c>
      <c r="V1627" s="51">
        <v>28</v>
      </c>
      <c r="W1627" s="52" t="str">
        <f t="shared" si="1161"/>
        <v>59:28</v>
      </c>
      <c r="X1627" s="53" t="s">
        <v>61</v>
      </c>
      <c r="Y1627" s="97" t="s">
        <v>78</v>
      </c>
      <c r="Z1627" s="97"/>
      <c r="AA1627" s="48" t="s">
        <v>60</v>
      </c>
      <c r="AB1627" s="48" t="str">
        <f t="shared" si="1162"/>
        <v>NA</v>
      </c>
      <c r="AC1627" s="54">
        <f t="shared" si="1163"/>
        <v>0</v>
      </c>
      <c r="AD1627" s="55">
        <f t="shared" si="1177"/>
        <v>1</v>
      </c>
      <c r="AE1627" s="55"/>
      <c r="AF1627" s="55"/>
      <c r="AG1627" s="56" t="str">
        <f t="shared" si="1181"/>
        <v/>
      </c>
      <c r="AH1627" s="57" t="str">
        <f t="shared" si="1182"/>
        <v/>
      </c>
      <c r="AI1627" s="56"/>
      <c r="AJ1627" s="57" t="str">
        <f t="shared" si="1178"/>
        <v/>
      </c>
      <c r="AK1627" s="56">
        <v>1</v>
      </c>
      <c r="AL1627" s="57">
        <f t="shared" si="1183"/>
        <v>135</v>
      </c>
      <c r="AM1627" s="56"/>
      <c r="AN1627" s="57" t="str">
        <f t="shared" si="1164"/>
        <v/>
      </c>
      <c r="AO1627" s="56"/>
      <c r="AP1627" s="57" t="str">
        <f t="shared" si="1165"/>
        <v/>
      </c>
      <c r="AQ1627" s="56"/>
      <c r="AR1627" s="57" t="str">
        <f t="shared" si="1166"/>
        <v/>
      </c>
      <c r="AS1627" s="56"/>
      <c r="AT1627" s="57" t="str">
        <f t="shared" si="1167"/>
        <v/>
      </c>
      <c r="AU1627" s="58"/>
      <c r="AV1627" s="59"/>
      <c r="AW1627" s="59"/>
      <c r="AX1627" s="60"/>
      <c r="AY1627" s="61">
        <v>1</v>
      </c>
      <c r="AZ1627" s="62">
        <f t="shared" si="1168"/>
        <v>1</v>
      </c>
      <c r="BA1627" s="61">
        <f t="shared" si="1169"/>
        <v>0</v>
      </c>
      <c r="BB1627" s="62" t="str">
        <f t="shared" si="1170"/>
        <v/>
      </c>
    </row>
    <row r="1628" spans="1:54" hidden="1" x14ac:dyDescent="0.35">
      <c r="A1628" s="73">
        <f t="shared" si="1091"/>
        <v>2019</v>
      </c>
      <c r="B1628" s="73" t="str">
        <f t="shared" si="1171"/>
        <v>Nov</v>
      </c>
      <c r="C1628" s="74">
        <f t="shared" si="1172"/>
        <v>17</v>
      </c>
      <c r="D1628" s="75">
        <f t="shared" si="1173"/>
        <v>15</v>
      </c>
      <c r="E1628" s="76">
        <f t="shared" si="1092"/>
        <v>58</v>
      </c>
      <c r="F1628" s="80"/>
      <c r="G1628" s="83"/>
      <c r="H1628" s="69" t="str">
        <f t="shared" si="1174"/>
        <v>Senbur6_20191117_15_00</v>
      </c>
      <c r="I1628" s="70">
        <f t="shared" ref="I1628:N1628" si="1225">I1627</f>
        <v>1</v>
      </c>
      <c r="J1628" s="77" t="str">
        <f t="shared" si="1225"/>
        <v>Senecio</v>
      </c>
      <c r="K1628" s="77" t="str">
        <f t="shared" si="1225"/>
        <v>burtoni</v>
      </c>
      <c r="L1628" s="78">
        <f t="shared" si="1225"/>
        <v>6</v>
      </c>
      <c r="M1628" s="78">
        <f t="shared" si="1225"/>
        <v>12</v>
      </c>
      <c r="N1628" s="72">
        <f t="shared" si="1225"/>
        <v>0</v>
      </c>
      <c r="O1628" s="45"/>
      <c r="P1628" s="46" t="str">
        <f t="shared" si="1156"/>
        <v/>
      </c>
      <c r="Q1628" s="47" t="str">
        <f t="shared" si="1157"/>
        <v/>
      </c>
      <c r="R1628" s="48" t="e">
        <f t="shared" si="1158"/>
        <v>#VALUE!</v>
      </c>
      <c r="S1628" s="49" t="e">
        <f t="shared" si="1159"/>
        <v>#VALUE!</v>
      </c>
      <c r="T1628" s="48" t="str">
        <f t="shared" si="1160"/>
        <v/>
      </c>
      <c r="U1628" s="50"/>
      <c r="V1628" s="51"/>
      <c r="W1628" s="52" t="e">
        <f t="shared" si="1161"/>
        <v>#VALUE!</v>
      </c>
      <c r="X1628" s="53"/>
      <c r="Y1628" s="53"/>
      <c r="Z1628" s="53"/>
      <c r="AA1628" s="48" t="e">
        <f>INDEX([1]!VISITORS[INSECT ORDER], MATCH(X1628,[1]!VISITORS[NAME USED],0))</f>
        <v>#REF!</v>
      </c>
      <c r="AB1628" s="48" t="e">
        <f t="shared" si="1162"/>
        <v>#REF!</v>
      </c>
      <c r="AC1628" s="54" t="e">
        <f t="shared" si="1163"/>
        <v>#VALUE!</v>
      </c>
      <c r="AD1628" s="55" t="str">
        <f t="shared" si="1177"/>
        <v/>
      </c>
      <c r="AE1628" s="55"/>
      <c r="AF1628" s="55"/>
      <c r="AG1628" s="56" t="str">
        <f t="shared" si="1181"/>
        <v/>
      </c>
      <c r="AH1628" s="57" t="str">
        <f t="shared" si="1182"/>
        <v/>
      </c>
      <c r="AI1628" s="56"/>
      <c r="AJ1628" s="57" t="str">
        <f t="shared" si="1178"/>
        <v/>
      </c>
      <c r="AK1628" s="56"/>
      <c r="AL1628" s="57" t="str">
        <f t="shared" si="1183"/>
        <v/>
      </c>
      <c r="AM1628" s="56"/>
      <c r="AN1628" s="57" t="str">
        <f t="shared" si="1164"/>
        <v/>
      </c>
      <c r="AO1628" s="56"/>
      <c r="AP1628" s="57" t="str">
        <f t="shared" si="1165"/>
        <v/>
      </c>
      <c r="AQ1628" s="56"/>
      <c r="AR1628" s="57" t="str">
        <f t="shared" si="1166"/>
        <v/>
      </c>
      <c r="AS1628" s="56"/>
      <c r="AT1628" s="57" t="str">
        <f t="shared" si="1167"/>
        <v/>
      </c>
      <c r="AU1628" s="58"/>
      <c r="AV1628" s="59"/>
      <c r="AW1628" s="59"/>
      <c r="AX1628" s="60"/>
      <c r="AY1628" s="61" t="str">
        <f t="shared" si="1184"/>
        <v/>
      </c>
      <c r="AZ1628" s="62" t="str">
        <f t="shared" si="1168"/>
        <v/>
      </c>
      <c r="BA1628" s="61" t="str">
        <f t="shared" si="1169"/>
        <v/>
      </c>
      <c r="BB1628" s="62" t="str">
        <f t="shared" si="1170"/>
        <v/>
      </c>
    </row>
    <row r="1629" spans="1:54" hidden="1" x14ac:dyDescent="0.35">
      <c r="A1629" s="73">
        <f t="shared" ref="A1629:A1666" si="1226">A1628</f>
        <v>2019</v>
      </c>
      <c r="B1629" s="73" t="str">
        <f t="shared" si="1171"/>
        <v>Nov</v>
      </c>
      <c r="C1629" s="74">
        <f t="shared" si="1172"/>
        <v>17</v>
      </c>
      <c r="D1629" s="75">
        <f t="shared" si="1173"/>
        <v>15</v>
      </c>
      <c r="E1629" s="76">
        <f t="shared" ref="E1629:E1666" si="1227">IF(E1628&lt;59,E1628+1,0)</f>
        <v>59</v>
      </c>
      <c r="F1629" s="80">
        <v>18</v>
      </c>
      <c r="G1629" s="83"/>
      <c r="H1629" s="69" t="str">
        <f t="shared" si="1174"/>
        <v>Senbur6_20191117_15_00</v>
      </c>
      <c r="I1629" s="70">
        <f t="shared" ref="I1629:N1629" si="1228">I1628</f>
        <v>1</v>
      </c>
      <c r="J1629" s="77" t="str">
        <f t="shared" si="1228"/>
        <v>Senecio</v>
      </c>
      <c r="K1629" s="77" t="str">
        <f t="shared" si="1228"/>
        <v>burtoni</v>
      </c>
      <c r="L1629" s="78">
        <f t="shared" si="1228"/>
        <v>6</v>
      </c>
      <c r="M1629" s="78">
        <f t="shared" si="1228"/>
        <v>12</v>
      </c>
      <c r="N1629" s="72">
        <f t="shared" si="1228"/>
        <v>0</v>
      </c>
      <c r="O1629" s="45"/>
      <c r="P1629" s="46">
        <f t="shared" si="1156"/>
        <v>1</v>
      </c>
      <c r="Q1629" s="47" t="str">
        <f t="shared" si="1157"/>
        <v>15:59:18</v>
      </c>
      <c r="R1629" s="48" t="str">
        <f t="shared" si="1158"/>
        <v>59:18</v>
      </c>
      <c r="S1629" s="49">
        <f t="shared" si="1159"/>
        <v>333</v>
      </c>
      <c r="T1629" s="48">
        <v>16</v>
      </c>
      <c r="U1629" s="50">
        <v>4</v>
      </c>
      <c r="V1629" s="51">
        <v>51</v>
      </c>
      <c r="W1629" s="52" t="str">
        <f t="shared" si="1161"/>
        <v>04:51</v>
      </c>
      <c r="X1629" s="53" t="s">
        <v>61</v>
      </c>
      <c r="Y1629" s="97" t="s">
        <v>78</v>
      </c>
      <c r="Z1629" s="97"/>
      <c r="AA1629" s="48" t="s">
        <v>60</v>
      </c>
      <c r="AB1629" s="48" t="str">
        <f t="shared" si="1162"/>
        <v>NA</v>
      </c>
      <c r="AC1629" s="54">
        <f t="shared" si="1163"/>
        <v>0</v>
      </c>
      <c r="AD1629" s="55">
        <v>4</v>
      </c>
      <c r="AE1629" s="55"/>
      <c r="AF1629" s="55"/>
      <c r="AG1629" s="56">
        <v>1</v>
      </c>
      <c r="AH1629" s="57">
        <v>233</v>
      </c>
      <c r="AI1629" s="56"/>
      <c r="AJ1629" s="57"/>
      <c r="AK1629" s="56">
        <v>1</v>
      </c>
      <c r="AL1629" s="57">
        <v>100</v>
      </c>
      <c r="AM1629" s="56"/>
      <c r="AN1629" s="57" t="str">
        <f t="shared" si="1164"/>
        <v/>
      </c>
      <c r="AO1629" s="56"/>
      <c r="AP1629" s="57" t="str">
        <f t="shared" si="1165"/>
        <v/>
      </c>
      <c r="AQ1629" s="56"/>
      <c r="AR1629" s="57" t="str">
        <f t="shared" si="1166"/>
        <v/>
      </c>
      <c r="AS1629" s="56"/>
      <c r="AT1629" s="57" t="str">
        <f t="shared" si="1167"/>
        <v/>
      </c>
      <c r="AU1629" s="58" t="s">
        <v>77</v>
      </c>
      <c r="AV1629" s="59"/>
      <c r="AW1629" s="59"/>
      <c r="AX1629" s="60"/>
      <c r="AY1629" s="61">
        <v>1</v>
      </c>
      <c r="AZ1629" s="62">
        <f t="shared" si="1168"/>
        <v>4</v>
      </c>
      <c r="BA1629" s="61">
        <f t="shared" si="1169"/>
        <v>0</v>
      </c>
      <c r="BB1629" s="62" t="str">
        <f t="shared" si="1170"/>
        <v/>
      </c>
    </row>
    <row r="1630" spans="1:54" hidden="1" x14ac:dyDescent="0.35">
      <c r="A1630" s="73">
        <f t="shared" si="1226"/>
        <v>2019</v>
      </c>
      <c r="B1630" s="73" t="str">
        <f t="shared" si="1171"/>
        <v>Nov</v>
      </c>
      <c r="C1630" s="74">
        <f t="shared" si="1172"/>
        <v>17</v>
      </c>
      <c r="D1630" s="75">
        <v>15</v>
      </c>
      <c r="E1630" s="76">
        <v>59</v>
      </c>
      <c r="F1630" s="80">
        <v>28</v>
      </c>
      <c r="G1630" s="83"/>
      <c r="H1630" s="69" t="str">
        <f t="shared" si="1174"/>
        <v>Senbur6_20191117_15_00</v>
      </c>
      <c r="I1630" s="70">
        <f t="shared" ref="I1630:N1630" si="1229">I1629</f>
        <v>1</v>
      </c>
      <c r="J1630" s="77" t="str">
        <f t="shared" si="1229"/>
        <v>Senecio</v>
      </c>
      <c r="K1630" s="77" t="str">
        <f t="shared" si="1229"/>
        <v>burtoni</v>
      </c>
      <c r="L1630" s="78">
        <f t="shared" si="1229"/>
        <v>6</v>
      </c>
      <c r="M1630" s="78">
        <f t="shared" si="1229"/>
        <v>12</v>
      </c>
      <c r="N1630" s="72">
        <f t="shared" si="1229"/>
        <v>0</v>
      </c>
      <c r="O1630" s="45"/>
      <c r="P1630" s="46">
        <f t="shared" si="1156"/>
        <v>1</v>
      </c>
      <c r="Q1630" s="47" t="str">
        <f t="shared" si="1157"/>
        <v>15:59:28</v>
      </c>
      <c r="R1630" s="48" t="str">
        <f t="shared" si="1158"/>
        <v>59:28</v>
      </c>
      <c r="S1630" s="49">
        <f t="shared" si="1159"/>
        <v>13</v>
      </c>
      <c r="T1630" s="48" t="str">
        <f t="shared" si="1160"/>
        <v>15</v>
      </c>
      <c r="U1630" s="50">
        <v>59</v>
      </c>
      <c r="V1630" s="51">
        <v>41</v>
      </c>
      <c r="W1630" s="52" t="str">
        <f t="shared" si="1161"/>
        <v>59:41</v>
      </c>
      <c r="X1630" s="53" t="s">
        <v>61</v>
      </c>
      <c r="Y1630" s="97" t="s">
        <v>78</v>
      </c>
      <c r="Z1630" s="97"/>
      <c r="AA1630" s="48" t="s">
        <v>60</v>
      </c>
      <c r="AB1630" s="48" t="str">
        <f t="shared" si="1162"/>
        <v>NA</v>
      </c>
      <c r="AC1630" s="54">
        <f t="shared" si="1163"/>
        <v>0</v>
      </c>
      <c r="AD1630" s="55">
        <f t="shared" si="1177"/>
        <v>1</v>
      </c>
      <c r="AE1630" s="55"/>
      <c r="AF1630" s="55"/>
      <c r="AG1630" s="56" t="str">
        <f t="shared" si="1181"/>
        <v/>
      </c>
      <c r="AH1630" s="57" t="str">
        <f t="shared" si="1182"/>
        <v/>
      </c>
      <c r="AI1630" s="56"/>
      <c r="AJ1630" s="57" t="str">
        <f t="shared" si="1178"/>
        <v/>
      </c>
      <c r="AK1630" s="56">
        <v>1</v>
      </c>
      <c r="AL1630" s="57">
        <f t="shared" si="1183"/>
        <v>13</v>
      </c>
      <c r="AM1630" s="56"/>
      <c r="AN1630" s="57" t="str">
        <f t="shared" si="1164"/>
        <v/>
      </c>
      <c r="AO1630" s="56"/>
      <c r="AP1630" s="57" t="str">
        <f t="shared" si="1165"/>
        <v/>
      </c>
      <c r="AQ1630" s="56"/>
      <c r="AR1630" s="57" t="str">
        <f t="shared" si="1166"/>
        <v/>
      </c>
      <c r="AS1630" s="56"/>
      <c r="AT1630" s="57" t="str">
        <f t="shared" si="1167"/>
        <v/>
      </c>
      <c r="AU1630" s="58"/>
      <c r="AV1630" s="59"/>
      <c r="AW1630" s="59"/>
      <c r="AX1630" s="60"/>
      <c r="AY1630" s="61">
        <v>1</v>
      </c>
      <c r="AZ1630" s="62">
        <f t="shared" si="1168"/>
        <v>1</v>
      </c>
      <c r="BA1630" s="61">
        <f t="shared" si="1169"/>
        <v>0</v>
      </c>
      <c r="BB1630" s="62" t="str">
        <f t="shared" si="1170"/>
        <v/>
      </c>
    </row>
    <row r="1631" spans="1:54" hidden="1" x14ac:dyDescent="0.35">
      <c r="A1631" s="73">
        <f t="shared" si="1226"/>
        <v>2019</v>
      </c>
      <c r="B1631" s="73" t="str">
        <f t="shared" si="1171"/>
        <v>Nov</v>
      </c>
      <c r="C1631" s="74">
        <f t="shared" si="1172"/>
        <v>17</v>
      </c>
      <c r="D1631" s="75">
        <v>15</v>
      </c>
      <c r="E1631" s="76">
        <v>59</v>
      </c>
      <c r="F1631" s="80">
        <v>41</v>
      </c>
      <c r="G1631" s="83"/>
      <c r="H1631" s="69" t="str">
        <f t="shared" si="1174"/>
        <v>Senbur6_20191117_15_00</v>
      </c>
      <c r="I1631" s="70">
        <f t="shared" ref="I1631:N1631" si="1230">I1630</f>
        <v>1</v>
      </c>
      <c r="J1631" s="77" t="str">
        <f t="shared" si="1230"/>
        <v>Senecio</v>
      </c>
      <c r="K1631" s="77" t="str">
        <f t="shared" si="1230"/>
        <v>burtoni</v>
      </c>
      <c r="L1631" s="78">
        <f t="shared" si="1230"/>
        <v>6</v>
      </c>
      <c r="M1631" s="78">
        <f t="shared" si="1230"/>
        <v>12</v>
      </c>
      <c r="N1631" s="72">
        <f t="shared" si="1230"/>
        <v>0</v>
      </c>
      <c r="O1631" s="45"/>
      <c r="P1631" s="46">
        <f t="shared" si="1156"/>
        <v>1</v>
      </c>
      <c r="Q1631" s="47" t="str">
        <f t="shared" si="1157"/>
        <v>15:59:41</v>
      </c>
      <c r="R1631" s="48" t="str">
        <f t="shared" si="1158"/>
        <v>59:41</v>
      </c>
      <c r="S1631" s="49">
        <f t="shared" si="1159"/>
        <v>176</v>
      </c>
      <c r="T1631" s="48">
        <v>16</v>
      </c>
      <c r="U1631" s="50">
        <v>2</v>
      </c>
      <c r="V1631" s="51">
        <v>37</v>
      </c>
      <c r="W1631" s="52" t="str">
        <f t="shared" si="1161"/>
        <v>02:37</v>
      </c>
      <c r="X1631" s="53" t="s">
        <v>61</v>
      </c>
      <c r="Y1631" s="97" t="s">
        <v>84</v>
      </c>
      <c r="Z1631" s="97" t="s">
        <v>80</v>
      </c>
      <c r="AA1631" s="48" t="s">
        <v>60</v>
      </c>
      <c r="AB1631" s="48" t="str">
        <f t="shared" si="1162"/>
        <v>NA</v>
      </c>
      <c r="AC1631" s="54">
        <f t="shared" si="1163"/>
        <v>0</v>
      </c>
      <c r="AD1631" s="55">
        <v>4</v>
      </c>
      <c r="AE1631" s="55"/>
      <c r="AF1631" s="55"/>
      <c r="AG1631" s="56">
        <v>1</v>
      </c>
      <c r="AH1631" s="57">
        <v>30</v>
      </c>
      <c r="AI1631" s="56">
        <v>1</v>
      </c>
      <c r="AJ1631" s="57">
        <v>5</v>
      </c>
      <c r="AK1631" s="56">
        <v>1</v>
      </c>
      <c r="AL1631" s="57">
        <v>141</v>
      </c>
      <c r="AM1631" s="56"/>
      <c r="AN1631" s="57" t="str">
        <f t="shared" si="1164"/>
        <v/>
      </c>
      <c r="AO1631" s="56"/>
      <c r="AP1631" s="57" t="str">
        <f t="shared" si="1165"/>
        <v/>
      </c>
      <c r="AQ1631" s="56"/>
      <c r="AR1631" s="57" t="str">
        <f t="shared" si="1166"/>
        <v/>
      </c>
      <c r="AS1631" s="56"/>
      <c r="AT1631" s="57" t="str">
        <f t="shared" si="1167"/>
        <v/>
      </c>
      <c r="AU1631" s="58"/>
      <c r="AV1631" s="59"/>
      <c r="AW1631" s="59"/>
      <c r="AX1631" s="60"/>
      <c r="AY1631" s="61">
        <v>1</v>
      </c>
      <c r="AZ1631" s="62">
        <f t="shared" si="1168"/>
        <v>4</v>
      </c>
      <c r="BA1631" s="61">
        <f t="shared" si="1169"/>
        <v>0</v>
      </c>
      <c r="BB1631" s="62" t="str">
        <f t="shared" si="1170"/>
        <v/>
      </c>
    </row>
    <row r="1632" spans="1:54" hidden="1" x14ac:dyDescent="0.35">
      <c r="A1632" s="73">
        <f t="shared" si="1226"/>
        <v>2019</v>
      </c>
      <c r="B1632" s="73" t="str">
        <f t="shared" si="1171"/>
        <v>Nov</v>
      </c>
      <c r="C1632" s="74">
        <f t="shared" si="1172"/>
        <v>17</v>
      </c>
      <c r="D1632" s="75">
        <f t="shared" si="1173"/>
        <v>16</v>
      </c>
      <c r="E1632" s="76">
        <f t="shared" si="1227"/>
        <v>0</v>
      </c>
      <c r="F1632" s="80"/>
      <c r="G1632" s="83"/>
      <c r="H1632" s="69" t="str">
        <f t="shared" si="1174"/>
        <v>Senbur6_20191117_16_00</v>
      </c>
      <c r="I1632" s="70">
        <f t="shared" ref="I1632:N1632" si="1231">I1631</f>
        <v>1</v>
      </c>
      <c r="J1632" s="77" t="str">
        <f t="shared" si="1231"/>
        <v>Senecio</v>
      </c>
      <c r="K1632" s="77" t="str">
        <f t="shared" si="1231"/>
        <v>burtoni</v>
      </c>
      <c r="L1632" s="78">
        <f t="shared" si="1231"/>
        <v>6</v>
      </c>
      <c r="M1632" s="78">
        <f t="shared" si="1231"/>
        <v>12</v>
      </c>
      <c r="N1632" s="72">
        <f t="shared" si="1231"/>
        <v>0</v>
      </c>
      <c r="O1632" s="45"/>
      <c r="P1632" s="46" t="str">
        <f t="shared" si="1156"/>
        <v/>
      </c>
      <c r="Q1632" s="47" t="str">
        <f t="shared" si="1157"/>
        <v/>
      </c>
      <c r="R1632" s="48" t="e">
        <f t="shared" si="1158"/>
        <v>#VALUE!</v>
      </c>
      <c r="S1632" s="49" t="e">
        <f t="shared" si="1159"/>
        <v>#VALUE!</v>
      </c>
      <c r="T1632" s="48" t="str">
        <f t="shared" si="1160"/>
        <v/>
      </c>
      <c r="U1632" s="50"/>
      <c r="V1632" s="51"/>
      <c r="W1632" s="52" t="e">
        <f t="shared" si="1161"/>
        <v>#VALUE!</v>
      </c>
      <c r="X1632" s="53"/>
      <c r="Y1632" s="53"/>
      <c r="Z1632" s="53"/>
      <c r="AA1632" s="48" t="e">
        <f>INDEX([1]!VISITORS[INSECT ORDER], MATCH(X1632,[1]!VISITORS[NAME USED],0))</f>
        <v>#REF!</v>
      </c>
      <c r="AB1632" s="48" t="e">
        <f t="shared" si="1162"/>
        <v>#REF!</v>
      </c>
      <c r="AC1632" s="54" t="e">
        <f t="shared" si="1163"/>
        <v>#VALUE!</v>
      </c>
      <c r="AD1632" s="55" t="str">
        <f t="shared" si="1177"/>
        <v/>
      </c>
      <c r="AE1632" s="55"/>
      <c r="AF1632" s="55"/>
      <c r="AG1632" s="56" t="str">
        <f t="shared" si="1181"/>
        <v/>
      </c>
      <c r="AH1632" s="57" t="str">
        <f t="shared" si="1182"/>
        <v/>
      </c>
      <c r="AI1632" s="56"/>
      <c r="AJ1632" s="57" t="str">
        <f t="shared" si="1178"/>
        <v/>
      </c>
      <c r="AK1632" s="56"/>
      <c r="AL1632" s="57" t="str">
        <f t="shared" si="1183"/>
        <v/>
      </c>
      <c r="AM1632" s="56"/>
      <c r="AN1632" s="57" t="str">
        <f t="shared" si="1164"/>
        <v/>
      </c>
      <c r="AO1632" s="56"/>
      <c r="AP1632" s="57" t="str">
        <f t="shared" si="1165"/>
        <v/>
      </c>
      <c r="AQ1632" s="56"/>
      <c r="AR1632" s="57" t="str">
        <f t="shared" si="1166"/>
        <v/>
      </c>
      <c r="AS1632" s="56"/>
      <c r="AT1632" s="57" t="str">
        <f t="shared" si="1167"/>
        <v/>
      </c>
      <c r="AU1632" s="58"/>
      <c r="AV1632" s="59"/>
      <c r="AW1632" s="59"/>
      <c r="AX1632" s="60"/>
      <c r="AY1632" s="61" t="str">
        <f t="shared" si="1184"/>
        <v/>
      </c>
      <c r="AZ1632" s="62" t="str">
        <f t="shared" si="1168"/>
        <v/>
      </c>
      <c r="BA1632" s="61" t="str">
        <f t="shared" si="1169"/>
        <v/>
      </c>
      <c r="BB1632" s="62" t="str">
        <f t="shared" si="1170"/>
        <v/>
      </c>
    </row>
    <row r="1633" spans="1:54" hidden="1" x14ac:dyDescent="0.35">
      <c r="A1633" s="73">
        <f t="shared" si="1226"/>
        <v>2019</v>
      </c>
      <c r="B1633" s="73" t="str">
        <f t="shared" si="1171"/>
        <v>Nov</v>
      </c>
      <c r="C1633" s="74">
        <f t="shared" si="1172"/>
        <v>17</v>
      </c>
      <c r="D1633" s="75">
        <f t="shared" si="1173"/>
        <v>16</v>
      </c>
      <c r="E1633" s="76">
        <f t="shared" si="1227"/>
        <v>1</v>
      </c>
      <c r="F1633" s="80"/>
      <c r="G1633" s="83"/>
      <c r="H1633" s="69" t="str">
        <f t="shared" si="1174"/>
        <v>Senbur6_20191117_16_00</v>
      </c>
      <c r="I1633" s="70">
        <f t="shared" ref="I1633:N1633" si="1232">I1632</f>
        <v>1</v>
      </c>
      <c r="J1633" s="77" t="str">
        <f t="shared" si="1232"/>
        <v>Senecio</v>
      </c>
      <c r="K1633" s="77" t="str">
        <f t="shared" si="1232"/>
        <v>burtoni</v>
      </c>
      <c r="L1633" s="78">
        <f t="shared" si="1232"/>
        <v>6</v>
      </c>
      <c r="M1633" s="78">
        <f t="shared" si="1232"/>
        <v>12</v>
      </c>
      <c r="N1633" s="72">
        <f t="shared" si="1232"/>
        <v>0</v>
      </c>
      <c r="O1633" s="45"/>
      <c r="P1633" s="46" t="str">
        <f t="shared" si="1156"/>
        <v/>
      </c>
      <c r="Q1633" s="47" t="str">
        <f t="shared" si="1157"/>
        <v/>
      </c>
      <c r="R1633" s="48" t="e">
        <f t="shared" si="1158"/>
        <v>#VALUE!</v>
      </c>
      <c r="S1633" s="49" t="e">
        <f t="shared" si="1159"/>
        <v>#VALUE!</v>
      </c>
      <c r="T1633" s="48" t="str">
        <f t="shared" si="1160"/>
        <v/>
      </c>
      <c r="U1633" s="50"/>
      <c r="V1633" s="51"/>
      <c r="W1633" s="52" t="e">
        <f t="shared" si="1161"/>
        <v>#VALUE!</v>
      </c>
      <c r="X1633" s="53"/>
      <c r="Y1633" s="53"/>
      <c r="Z1633" s="53"/>
      <c r="AA1633" s="48" t="e">
        <f>INDEX([1]!VISITORS[INSECT ORDER], MATCH(X1633,[1]!VISITORS[NAME USED],0))</f>
        <v>#REF!</v>
      </c>
      <c r="AB1633" s="48" t="e">
        <f t="shared" si="1162"/>
        <v>#REF!</v>
      </c>
      <c r="AC1633" s="54" t="e">
        <f t="shared" si="1163"/>
        <v>#VALUE!</v>
      </c>
      <c r="AD1633" s="55" t="str">
        <f t="shared" si="1177"/>
        <v/>
      </c>
      <c r="AE1633" s="55"/>
      <c r="AF1633" s="55"/>
      <c r="AG1633" s="56" t="str">
        <f t="shared" si="1181"/>
        <v/>
      </c>
      <c r="AH1633" s="57" t="str">
        <f t="shared" si="1182"/>
        <v/>
      </c>
      <c r="AI1633" s="56"/>
      <c r="AJ1633" s="57" t="str">
        <f t="shared" si="1178"/>
        <v/>
      </c>
      <c r="AK1633" s="56"/>
      <c r="AL1633" s="57" t="str">
        <f t="shared" si="1183"/>
        <v/>
      </c>
      <c r="AM1633" s="56"/>
      <c r="AN1633" s="57" t="str">
        <f t="shared" si="1164"/>
        <v/>
      </c>
      <c r="AO1633" s="56"/>
      <c r="AP1633" s="57" t="str">
        <f t="shared" si="1165"/>
        <v/>
      </c>
      <c r="AQ1633" s="56"/>
      <c r="AR1633" s="57" t="str">
        <f t="shared" si="1166"/>
        <v/>
      </c>
      <c r="AS1633" s="56"/>
      <c r="AT1633" s="57" t="str">
        <f t="shared" si="1167"/>
        <v/>
      </c>
      <c r="AU1633" s="58"/>
      <c r="AV1633" s="59"/>
      <c r="AW1633" s="59"/>
      <c r="AX1633" s="60"/>
      <c r="AY1633" s="61" t="str">
        <f t="shared" si="1184"/>
        <v/>
      </c>
      <c r="AZ1633" s="62" t="str">
        <f t="shared" si="1168"/>
        <v/>
      </c>
      <c r="BA1633" s="61" t="str">
        <f t="shared" si="1169"/>
        <v/>
      </c>
      <c r="BB1633" s="62" t="str">
        <f t="shared" si="1170"/>
        <v/>
      </c>
    </row>
    <row r="1634" spans="1:54" hidden="1" x14ac:dyDescent="0.35">
      <c r="A1634" s="73">
        <f t="shared" si="1226"/>
        <v>2019</v>
      </c>
      <c r="B1634" s="73" t="str">
        <f t="shared" si="1171"/>
        <v>Nov</v>
      </c>
      <c r="C1634" s="74">
        <f t="shared" si="1172"/>
        <v>17</v>
      </c>
      <c r="D1634" s="75">
        <f t="shared" si="1173"/>
        <v>16</v>
      </c>
      <c r="E1634" s="76">
        <f t="shared" si="1227"/>
        <v>2</v>
      </c>
      <c r="F1634" s="80">
        <v>26</v>
      </c>
      <c r="G1634" s="83"/>
      <c r="H1634" s="69" t="str">
        <f t="shared" si="1174"/>
        <v>Senbur6_20191117_16_00</v>
      </c>
      <c r="I1634" s="70">
        <f t="shared" ref="I1634:N1634" si="1233">I1633</f>
        <v>1</v>
      </c>
      <c r="J1634" s="77" t="str">
        <f t="shared" si="1233"/>
        <v>Senecio</v>
      </c>
      <c r="K1634" s="77" t="str">
        <f t="shared" si="1233"/>
        <v>burtoni</v>
      </c>
      <c r="L1634" s="78">
        <f t="shared" si="1233"/>
        <v>6</v>
      </c>
      <c r="M1634" s="78">
        <f t="shared" si="1233"/>
        <v>12</v>
      </c>
      <c r="N1634" s="72">
        <f t="shared" si="1233"/>
        <v>0</v>
      </c>
      <c r="O1634" s="45"/>
      <c r="P1634" s="46">
        <f t="shared" si="1156"/>
        <v>1</v>
      </c>
      <c r="Q1634" s="47" t="str">
        <f t="shared" si="1157"/>
        <v>16:02:26</v>
      </c>
      <c r="R1634" s="48" t="str">
        <f t="shared" si="1158"/>
        <v>02:26</v>
      </c>
      <c r="S1634" s="49">
        <f t="shared" si="1159"/>
        <v>145</v>
      </c>
      <c r="T1634" s="48" t="str">
        <f t="shared" si="1160"/>
        <v>16</v>
      </c>
      <c r="U1634" s="50">
        <v>4</v>
      </c>
      <c r="V1634" s="51">
        <v>51</v>
      </c>
      <c r="W1634" s="52" t="str">
        <f t="shared" si="1161"/>
        <v>04:51</v>
      </c>
      <c r="X1634" s="53" t="s">
        <v>61</v>
      </c>
      <c r="Y1634" s="97" t="s">
        <v>84</v>
      </c>
      <c r="Z1634" s="97" t="s">
        <v>80</v>
      </c>
      <c r="AA1634" s="48" t="s">
        <v>60</v>
      </c>
      <c r="AB1634" s="48" t="str">
        <f t="shared" si="1162"/>
        <v>NA</v>
      </c>
      <c r="AC1634" s="54">
        <f t="shared" si="1163"/>
        <v>0</v>
      </c>
      <c r="AD1634" s="55">
        <f t="shared" si="1177"/>
        <v>1</v>
      </c>
      <c r="AE1634" s="55"/>
      <c r="AF1634" s="55"/>
      <c r="AG1634" s="56">
        <v>1</v>
      </c>
      <c r="AH1634" s="57">
        <f t="shared" si="1182"/>
        <v>145</v>
      </c>
      <c r="AI1634" s="56"/>
      <c r="AJ1634" s="57" t="str">
        <f t="shared" si="1178"/>
        <v/>
      </c>
      <c r="AK1634" s="56"/>
      <c r="AL1634" s="57" t="str">
        <f t="shared" si="1183"/>
        <v/>
      </c>
      <c r="AM1634" s="56"/>
      <c r="AN1634" s="57" t="str">
        <f t="shared" si="1164"/>
        <v/>
      </c>
      <c r="AO1634" s="56"/>
      <c r="AP1634" s="57" t="str">
        <f t="shared" si="1165"/>
        <v/>
      </c>
      <c r="AQ1634" s="56"/>
      <c r="AR1634" s="57" t="str">
        <f t="shared" si="1166"/>
        <v/>
      </c>
      <c r="AS1634" s="56"/>
      <c r="AT1634" s="57" t="str">
        <f t="shared" si="1167"/>
        <v/>
      </c>
      <c r="AU1634" s="58" t="s">
        <v>77</v>
      </c>
      <c r="AV1634" s="59"/>
      <c r="AW1634" s="59"/>
      <c r="AX1634" s="60"/>
      <c r="AY1634" s="61">
        <v>1</v>
      </c>
      <c r="AZ1634" s="62">
        <f t="shared" si="1168"/>
        <v>1</v>
      </c>
      <c r="BA1634" s="61">
        <f t="shared" si="1169"/>
        <v>0</v>
      </c>
      <c r="BB1634" s="62" t="str">
        <f t="shared" si="1170"/>
        <v/>
      </c>
    </row>
    <row r="1635" spans="1:54" hidden="1" x14ac:dyDescent="0.35">
      <c r="A1635" s="73">
        <f t="shared" si="1226"/>
        <v>2019</v>
      </c>
      <c r="B1635" s="73" t="str">
        <f t="shared" si="1171"/>
        <v>Nov</v>
      </c>
      <c r="C1635" s="74">
        <f t="shared" si="1172"/>
        <v>17</v>
      </c>
      <c r="D1635" s="75">
        <f t="shared" si="1173"/>
        <v>16</v>
      </c>
      <c r="E1635" s="76">
        <f t="shared" si="1227"/>
        <v>3</v>
      </c>
      <c r="F1635" s="80"/>
      <c r="G1635" s="83"/>
      <c r="H1635" s="69" t="str">
        <f t="shared" si="1174"/>
        <v>Senbur6_20191117_16_00</v>
      </c>
      <c r="I1635" s="70">
        <f t="shared" ref="I1635:N1635" si="1234">I1634</f>
        <v>1</v>
      </c>
      <c r="J1635" s="77" t="str">
        <f t="shared" si="1234"/>
        <v>Senecio</v>
      </c>
      <c r="K1635" s="77" t="str">
        <f t="shared" si="1234"/>
        <v>burtoni</v>
      </c>
      <c r="L1635" s="78">
        <f t="shared" si="1234"/>
        <v>6</v>
      </c>
      <c r="M1635" s="78">
        <f t="shared" si="1234"/>
        <v>12</v>
      </c>
      <c r="N1635" s="72">
        <f t="shared" si="1234"/>
        <v>0</v>
      </c>
      <c r="O1635" s="45"/>
      <c r="P1635" s="46" t="str">
        <f t="shared" si="1156"/>
        <v/>
      </c>
      <c r="Q1635" s="47" t="str">
        <f t="shared" si="1157"/>
        <v/>
      </c>
      <c r="R1635" s="48" t="e">
        <f t="shared" si="1158"/>
        <v>#VALUE!</v>
      </c>
      <c r="S1635" s="49" t="e">
        <f t="shared" si="1159"/>
        <v>#VALUE!</v>
      </c>
      <c r="T1635" s="48" t="str">
        <f t="shared" si="1160"/>
        <v/>
      </c>
      <c r="U1635" s="50"/>
      <c r="V1635" s="51"/>
      <c r="W1635" s="52" t="e">
        <f t="shared" si="1161"/>
        <v>#VALUE!</v>
      </c>
      <c r="X1635" s="53"/>
      <c r="Y1635" s="53"/>
      <c r="Z1635" s="53"/>
      <c r="AA1635" s="48" t="e">
        <f>INDEX([1]!VISITORS[INSECT ORDER], MATCH(X1635,[1]!VISITORS[NAME USED],0))</f>
        <v>#REF!</v>
      </c>
      <c r="AB1635" s="48" t="e">
        <f t="shared" si="1162"/>
        <v>#REF!</v>
      </c>
      <c r="AC1635" s="54" t="e">
        <f t="shared" si="1163"/>
        <v>#VALUE!</v>
      </c>
      <c r="AD1635" s="55" t="str">
        <f t="shared" si="1177"/>
        <v/>
      </c>
      <c r="AE1635" s="55"/>
      <c r="AF1635" s="55"/>
      <c r="AG1635" s="56" t="str">
        <f t="shared" si="1181"/>
        <v/>
      </c>
      <c r="AH1635" s="57" t="str">
        <f t="shared" si="1182"/>
        <v/>
      </c>
      <c r="AI1635" s="56"/>
      <c r="AJ1635" s="57" t="str">
        <f t="shared" si="1178"/>
        <v/>
      </c>
      <c r="AK1635" s="56"/>
      <c r="AL1635" s="57" t="str">
        <f t="shared" si="1183"/>
        <v/>
      </c>
      <c r="AM1635" s="56"/>
      <c r="AN1635" s="57" t="str">
        <f t="shared" si="1164"/>
        <v/>
      </c>
      <c r="AO1635" s="56"/>
      <c r="AP1635" s="57" t="str">
        <f t="shared" si="1165"/>
        <v/>
      </c>
      <c r="AQ1635" s="56"/>
      <c r="AR1635" s="57" t="str">
        <f t="shared" si="1166"/>
        <v/>
      </c>
      <c r="AS1635" s="56"/>
      <c r="AT1635" s="57" t="str">
        <f t="shared" si="1167"/>
        <v/>
      </c>
      <c r="AU1635" s="58"/>
      <c r="AV1635" s="59"/>
      <c r="AW1635" s="59"/>
      <c r="AX1635" s="60"/>
      <c r="AY1635" s="61" t="str">
        <f t="shared" si="1184"/>
        <v/>
      </c>
      <c r="AZ1635" s="62" t="str">
        <f t="shared" si="1168"/>
        <v/>
      </c>
      <c r="BA1635" s="61" t="str">
        <f t="shared" si="1169"/>
        <v/>
      </c>
      <c r="BB1635" s="62" t="str">
        <f t="shared" si="1170"/>
        <v/>
      </c>
    </row>
    <row r="1636" spans="1:54" hidden="1" x14ac:dyDescent="0.35">
      <c r="A1636" s="73">
        <f t="shared" si="1226"/>
        <v>2019</v>
      </c>
      <c r="B1636" s="73" t="str">
        <f t="shared" si="1171"/>
        <v>Nov</v>
      </c>
      <c r="C1636" s="74">
        <f t="shared" si="1172"/>
        <v>17</v>
      </c>
      <c r="D1636" s="75">
        <f t="shared" si="1173"/>
        <v>16</v>
      </c>
      <c r="E1636" s="76">
        <f t="shared" si="1227"/>
        <v>4</v>
      </c>
      <c r="F1636" s="80">
        <v>5</v>
      </c>
      <c r="G1636" s="83"/>
      <c r="H1636" s="69" t="str">
        <f t="shared" si="1174"/>
        <v>Senbur6_20191117_16_00</v>
      </c>
      <c r="I1636" s="70">
        <f t="shared" ref="I1636:N1636" si="1235">I1635</f>
        <v>1</v>
      </c>
      <c r="J1636" s="77" t="str">
        <f t="shared" si="1235"/>
        <v>Senecio</v>
      </c>
      <c r="K1636" s="77" t="str">
        <f t="shared" si="1235"/>
        <v>burtoni</v>
      </c>
      <c r="L1636" s="78">
        <f t="shared" si="1235"/>
        <v>6</v>
      </c>
      <c r="M1636" s="78">
        <f t="shared" si="1235"/>
        <v>12</v>
      </c>
      <c r="N1636" s="72">
        <f t="shared" si="1235"/>
        <v>0</v>
      </c>
      <c r="O1636" s="45"/>
      <c r="P1636" s="46">
        <f t="shared" si="1156"/>
        <v>1</v>
      </c>
      <c r="Q1636" s="47" t="str">
        <f t="shared" si="1157"/>
        <v>16:04:05</v>
      </c>
      <c r="R1636" s="48" t="str">
        <f t="shared" si="1158"/>
        <v>04:05</v>
      </c>
      <c r="S1636" s="49">
        <f t="shared" si="1159"/>
        <v>46</v>
      </c>
      <c r="T1636" s="48" t="str">
        <f t="shared" si="1160"/>
        <v>16</v>
      </c>
      <c r="U1636" s="50">
        <v>4</v>
      </c>
      <c r="V1636" s="51">
        <v>51</v>
      </c>
      <c r="W1636" s="52" t="str">
        <f t="shared" si="1161"/>
        <v>04:51</v>
      </c>
      <c r="X1636" s="53" t="s">
        <v>61</v>
      </c>
      <c r="Y1636" s="97" t="s">
        <v>84</v>
      </c>
      <c r="Z1636" s="97" t="s">
        <v>80</v>
      </c>
      <c r="AA1636" s="48" t="s">
        <v>60</v>
      </c>
      <c r="AB1636" s="48" t="str">
        <f t="shared" si="1162"/>
        <v>NA</v>
      </c>
      <c r="AC1636" s="54">
        <f t="shared" si="1163"/>
        <v>0</v>
      </c>
      <c r="AD1636" s="55">
        <v>2</v>
      </c>
      <c r="AE1636" s="55"/>
      <c r="AF1636" s="55"/>
      <c r="AG1636" s="56">
        <v>1</v>
      </c>
      <c r="AH1636" s="57">
        <v>46</v>
      </c>
      <c r="AI1636" s="56"/>
      <c r="AJ1636" s="57"/>
      <c r="AK1636" s="56"/>
      <c r="AL1636" s="57" t="str">
        <f t="shared" si="1183"/>
        <v/>
      </c>
      <c r="AM1636" s="56"/>
      <c r="AN1636" s="57" t="str">
        <f t="shared" si="1164"/>
        <v/>
      </c>
      <c r="AO1636" s="56"/>
      <c r="AP1636" s="57" t="str">
        <f t="shared" si="1165"/>
        <v/>
      </c>
      <c r="AQ1636" s="56"/>
      <c r="AR1636" s="57" t="str">
        <f t="shared" si="1166"/>
        <v/>
      </c>
      <c r="AS1636" s="56"/>
      <c r="AT1636" s="57" t="str">
        <f t="shared" si="1167"/>
        <v/>
      </c>
      <c r="AU1636" s="58" t="s">
        <v>77</v>
      </c>
      <c r="AV1636" s="59"/>
      <c r="AW1636" s="59"/>
      <c r="AX1636" s="60"/>
      <c r="AY1636" s="61">
        <v>1</v>
      </c>
      <c r="AZ1636" s="62">
        <f t="shared" si="1168"/>
        <v>2</v>
      </c>
      <c r="BA1636" s="61">
        <f t="shared" si="1169"/>
        <v>0</v>
      </c>
      <c r="BB1636" s="62" t="str">
        <f t="shared" si="1170"/>
        <v/>
      </c>
    </row>
    <row r="1637" spans="1:54" hidden="1" x14ac:dyDescent="0.35">
      <c r="A1637" s="73">
        <f t="shared" si="1226"/>
        <v>2019</v>
      </c>
      <c r="B1637" s="73" t="str">
        <f t="shared" si="1171"/>
        <v>Nov</v>
      </c>
      <c r="C1637" s="74">
        <f t="shared" si="1172"/>
        <v>17</v>
      </c>
      <c r="D1637" s="75">
        <f t="shared" si="1173"/>
        <v>16</v>
      </c>
      <c r="E1637" s="76">
        <f t="shared" si="1227"/>
        <v>5</v>
      </c>
      <c r="F1637" s="80"/>
      <c r="G1637" s="83"/>
      <c r="H1637" s="69" t="str">
        <f t="shared" si="1174"/>
        <v>Senbur6_20191117_16_00</v>
      </c>
      <c r="I1637" s="70">
        <f t="shared" ref="I1637:N1637" si="1236">I1636</f>
        <v>1</v>
      </c>
      <c r="J1637" s="77" t="str">
        <f t="shared" si="1236"/>
        <v>Senecio</v>
      </c>
      <c r="K1637" s="77" t="str">
        <f t="shared" si="1236"/>
        <v>burtoni</v>
      </c>
      <c r="L1637" s="78">
        <f t="shared" si="1236"/>
        <v>6</v>
      </c>
      <c r="M1637" s="78">
        <f t="shared" si="1236"/>
        <v>12</v>
      </c>
      <c r="N1637" s="72">
        <f t="shared" si="1236"/>
        <v>0</v>
      </c>
      <c r="O1637" s="45"/>
      <c r="P1637" s="46" t="str">
        <f t="shared" si="1156"/>
        <v/>
      </c>
      <c r="Q1637" s="47" t="str">
        <f t="shared" si="1157"/>
        <v/>
      </c>
      <c r="R1637" s="48" t="e">
        <f t="shared" si="1158"/>
        <v>#VALUE!</v>
      </c>
      <c r="S1637" s="49" t="e">
        <f t="shared" si="1159"/>
        <v>#VALUE!</v>
      </c>
      <c r="T1637" s="48" t="str">
        <f t="shared" si="1160"/>
        <v/>
      </c>
      <c r="U1637" s="50"/>
      <c r="V1637" s="51"/>
      <c r="W1637" s="52" t="e">
        <f t="shared" si="1161"/>
        <v>#VALUE!</v>
      </c>
      <c r="X1637" s="53"/>
      <c r="Y1637" s="53"/>
      <c r="Z1637" s="53"/>
      <c r="AA1637" s="48" t="e">
        <f>INDEX([1]!VISITORS[INSECT ORDER], MATCH(X1637,[1]!VISITORS[NAME USED],0))</f>
        <v>#REF!</v>
      </c>
      <c r="AB1637" s="48" t="e">
        <f t="shared" si="1162"/>
        <v>#REF!</v>
      </c>
      <c r="AC1637" s="54" t="e">
        <f t="shared" si="1163"/>
        <v>#VALUE!</v>
      </c>
      <c r="AD1637" s="55" t="str">
        <f t="shared" si="1177"/>
        <v/>
      </c>
      <c r="AE1637" s="55"/>
      <c r="AF1637" s="55"/>
      <c r="AG1637" s="56" t="str">
        <f t="shared" si="1181"/>
        <v/>
      </c>
      <c r="AH1637" s="57" t="str">
        <f t="shared" si="1182"/>
        <v/>
      </c>
      <c r="AI1637" s="56"/>
      <c r="AJ1637" s="57" t="str">
        <f t="shared" si="1178"/>
        <v/>
      </c>
      <c r="AK1637" s="56"/>
      <c r="AL1637" s="57" t="str">
        <f t="shared" si="1183"/>
        <v/>
      </c>
      <c r="AM1637" s="56"/>
      <c r="AN1637" s="57" t="str">
        <f t="shared" si="1164"/>
        <v/>
      </c>
      <c r="AO1637" s="56"/>
      <c r="AP1637" s="57" t="str">
        <f t="shared" si="1165"/>
        <v/>
      </c>
      <c r="AQ1637" s="56"/>
      <c r="AR1637" s="57" t="str">
        <f t="shared" si="1166"/>
        <v/>
      </c>
      <c r="AS1637" s="56"/>
      <c r="AT1637" s="57" t="str">
        <f t="shared" si="1167"/>
        <v/>
      </c>
      <c r="AU1637" s="58"/>
      <c r="AV1637" s="59"/>
      <c r="AW1637" s="59"/>
      <c r="AX1637" s="60"/>
      <c r="AY1637" s="61" t="str">
        <f t="shared" si="1184"/>
        <v/>
      </c>
      <c r="AZ1637" s="62" t="str">
        <f t="shared" si="1168"/>
        <v/>
      </c>
      <c r="BA1637" s="61" t="str">
        <f t="shared" si="1169"/>
        <v/>
      </c>
      <c r="BB1637" s="62" t="str">
        <f t="shared" si="1170"/>
        <v/>
      </c>
    </row>
    <row r="1638" spans="1:54" hidden="1" x14ac:dyDescent="0.35">
      <c r="A1638" s="73">
        <f t="shared" si="1226"/>
        <v>2019</v>
      </c>
      <c r="B1638" s="73" t="str">
        <f t="shared" si="1171"/>
        <v>Nov</v>
      </c>
      <c r="C1638" s="74">
        <f t="shared" si="1172"/>
        <v>17</v>
      </c>
      <c r="D1638" s="75">
        <f t="shared" si="1173"/>
        <v>16</v>
      </c>
      <c r="E1638" s="76">
        <f t="shared" si="1227"/>
        <v>6</v>
      </c>
      <c r="F1638" s="80"/>
      <c r="G1638" s="83"/>
      <c r="H1638" s="69" t="str">
        <f t="shared" si="1174"/>
        <v>Senbur6_20191117_16_00</v>
      </c>
      <c r="I1638" s="70">
        <f t="shared" ref="I1638:N1638" si="1237">I1637</f>
        <v>1</v>
      </c>
      <c r="J1638" s="77" t="str">
        <f t="shared" si="1237"/>
        <v>Senecio</v>
      </c>
      <c r="K1638" s="77" t="str">
        <f t="shared" si="1237"/>
        <v>burtoni</v>
      </c>
      <c r="L1638" s="78">
        <f t="shared" si="1237"/>
        <v>6</v>
      </c>
      <c r="M1638" s="78">
        <f t="shared" si="1237"/>
        <v>12</v>
      </c>
      <c r="N1638" s="72">
        <f t="shared" si="1237"/>
        <v>0</v>
      </c>
      <c r="O1638" s="45"/>
      <c r="P1638" s="46" t="str">
        <f t="shared" si="1156"/>
        <v/>
      </c>
      <c r="Q1638" s="47" t="str">
        <f t="shared" si="1157"/>
        <v/>
      </c>
      <c r="R1638" s="48" t="e">
        <f t="shared" si="1158"/>
        <v>#VALUE!</v>
      </c>
      <c r="S1638" s="49" t="e">
        <f t="shared" si="1159"/>
        <v>#VALUE!</v>
      </c>
      <c r="T1638" s="48" t="str">
        <f t="shared" si="1160"/>
        <v/>
      </c>
      <c r="U1638" s="50"/>
      <c r="V1638" s="51"/>
      <c r="W1638" s="52" t="e">
        <f t="shared" si="1161"/>
        <v>#VALUE!</v>
      </c>
      <c r="X1638" s="53"/>
      <c r="Y1638" s="53"/>
      <c r="Z1638" s="53"/>
      <c r="AA1638" s="48" t="e">
        <f>INDEX([1]!VISITORS[INSECT ORDER], MATCH(X1638,[1]!VISITORS[NAME USED],0))</f>
        <v>#REF!</v>
      </c>
      <c r="AB1638" s="48" t="e">
        <f t="shared" si="1162"/>
        <v>#REF!</v>
      </c>
      <c r="AC1638" s="54" t="e">
        <f t="shared" si="1163"/>
        <v>#VALUE!</v>
      </c>
      <c r="AD1638" s="55" t="str">
        <f t="shared" si="1177"/>
        <v/>
      </c>
      <c r="AE1638" s="55"/>
      <c r="AF1638" s="55"/>
      <c r="AG1638" s="56" t="str">
        <f t="shared" si="1181"/>
        <v/>
      </c>
      <c r="AH1638" s="57" t="str">
        <f t="shared" si="1182"/>
        <v/>
      </c>
      <c r="AI1638" s="56"/>
      <c r="AJ1638" s="57" t="str">
        <f t="shared" si="1178"/>
        <v/>
      </c>
      <c r="AK1638" s="56"/>
      <c r="AL1638" s="57" t="str">
        <f t="shared" si="1183"/>
        <v/>
      </c>
      <c r="AM1638" s="56"/>
      <c r="AN1638" s="57" t="str">
        <f t="shared" si="1164"/>
        <v/>
      </c>
      <c r="AO1638" s="56"/>
      <c r="AP1638" s="57" t="str">
        <f t="shared" si="1165"/>
        <v/>
      </c>
      <c r="AQ1638" s="56"/>
      <c r="AR1638" s="57" t="str">
        <f t="shared" si="1166"/>
        <v/>
      </c>
      <c r="AS1638" s="56"/>
      <c r="AT1638" s="57" t="str">
        <f t="shared" si="1167"/>
        <v/>
      </c>
      <c r="AU1638" s="58"/>
      <c r="AV1638" s="59"/>
      <c r="AW1638" s="59"/>
      <c r="AX1638" s="60"/>
      <c r="AY1638" s="61" t="str">
        <f t="shared" si="1184"/>
        <v/>
      </c>
      <c r="AZ1638" s="62" t="str">
        <f t="shared" si="1168"/>
        <v/>
      </c>
      <c r="BA1638" s="61" t="str">
        <f t="shared" si="1169"/>
        <v/>
      </c>
      <c r="BB1638" s="62" t="str">
        <f t="shared" si="1170"/>
        <v/>
      </c>
    </row>
    <row r="1639" spans="1:54" hidden="1" x14ac:dyDescent="0.35">
      <c r="A1639" s="73">
        <f t="shared" si="1226"/>
        <v>2019</v>
      </c>
      <c r="B1639" s="73" t="str">
        <f t="shared" si="1171"/>
        <v>Nov</v>
      </c>
      <c r="C1639" s="74">
        <f t="shared" si="1172"/>
        <v>17</v>
      </c>
      <c r="D1639" s="75">
        <f t="shared" si="1173"/>
        <v>16</v>
      </c>
      <c r="E1639" s="76">
        <f t="shared" si="1227"/>
        <v>7</v>
      </c>
      <c r="F1639" s="80"/>
      <c r="G1639" s="83"/>
      <c r="H1639" s="69" t="str">
        <f t="shared" si="1174"/>
        <v>Senbur6_20191117_16_00</v>
      </c>
      <c r="I1639" s="70">
        <f t="shared" ref="I1639:N1639" si="1238">I1638</f>
        <v>1</v>
      </c>
      <c r="J1639" s="77" t="str">
        <f t="shared" si="1238"/>
        <v>Senecio</v>
      </c>
      <c r="K1639" s="77" t="str">
        <f t="shared" si="1238"/>
        <v>burtoni</v>
      </c>
      <c r="L1639" s="78">
        <f t="shared" si="1238"/>
        <v>6</v>
      </c>
      <c r="M1639" s="78">
        <f t="shared" si="1238"/>
        <v>12</v>
      </c>
      <c r="N1639" s="72">
        <f t="shared" si="1238"/>
        <v>0</v>
      </c>
      <c r="O1639" s="45"/>
      <c r="P1639" s="46" t="str">
        <f t="shared" si="1156"/>
        <v/>
      </c>
      <c r="Q1639" s="47" t="str">
        <f t="shared" si="1157"/>
        <v/>
      </c>
      <c r="R1639" s="48" t="e">
        <f t="shared" si="1158"/>
        <v>#VALUE!</v>
      </c>
      <c r="S1639" s="49" t="e">
        <f t="shared" si="1159"/>
        <v>#VALUE!</v>
      </c>
      <c r="T1639" s="48" t="str">
        <f t="shared" si="1160"/>
        <v/>
      </c>
      <c r="U1639" s="50"/>
      <c r="V1639" s="51"/>
      <c r="W1639" s="52" t="e">
        <f t="shared" si="1161"/>
        <v>#VALUE!</v>
      </c>
      <c r="X1639" s="53"/>
      <c r="Y1639" s="53"/>
      <c r="Z1639" s="53"/>
      <c r="AA1639" s="48" t="e">
        <f>INDEX([1]!VISITORS[INSECT ORDER], MATCH(X1639,[1]!VISITORS[NAME USED],0))</f>
        <v>#REF!</v>
      </c>
      <c r="AB1639" s="48" t="e">
        <f t="shared" si="1162"/>
        <v>#REF!</v>
      </c>
      <c r="AC1639" s="54" t="e">
        <f t="shared" si="1163"/>
        <v>#VALUE!</v>
      </c>
      <c r="AD1639" s="55" t="str">
        <f t="shared" si="1177"/>
        <v/>
      </c>
      <c r="AE1639" s="55"/>
      <c r="AF1639" s="55"/>
      <c r="AG1639" s="56" t="str">
        <f t="shared" si="1181"/>
        <v/>
      </c>
      <c r="AH1639" s="57" t="str">
        <f t="shared" si="1182"/>
        <v/>
      </c>
      <c r="AI1639" s="56"/>
      <c r="AJ1639" s="57" t="str">
        <f t="shared" si="1178"/>
        <v/>
      </c>
      <c r="AK1639" s="56"/>
      <c r="AL1639" s="57" t="str">
        <f t="shared" si="1183"/>
        <v/>
      </c>
      <c r="AM1639" s="56"/>
      <c r="AN1639" s="57" t="str">
        <f t="shared" si="1164"/>
        <v/>
      </c>
      <c r="AO1639" s="56"/>
      <c r="AP1639" s="57" t="str">
        <f t="shared" si="1165"/>
        <v/>
      </c>
      <c r="AQ1639" s="56"/>
      <c r="AR1639" s="57" t="str">
        <f t="shared" si="1166"/>
        <v/>
      </c>
      <c r="AS1639" s="56"/>
      <c r="AT1639" s="57" t="str">
        <f t="shared" si="1167"/>
        <v/>
      </c>
      <c r="AU1639" s="58"/>
      <c r="AV1639" s="59"/>
      <c r="AW1639" s="59"/>
      <c r="AX1639" s="60"/>
      <c r="AY1639" s="61" t="str">
        <f t="shared" si="1184"/>
        <v/>
      </c>
      <c r="AZ1639" s="62" t="str">
        <f t="shared" si="1168"/>
        <v/>
      </c>
      <c r="BA1639" s="61" t="str">
        <f t="shared" si="1169"/>
        <v/>
      </c>
      <c r="BB1639" s="62" t="str">
        <f t="shared" si="1170"/>
        <v/>
      </c>
    </row>
    <row r="1640" spans="1:54" hidden="1" x14ac:dyDescent="0.35">
      <c r="A1640" s="73">
        <f t="shared" si="1226"/>
        <v>2019</v>
      </c>
      <c r="B1640" s="73" t="str">
        <f t="shared" si="1171"/>
        <v>Nov</v>
      </c>
      <c r="C1640" s="74">
        <f t="shared" si="1172"/>
        <v>17</v>
      </c>
      <c r="D1640" s="75">
        <f t="shared" si="1173"/>
        <v>16</v>
      </c>
      <c r="E1640" s="76">
        <f t="shared" si="1227"/>
        <v>8</v>
      </c>
      <c r="F1640" s="80"/>
      <c r="G1640" s="83"/>
      <c r="H1640" s="69" t="str">
        <f t="shared" si="1174"/>
        <v>Senbur6_20191117_16_00</v>
      </c>
      <c r="I1640" s="70">
        <f t="shared" ref="I1640:N1640" si="1239">I1639</f>
        <v>1</v>
      </c>
      <c r="J1640" s="77" t="str">
        <f t="shared" si="1239"/>
        <v>Senecio</v>
      </c>
      <c r="K1640" s="77" t="str">
        <f t="shared" si="1239"/>
        <v>burtoni</v>
      </c>
      <c r="L1640" s="78">
        <f t="shared" si="1239"/>
        <v>6</v>
      </c>
      <c r="M1640" s="78">
        <f t="shared" si="1239"/>
        <v>12</v>
      </c>
      <c r="N1640" s="72">
        <f t="shared" si="1239"/>
        <v>0</v>
      </c>
      <c r="O1640" s="45"/>
      <c r="P1640" s="46" t="str">
        <f t="shared" si="1156"/>
        <v/>
      </c>
      <c r="Q1640" s="47" t="str">
        <f t="shared" si="1157"/>
        <v/>
      </c>
      <c r="R1640" s="48" t="e">
        <f t="shared" si="1158"/>
        <v>#VALUE!</v>
      </c>
      <c r="S1640" s="49" t="e">
        <f t="shared" si="1159"/>
        <v>#VALUE!</v>
      </c>
      <c r="T1640" s="48" t="str">
        <f t="shared" si="1160"/>
        <v/>
      </c>
      <c r="U1640" s="50"/>
      <c r="V1640" s="51"/>
      <c r="W1640" s="52" t="e">
        <f t="shared" si="1161"/>
        <v>#VALUE!</v>
      </c>
      <c r="X1640" s="53"/>
      <c r="Y1640" s="53"/>
      <c r="Z1640" s="53"/>
      <c r="AA1640" s="48" t="e">
        <f>INDEX([1]!VISITORS[INSECT ORDER], MATCH(X1640,[1]!VISITORS[NAME USED],0))</f>
        <v>#REF!</v>
      </c>
      <c r="AB1640" s="48" t="e">
        <f t="shared" si="1162"/>
        <v>#REF!</v>
      </c>
      <c r="AC1640" s="54" t="e">
        <f t="shared" si="1163"/>
        <v>#VALUE!</v>
      </c>
      <c r="AD1640" s="55" t="str">
        <f t="shared" si="1177"/>
        <v/>
      </c>
      <c r="AE1640" s="55"/>
      <c r="AF1640" s="55"/>
      <c r="AG1640" s="56" t="str">
        <f t="shared" si="1181"/>
        <v/>
      </c>
      <c r="AH1640" s="57" t="str">
        <f t="shared" si="1182"/>
        <v/>
      </c>
      <c r="AI1640" s="56"/>
      <c r="AJ1640" s="57" t="str">
        <f t="shared" si="1178"/>
        <v/>
      </c>
      <c r="AK1640" s="56"/>
      <c r="AL1640" s="57" t="str">
        <f t="shared" si="1183"/>
        <v/>
      </c>
      <c r="AM1640" s="56"/>
      <c r="AN1640" s="57" t="str">
        <f t="shared" si="1164"/>
        <v/>
      </c>
      <c r="AO1640" s="56"/>
      <c r="AP1640" s="57" t="str">
        <f t="shared" si="1165"/>
        <v/>
      </c>
      <c r="AQ1640" s="56"/>
      <c r="AR1640" s="57" t="str">
        <f t="shared" si="1166"/>
        <v/>
      </c>
      <c r="AS1640" s="56"/>
      <c r="AT1640" s="57" t="str">
        <f t="shared" si="1167"/>
        <v/>
      </c>
      <c r="AU1640" s="58"/>
      <c r="AV1640" s="59"/>
      <c r="AW1640" s="59"/>
      <c r="AX1640" s="60"/>
      <c r="AY1640" s="61" t="str">
        <f t="shared" si="1184"/>
        <v/>
      </c>
      <c r="AZ1640" s="62" t="str">
        <f t="shared" si="1168"/>
        <v/>
      </c>
      <c r="BA1640" s="61" t="str">
        <f t="shared" si="1169"/>
        <v/>
      </c>
      <c r="BB1640" s="62" t="str">
        <f t="shared" si="1170"/>
        <v/>
      </c>
    </row>
    <row r="1641" spans="1:54" hidden="1" x14ac:dyDescent="0.35">
      <c r="A1641" s="73">
        <f t="shared" si="1226"/>
        <v>2019</v>
      </c>
      <c r="B1641" s="73" t="str">
        <f t="shared" si="1171"/>
        <v>Nov</v>
      </c>
      <c r="C1641" s="74">
        <f t="shared" si="1172"/>
        <v>17</v>
      </c>
      <c r="D1641" s="75">
        <f t="shared" si="1173"/>
        <v>16</v>
      </c>
      <c r="E1641" s="76">
        <f t="shared" si="1227"/>
        <v>9</v>
      </c>
      <c r="F1641" s="80"/>
      <c r="G1641" s="83"/>
      <c r="H1641" s="69" t="str">
        <f t="shared" si="1174"/>
        <v>Senbur6_20191117_16_00</v>
      </c>
      <c r="I1641" s="70">
        <f t="shared" ref="I1641:N1641" si="1240">I1640</f>
        <v>1</v>
      </c>
      <c r="J1641" s="77" t="str">
        <f t="shared" si="1240"/>
        <v>Senecio</v>
      </c>
      <c r="K1641" s="77" t="str">
        <f t="shared" si="1240"/>
        <v>burtoni</v>
      </c>
      <c r="L1641" s="78">
        <f t="shared" si="1240"/>
        <v>6</v>
      </c>
      <c r="M1641" s="78">
        <f t="shared" si="1240"/>
        <v>12</v>
      </c>
      <c r="N1641" s="72">
        <f t="shared" si="1240"/>
        <v>0</v>
      </c>
      <c r="O1641" s="45"/>
      <c r="P1641" s="46" t="str">
        <f t="shared" si="1156"/>
        <v/>
      </c>
      <c r="Q1641" s="47" t="str">
        <f t="shared" si="1157"/>
        <v/>
      </c>
      <c r="R1641" s="48" t="e">
        <f t="shared" si="1158"/>
        <v>#VALUE!</v>
      </c>
      <c r="S1641" s="49" t="e">
        <f t="shared" si="1159"/>
        <v>#VALUE!</v>
      </c>
      <c r="T1641" s="48" t="str">
        <f t="shared" si="1160"/>
        <v/>
      </c>
      <c r="U1641" s="50"/>
      <c r="V1641" s="51"/>
      <c r="W1641" s="52" t="e">
        <f t="shared" si="1161"/>
        <v>#VALUE!</v>
      </c>
      <c r="X1641" s="53"/>
      <c r="Y1641" s="53"/>
      <c r="Z1641" s="53"/>
      <c r="AA1641" s="48" t="e">
        <f>INDEX([1]!VISITORS[INSECT ORDER], MATCH(X1641,[1]!VISITORS[NAME USED],0))</f>
        <v>#REF!</v>
      </c>
      <c r="AB1641" s="48" t="e">
        <f t="shared" si="1162"/>
        <v>#REF!</v>
      </c>
      <c r="AC1641" s="54" t="e">
        <f t="shared" si="1163"/>
        <v>#VALUE!</v>
      </c>
      <c r="AD1641" s="55" t="str">
        <f t="shared" si="1177"/>
        <v/>
      </c>
      <c r="AE1641" s="55"/>
      <c r="AF1641" s="55"/>
      <c r="AG1641" s="56" t="str">
        <f t="shared" si="1181"/>
        <v/>
      </c>
      <c r="AH1641" s="57" t="str">
        <f t="shared" si="1182"/>
        <v/>
      </c>
      <c r="AI1641" s="56"/>
      <c r="AJ1641" s="57" t="str">
        <f t="shared" si="1178"/>
        <v/>
      </c>
      <c r="AK1641" s="56"/>
      <c r="AL1641" s="57" t="str">
        <f t="shared" si="1183"/>
        <v/>
      </c>
      <c r="AM1641" s="56"/>
      <c r="AN1641" s="57" t="str">
        <f t="shared" si="1164"/>
        <v/>
      </c>
      <c r="AO1641" s="56"/>
      <c r="AP1641" s="57" t="str">
        <f t="shared" si="1165"/>
        <v/>
      </c>
      <c r="AQ1641" s="56"/>
      <c r="AR1641" s="57" t="str">
        <f t="shared" si="1166"/>
        <v/>
      </c>
      <c r="AS1641" s="56"/>
      <c r="AT1641" s="57" t="str">
        <f t="shared" si="1167"/>
        <v/>
      </c>
      <c r="AU1641" s="58"/>
      <c r="AV1641" s="59"/>
      <c r="AW1641" s="59"/>
      <c r="AX1641" s="60"/>
      <c r="AY1641" s="61" t="str">
        <f t="shared" si="1184"/>
        <v/>
      </c>
      <c r="AZ1641" s="62" t="str">
        <f t="shared" si="1168"/>
        <v/>
      </c>
      <c r="BA1641" s="61" t="str">
        <f t="shared" si="1169"/>
        <v/>
      </c>
      <c r="BB1641" s="62" t="str">
        <f t="shared" si="1170"/>
        <v/>
      </c>
    </row>
    <row r="1642" spans="1:54" hidden="1" x14ac:dyDescent="0.35">
      <c r="A1642" s="73">
        <f t="shared" si="1226"/>
        <v>2019</v>
      </c>
      <c r="B1642" s="73" t="str">
        <f t="shared" si="1171"/>
        <v>Nov</v>
      </c>
      <c r="C1642" s="74">
        <f t="shared" si="1172"/>
        <v>17</v>
      </c>
      <c r="D1642" s="75">
        <f t="shared" si="1173"/>
        <v>16</v>
      </c>
      <c r="E1642" s="76">
        <f t="shared" si="1227"/>
        <v>10</v>
      </c>
      <c r="F1642" s="80"/>
      <c r="G1642" s="83"/>
      <c r="H1642" s="69" t="str">
        <f t="shared" si="1174"/>
        <v>Senbur6_20191117_16_00</v>
      </c>
      <c r="I1642" s="70">
        <f t="shared" ref="I1642:N1642" si="1241">I1641</f>
        <v>1</v>
      </c>
      <c r="J1642" s="77" t="str">
        <f t="shared" si="1241"/>
        <v>Senecio</v>
      </c>
      <c r="K1642" s="77" t="str">
        <f t="shared" si="1241"/>
        <v>burtoni</v>
      </c>
      <c r="L1642" s="78">
        <f t="shared" si="1241"/>
        <v>6</v>
      </c>
      <c r="M1642" s="78">
        <f t="shared" si="1241"/>
        <v>12</v>
      </c>
      <c r="N1642" s="72">
        <f t="shared" si="1241"/>
        <v>0</v>
      </c>
      <c r="O1642" s="45"/>
      <c r="P1642" s="46" t="str">
        <f t="shared" si="1156"/>
        <v/>
      </c>
      <c r="Q1642" s="47" t="str">
        <f t="shared" si="1157"/>
        <v/>
      </c>
      <c r="R1642" s="48" t="e">
        <f t="shared" si="1158"/>
        <v>#VALUE!</v>
      </c>
      <c r="S1642" s="49" t="e">
        <f t="shared" si="1159"/>
        <v>#VALUE!</v>
      </c>
      <c r="T1642" s="48" t="str">
        <f t="shared" si="1160"/>
        <v/>
      </c>
      <c r="U1642" s="50"/>
      <c r="V1642" s="51"/>
      <c r="W1642" s="52" t="e">
        <f t="shared" si="1161"/>
        <v>#VALUE!</v>
      </c>
      <c r="X1642" s="53"/>
      <c r="Y1642" s="53"/>
      <c r="Z1642" s="53"/>
      <c r="AA1642" s="48" t="e">
        <f>INDEX([1]!VISITORS[INSECT ORDER], MATCH(X1642,[1]!VISITORS[NAME USED],0))</f>
        <v>#REF!</v>
      </c>
      <c r="AB1642" s="48" t="e">
        <f t="shared" si="1162"/>
        <v>#REF!</v>
      </c>
      <c r="AC1642" s="54" t="e">
        <f t="shared" si="1163"/>
        <v>#VALUE!</v>
      </c>
      <c r="AD1642" s="55" t="str">
        <f t="shared" si="1177"/>
        <v/>
      </c>
      <c r="AE1642" s="55"/>
      <c r="AF1642" s="55"/>
      <c r="AG1642" s="56" t="str">
        <f t="shared" si="1181"/>
        <v/>
      </c>
      <c r="AH1642" s="57" t="str">
        <f t="shared" si="1182"/>
        <v/>
      </c>
      <c r="AI1642" s="56"/>
      <c r="AJ1642" s="57" t="str">
        <f t="shared" si="1178"/>
        <v/>
      </c>
      <c r="AK1642" s="56"/>
      <c r="AL1642" s="57" t="str">
        <f t="shared" si="1183"/>
        <v/>
      </c>
      <c r="AM1642" s="56"/>
      <c r="AN1642" s="57" t="str">
        <f t="shared" si="1164"/>
        <v/>
      </c>
      <c r="AO1642" s="56"/>
      <c r="AP1642" s="57" t="str">
        <f t="shared" si="1165"/>
        <v/>
      </c>
      <c r="AQ1642" s="56"/>
      <c r="AR1642" s="57" t="str">
        <f t="shared" si="1166"/>
        <v/>
      </c>
      <c r="AS1642" s="56"/>
      <c r="AT1642" s="57" t="str">
        <f t="shared" si="1167"/>
        <v/>
      </c>
      <c r="AU1642" s="58"/>
      <c r="AV1642" s="59"/>
      <c r="AW1642" s="59"/>
      <c r="AX1642" s="60"/>
      <c r="AY1642" s="61" t="str">
        <f t="shared" si="1184"/>
        <v/>
      </c>
      <c r="AZ1642" s="62" t="str">
        <f t="shared" si="1168"/>
        <v/>
      </c>
      <c r="BA1642" s="61" t="str">
        <f t="shared" si="1169"/>
        <v/>
      </c>
      <c r="BB1642" s="62" t="str">
        <f t="shared" si="1170"/>
        <v/>
      </c>
    </row>
    <row r="1643" spans="1:54" hidden="1" x14ac:dyDescent="0.35">
      <c r="A1643" s="73">
        <f t="shared" si="1226"/>
        <v>2019</v>
      </c>
      <c r="B1643" s="73" t="str">
        <f t="shared" si="1171"/>
        <v>Nov</v>
      </c>
      <c r="C1643" s="74">
        <f t="shared" si="1172"/>
        <v>17</v>
      </c>
      <c r="D1643" s="75">
        <f t="shared" si="1173"/>
        <v>16</v>
      </c>
      <c r="E1643" s="76">
        <f t="shared" si="1227"/>
        <v>11</v>
      </c>
      <c r="F1643" s="80"/>
      <c r="G1643" s="83"/>
      <c r="H1643" s="69" t="str">
        <f t="shared" si="1174"/>
        <v>Senbur6_20191117_16_00</v>
      </c>
      <c r="I1643" s="70">
        <f t="shared" ref="I1643:N1643" si="1242">I1642</f>
        <v>1</v>
      </c>
      <c r="J1643" s="77" t="str">
        <f t="shared" si="1242"/>
        <v>Senecio</v>
      </c>
      <c r="K1643" s="77" t="str">
        <f t="shared" si="1242"/>
        <v>burtoni</v>
      </c>
      <c r="L1643" s="78">
        <f t="shared" si="1242"/>
        <v>6</v>
      </c>
      <c r="M1643" s="78">
        <f t="shared" si="1242"/>
        <v>12</v>
      </c>
      <c r="N1643" s="72">
        <f t="shared" si="1242"/>
        <v>0</v>
      </c>
      <c r="O1643" s="45"/>
      <c r="P1643" s="46" t="str">
        <f t="shared" si="1156"/>
        <v/>
      </c>
      <c r="Q1643" s="47" t="str">
        <f t="shared" si="1157"/>
        <v/>
      </c>
      <c r="R1643" s="48" t="e">
        <f t="shared" si="1158"/>
        <v>#VALUE!</v>
      </c>
      <c r="S1643" s="49" t="e">
        <f t="shared" si="1159"/>
        <v>#VALUE!</v>
      </c>
      <c r="T1643" s="48" t="str">
        <f t="shared" si="1160"/>
        <v/>
      </c>
      <c r="U1643" s="50"/>
      <c r="V1643" s="51"/>
      <c r="W1643" s="52" t="e">
        <f t="shared" si="1161"/>
        <v>#VALUE!</v>
      </c>
      <c r="X1643" s="53"/>
      <c r="Y1643" s="53"/>
      <c r="Z1643" s="53"/>
      <c r="AA1643" s="48" t="e">
        <f>INDEX([1]!VISITORS[INSECT ORDER], MATCH(X1643,[1]!VISITORS[NAME USED],0))</f>
        <v>#REF!</v>
      </c>
      <c r="AB1643" s="48" t="e">
        <f t="shared" si="1162"/>
        <v>#REF!</v>
      </c>
      <c r="AC1643" s="54" t="e">
        <f t="shared" si="1163"/>
        <v>#VALUE!</v>
      </c>
      <c r="AD1643" s="55" t="str">
        <f t="shared" si="1177"/>
        <v/>
      </c>
      <c r="AE1643" s="55"/>
      <c r="AF1643" s="55"/>
      <c r="AG1643" s="56" t="str">
        <f t="shared" si="1181"/>
        <v/>
      </c>
      <c r="AH1643" s="57" t="str">
        <f t="shared" si="1182"/>
        <v/>
      </c>
      <c r="AI1643" s="56"/>
      <c r="AJ1643" s="57" t="str">
        <f t="shared" si="1178"/>
        <v/>
      </c>
      <c r="AK1643" s="56"/>
      <c r="AL1643" s="57" t="str">
        <f t="shared" si="1183"/>
        <v/>
      </c>
      <c r="AM1643" s="56"/>
      <c r="AN1643" s="57" t="str">
        <f t="shared" si="1164"/>
        <v/>
      </c>
      <c r="AO1643" s="56"/>
      <c r="AP1643" s="57" t="str">
        <f t="shared" si="1165"/>
        <v/>
      </c>
      <c r="AQ1643" s="56"/>
      <c r="AR1643" s="57" t="str">
        <f t="shared" si="1166"/>
        <v/>
      </c>
      <c r="AS1643" s="56"/>
      <c r="AT1643" s="57" t="str">
        <f t="shared" si="1167"/>
        <v/>
      </c>
      <c r="AU1643" s="58"/>
      <c r="AV1643" s="59"/>
      <c r="AW1643" s="59"/>
      <c r="AX1643" s="60"/>
      <c r="AY1643" s="61" t="str">
        <f t="shared" si="1184"/>
        <v/>
      </c>
      <c r="AZ1643" s="62" t="str">
        <f t="shared" si="1168"/>
        <v/>
      </c>
      <c r="BA1643" s="61" t="str">
        <f t="shared" si="1169"/>
        <v/>
      </c>
      <c r="BB1643" s="62" t="str">
        <f t="shared" si="1170"/>
        <v/>
      </c>
    </row>
    <row r="1644" spans="1:54" hidden="1" x14ac:dyDescent="0.35">
      <c r="A1644" s="73">
        <f t="shared" si="1226"/>
        <v>2019</v>
      </c>
      <c r="B1644" s="73" t="str">
        <f t="shared" si="1171"/>
        <v>Nov</v>
      </c>
      <c r="C1644" s="74">
        <f t="shared" si="1172"/>
        <v>17</v>
      </c>
      <c r="D1644" s="75">
        <f t="shared" si="1173"/>
        <v>16</v>
      </c>
      <c r="E1644" s="76">
        <f t="shared" si="1227"/>
        <v>12</v>
      </c>
      <c r="F1644" s="80"/>
      <c r="G1644" s="83"/>
      <c r="H1644" s="69" t="str">
        <f t="shared" si="1174"/>
        <v>Senbur6_20191117_16_00</v>
      </c>
      <c r="I1644" s="70">
        <f t="shared" ref="I1644:N1644" si="1243">I1643</f>
        <v>1</v>
      </c>
      <c r="J1644" s="77" t="str">
        <f t="shared" si="1243"/>
        <v>Senecio</v>
      </c>
      <c r="K1644" s="77" t="str">
        <f t="shared" si="1243"/>
        <v>burtoni</v>
      </c>
      <c r="L1644" s="78">
        <f t="shared" si="1243"/>
        <v>6</v>
      </c>
      <c r="M1644" s="78">
        <f t="shared" si="1243"/>
        <v>12</v>
      </c>
      <c r="N1644" s="72">
        <f t="shared" si="1243"/>
        <v>0</v>
      </c>
      <c r="O1644" s="45"/>
      <c r="P1644" s="46" t="str">
        <f t="shared" si="1156"/>
        <v/>
      </c>
      <c r="Q1644" s="47" t="str">
        <f t="shared" si="1157"/>
        <v/>
      </c>
      <c r="R1644" s="48" t="e">
        <f t="shared" si="1158"/>
        <v>#VALUE!</v>
      </c>
      <c r="S1644" s="49" t="e">
        <f t="shared" si="1159"/>
        <v>#VALUE!</v>
      </c>
      <c r="T1644" s="48" t="str">
        <f t="shared" si="1160"/>
        <v/>
      </c>
      <c r="U1644" s="50"/>
      <c r="V1644" s="51"/>
      <c r="W1644" s="52" t="e">
        <f t="shared" si="1161"/>
        <v>#VALUE!</v>
      </c>
      <c r="X1644" s="53"/>
      <c r="Y1644" s="53"/>
      <c r="Z1644" s="53"/>
      <c r="AA1644" s="48" t="e">
        <f>INDEX([1]!VISITORS[INSECT ORDER], MATCH(X1644,[1]!VISITORS[NAME USED],0))</f>
        <v>#REF!</v>
      </c>
      <c r="AB1644" s="48" t="e">
        <f t="shared" si="1162"/>
        <v>#REF!</v>
      </c>
      <c r="AC1644" s="54" t="e">
        <f t="shared" si="1163"/>
        <v>#VALUE!</v>
      </c>
      <c r="AD1644" s="55" t="str">
        <f t="shared" si="1177"/>
        <v/>
      </c>
      <c r="AE1644" s="55"/>
      <c r="AF1644" s="55"/>
      <c r="AG1644" s="56" t="str">
        <f t="shared" si="1181"/>
        <v/>
      </c>
      <c r="AH1644" s="57" t="str">
        <f t="shared" si="1182"/>
        <v/>
      </c>
      <c r="AI1644" s="56"/>
      <c r="AJ1644" s="57" t="str">
        <f t="shared" si="1178"/>
        <v/>
      </c>
      <c r="AK1644" s="56"/>
      <c r="AL1644" s="57" t="str">
        <f t="shared" si="1183"/>
        <v/>
      </c>
      <c r="AM1644" s="56"/>
      <c r="AN1644" s="57" t="str">
        <f t="shared" si="1164"/>
        <v/>
      </c>
      <c r="AO1644" s="56"/>
      <c r="AP1644" s="57" t="str">
        <f t="shared" si="1165"/>
        <v/>
      </c>
      <c r="AQ1644" s="56"/>
      <c r="AR1644" s="57" t="str">
        <f t="shared" si="1166"/>
        <v/>
      </c>
      <c r="AS1644" s="56"/>
      <c r="AT1644" s="57" t="str">
        <f t="shared" si="1167"/>
        <v/>
      </c>
      <c r="AU1644" s="58"/>
      <c r="AV1644" s="59"/>
      <c r="AW1644" s="59"/>
      <c r="AX1644" s="60"/>
      <c r="AY1644" s="61" t="str">
        <f t="shared" si="1184"/>
        <v/>
      </c>
      <c r="AZ1644" s="62" t="str">
        <f t="shared" si="1168"/>
        <v/>
      </c>
      <c r="BA1644" s="61" t="str">
        <f t="shared" si="1169"/>
        <v/>
      </c>
      <c r="BB1644" s="62" t="str">
        <f t="shared" si="1170"/>
        <v/>
      </c>
    </row>
    <row r="1645" spans="1:54" hidden="1" x14ac:dyDescent="0.35">
      <c r="A1645" s="73">
        <f t="shared" si="1226"/>
        <v>2019</v>
      </c>
      <c r="B1645" s="73" t="str">
        <f t="shared" si="1171"/>
        <v>Nov</v>
      </c>
      <c r="C1645" s="74">
        <f t="shared" si="1172"/>
        <v>17</v>
      </c>
      <c r="D1645" s="75">
        <f t="shared" si="1173"/>
        <v>16</v>
      </c>
      <c r="E1645" s="76">
        <f t="shared" si="1227"/>
        <v>13</v>
      </c>
      <c r="F1645" s="80"/>
      <c r="G1645" s="83"/>
      <c r="H1645" s="69" t="str">
        <f t="shared" si="1174"/>
        <v>Senbur6_20191117_16_00</v>
      </c>
      <c r="I1645" s="70">
        <f t="shared" ref="I1645:N1645" si="1244">I1644</f>
        <v>1</v>
      </c>
      <c r="J1645" s="77" t="str">
        <f t="shared" si="1244"/>
        <v>Senecio</v>
      </c>
      <c r="K1645" s="77" t="str">
        <f t="shared" si="1244"/>
        <v>burtoni</v>
      </c>
      <c r="L1645" s="78">
        <f t="shared" si="1244"/>
        <v>6</v>
      </c>
      <c r="M1645" s="78">
        <f t="shared" si="1244"/>
        <v>12</v>
      </c>
      <c r="N1645" s="72">
        <f t="shared" si="1244"/>
        <v>0</v>
      </c>
      <c r="O1645" s="45"/>
      <c r="P1645" s="46" t="str">
        <f t="shared" si="1156"/>
        <v/>
      </c>
      <c r="Q1645" s="47" t="str">
        <f t="shared" si="1157"/>
        <v/>
      </c>
      <c r="R1645" s="48" t="e">
        <f t="shared" si="1158"/>
        <v>#VALUE!</v>
      </c>
      <c r="S1645" s="49" t="e">
        <f t="shared" si="1159"/>
        <v>#VALUE!</v>
      </c>
      <c r="T1645" s="48" t="str">
        <f t="shared" si="1160"/>
        <v/>
      </c>
      <c r="U1645" s="50"/>
      <c r="V1645" s="51"/>
      <c r="W1645" s="52" t="e">
        <f t="shared" si="1161"/>
        <v>#VALUE!</v>
      </c>
      <c r="X1645" s="53"/>
      <c r="Y1645" s="53"/>
      <c r="Z1645" s="53"/>
      <c r="AA1645" s="48" t="e">
        <f>INDEX([1]!VISITORS[INSECT ORDER], MATCH(X1645,[1]!VISITORS[NAME USED],0))</f>
        <v>#REF!</v>
      </c>
      <c r="AB1645" s="48" t="e">
        <f t="shared" si="1162"/>
        <v>#REF!</v>
      </c>
      <c r="AC1645" s="54" t="e">
        <f t="shared" si="1163"/>
        <v>#VALUE!</v>
      </c>
      <c r="AD1645" s="55" t="str">
        <f t="shared" si="1177"/>
        <v/>
      </c>
      <c r="AE1645" s="55"/>
      <c r="AF1645" s="55"/>
      <c r="AG1645" s="56" t="str">
        <f t="shared" si="1181"/>
        <v/>
      </c>
      <c r="AH1645" s="57" t="str">
        <f t="shared" si="1182"/>
        <v/>
      </c>
      <c r="AI1645" s="56"/>
      <c r="AJ1645" s="57" t="str">
        <f t="shared" si="1178"/>
        <v/>
      </c>
      <c r="AK1645" s="56"/>
      <c r="AL1645" s="57" t="str">
        <f t="shared" si="1183"/>
        <v/>
      </c>
      <c r="AM1645" s="56"/>
      <c r="AN1645" s="57" t="str">
        <f t="shared" si="1164"/>
        <v/>
      </c>
      <c r="AO1645" s="56"/>
      <c r="AP1645" s="57" t="str">
        <f t="shared" si="1165"/>
        <v/>
      </c>
      <c r="AQ1645" s="56"/>
      <c r="AR1645" s="57" t="str">
        <f t="shared" si="1166"/>
        <v/>
      </c>
      <c r="AS1645" s="56"/>
      <c r="AT1645" s="57" t="str">
        <f t="shared" si="1167"/>
        <v/>
      </c>
      <c r="AU1645" s="58"/>
      <c r="AV1645" s="59"/>
      <c r="AW1645" s="59"/>
      <c r="AX1645" s="60"/>
      <c r="AY1645" s="61" t="str">
        <f t="shared" si="1184"/>
        <v/>
      </c>
      <c r="AZ1645" s="62" t="str">
        <f t="shared" si="1168"/>
        <v/>
      </c>
      <c r="BA1645" s="61" t="str">
        <f t="shared" si="1169"/>
        <v/>
      </c>
      <c r="BB1645" s="62" t="str">
        <f t="shared" si="1170"/>
        <v/>
      </c>
    </row>
    <row r="1646" spans="1:54" hidden="1" x14ac:dyDescent="0.35">
      <c r="A1646" s="73">
        <f t="shared" si="1226"/>
        <v>2019</v>
      </c>
      <c r="B1646" s="73" t="str">
        <f t="shared" si="1171"/>
        <v>Nov</v>
      </c>
      <c r="C1646" s="74">
        <f t="shared" si="1172"/>
        <v>17</v>
      </c>
      <c r="D1646" s="75">
        <f t="shared" si="1173"/>
        <v>16</v>
      </c>
      <c r="E1646" s="76">
        <f t="shared" si="1227"/>
        <v>14</v>
      </c>
      <c r="F1646" s="80"/>
      <c r="G1646" s="83"/>
      <c r="H1646" s="69" t="str">
        <f t="shared" si="1174"/>
        <v>Senbur6_20191117_16_00</v>
      </c>
      <c r="I1646" s="70">
        <f t="shared" ref="I1646:N1646" si="1245">I1645</f>
        <v>1</v>
      </c>
      <c r="J1646" s="77" t="str">
        <f t="shared" si="1245"/>
        <v>Senecio</v>
      </c>
      <c r="K1646" s="77" t="str">
        <f t="shared" si="1245"/>
        <v>burtoni</v>
      </c>
      <c r="L1646" s="78">
        <f t="shared" si="1245"/>
        <v>6</v>
      </c>
      <c r="M1646" s="78">
        <f t="shared" si="1245"/>
        <v>12</v>
      </c>
      <c r="N1646" s="72">
        <f t="shared" si="1245"/>
        <v>0</v>
      </c>
      <c r="O1646" s="45"/>
      <c r="P1646" s="46" t="str">
        <f t="shared" si="1156"/>
        <v/>
      </c>
      <c r="Q1646" s="47" t="str">
        <f t="shared" si="1157"/>
        <v/>
      </c>
      <c r="R1646" s="48" t="e">
        <f t="shared" si="1158"/>
        <v>#VALUE!</v>
      </c>
      <c r="S1646" s="49" t="e">
        <f t="shared" si="1159"/>
        <v>#VALUE!</v>
      </c>
      <c r="T1646" s="48" t="str">
        <f t="shared" si="1160"/>
        <v/>
      </c>
      <c r="U1646" s="50"/>
      <c r="V1646" s="51"/>
      <c r="W1646" s="52" t="e">
        <f t="shared" si="1161"/>
        <v>#VALUE!</v>
      </c>
      <c r="X1646" s="53"/>
      <c r="Y1646" s="53"/>
      <c r="Z1646" s="53"/>
      <c r="AA1646" s="48" t="e">
        <f>INDEX([1]!VISITORS[INSECT ORDER], MATCH(X1646,[1]!VISITORS[NAME USED],0))</f>
        <v>#REF!</v>
      </c>
      <c r="AB1646" s="48" t="e">
        <f t="shared" si="1162"/>
        <v>#REF!</v>
      </c>
      <c r="AC1646" s="54" t="e">
        <f t="shared" si="1163"/>
        <v>#VALUE!</v>
      </c>
      <c r="AD1646" s="55" t="str">
        <f t="shared" si="1177"/>
        <v/>
      </c>
      <c r="AE1646" s="55"/>
      <c r="AF1646" s="55"/>
      <c r="AG1646" s="56" t="str">
        <f t="shared" si="1181"/>
        <v/>
      </c>
      <c r="AH1646" s="57" t="str">
        <f t="shared" si="1182"/>
        <v/>
      </c>
      <c r="AI1646" s="56"/>
      <c r="AJ1646" s="57" t="str">
        <f t="shared" si="1178"/>
        <v/>
      </c>
      <c r="AK1646" s="56"/>
      <c r="AL1646" s="57" t="str">
        <f t="shared" si="1183"/>
        <v/>
      </c>
      <c r="AM1646" s="56"/>
      <c r="AN1646" s="57" t="str">
        <f t="shared" si="1164"/>
        <v/>
      </c>
      <c r="AO1646" s="56"/>
      <c r="AP1646" s="57" t="str">
        <f t="shared" si="1165"/>
        <v/>
      </c>
      <c r="AQ1646" s="56"/>
      <c r="AR1646" s="57" t="str">
        <f t="shared" si="1166"/>
        <v/>
      </c>
      <c r="AS1646" s="56"/>
      <c r="AT1646" s="57" t="str">
        <f t="shared" si="1167"/>
        <v/>
      </c>
      <c r="AU1646" s="58"/>
      <c r="AV1646" s="59"/>
      <c r="AW1646" s="59"/>
      <c r="AX1646" s="60"/>
      <c r="AY1646" s="61" t="str">
        <f t="shared" si="1184"/>
        <v/>
      </c>
      <c r="AZ1646" s="62" t="str">
        <f t="shared" si="1168"/>
        <v/>
      </c>
      <c r="BA1646" s="61" t="str">
        <f t="shared" si="1169"/>
        <v/>
      </c>
      <c r="BB1646" s="62" t="str">
        <f t="shared" si="1170"/>
        <v/>
      </c>
    </row>
    <row r="1647" spans="1:54" hidden="1" x14ac:dyDescent="0.35">
      <c r="A1647" s="73">
        <f t="shared" si="1226"/>
        <v>2019</v>
      </c>
      <c r="B1647" s="73" t="str">
        <f t="shared" ref="B1647:B1666" si="1246">IF(C1646-C1647&gt;0, TEXT(DATE(2016,(MONTH(DATEVALUE(B1646&amp;"1"))+1),1),"mmm"), B1646)</f>
        <v>Nov</v>
      </c>
      <c r="C1647" s="74">
        <f t="shared" ref="C1647:C1666" si="1247">IF(AND(D1647=0, E1647=0), IF(TEXT(C1646,"dd")=TEXT(EOMONTH(DATE(A1646,MONTH(DATEVALUE(B1646&amp;"1")),C1646),0), "dd"), 1, C1646+1), C1646)</f>
        <v>17</v>
      </c>
      <c r="D1647" s="75">
        <f t="shared" ref="D1647:D1666" si="1248">IF(IF(E1646=59,D1646+1,D1646)=24,0,IF(E1646=59,D1646+1,D1646))</f>
        <v>16</v>
      </c>
      <c r="E1647" s="76">
        <f t="shared" si="1227"/>
        <v>15</v>
      </c>
      <c r="F1647" s="80"/>
      <c r="G1647" s="83"/>
      <c r="H1647" s="69" t="str">
        <f t="shared" ref="H1647:H1666" si="1249">IF(AND(OR(E1646=$G$3,E1646=$G$4,E1646=$G$5,E1646=$G$6,E1646=$G$7,E1646=$G$8),E1646&lt;&gt;RIGHT(H1646,2)),CONCATENATE(LEFT(J1647,3),LEFT(K1647,3),L1647,"_",A1647,TEXT(MONTH(DATEVALUE(B1647&amp;"1")),"00"),TEXT(C1647,"00"),"_",TEXT(D1647,"00"),"_",TEXT(E1646,"00")),IF(AND(OR(E1647=$G$3,E1647=$G$4,E1647=$G$5,E1647=$G$6,E1647=$G$7,E1647=$G$8),OR(F1647="",F1647&gt;$G$9-1)),CONCATENATE(LEFT(J1647,3),LEFT(K1647,3),L1647,"_",A1647,TEXT(MONTH(DATEVALUE(B1647&amp;"1")),"00"),TEXT(C1647,"00"),"_",TEXT(D1647,"00"),"_",TEXT(E1647,"00")),H1646))</f>
        <v>Senbur6_20191117_16_00</v>
      </c>
      <c r="I1647" s="70">
        <f t="shared" ref="I1647:N1647" si="1250">I1646</f>
        <v>1</v>
      </c>
      <c r="J1647" s="77" t="str">
        <f t="shared" si="1250"/>
        <v>Senecio</v>
      </c>
      <c r="K1647" s="77" t="str">
        <f t="shared" si="1250"/>
        <v>burtoni</v>
      </c>
      <c r="L1647" s="78">
        <f t="shared" si="1250"/>
        <v>6</v>
      </c>
      <c r="M1647" s="78">
        <f t="shared" si="1250"/>
        <v>12</v>
      </c>
      <c r="N1647" s="72">
        <f t="shared" si="1250"/>
        <v>0</v>
      </c>
      <c r="O1647" s="45"/>
      <c r="P1647" s="46" t="str">
        <f t="shared" ref="P1647:P1666" si="1251">IF(F1647="","",1)</f>
        <v/>
      </c>
      <c r="Q1647" s="47" t="str">
        <f t="shared" ref="Q1647:Q1666" si="1252">TEXT(IF(P1647=1,CONCATENATE($D1647,":",$E1647,":",(LEFT($F1647,2))),""),"hh:mm:ss")</f>
        <v/>
      </c>
      <c r="R1647" s="48" t="e">
        <f t="shared" ref="R1647:R1666" si="1253">TEXT(Q1647-TIME(0,RIGHT($H1647,2),$G$9)+(Q1647&gt;TIME(0,RIGHT($H1647,2),$G$9)),"mm:ss")</f>
        <v>#VALUE!</v>
      </c>
      <c r="S1647" s="49" t="e">
        <f t="shared" ref="S1647:S1666" si="1254">IF(T1647&lt;D1647, (T1647*3600+U1647*60+V1647)+((23*3600+59*60+60)-(D1647*3600+E1647*60+LEFT(F1647,2))), (T1647*3600+U1647*60+V1647)-(D1647*3600+E1647*60+LEFT(F1647,2)))</f>
        <v>#VALUE!</v>
      </c>
      <c r="T1647" s="48" t="str">
        <f t="shared" ref="T1647:T1666" si="1255">TEXT(IF(P1647=1,D1647,""),"00")</f>
        <v/>
      </c>
      <c r="U1647" s="50"/>
      <c r="V1647" s="51"/>
      <c r="W1647" s="52" t="e">
        <f t="shared" ref="W1647:W1666" si="1256">IF(O1647=0,TEXT(TIME(T1647,U1647,V1647)-TIME(D1647,E1647,RIGHT(F1647,2))+TIME(0,LEFT(R1647,2),RIGHT(R1647,2)),"mm:ss"),TEXT(TIME(T1647,U1647,V1647)-TIME(D1647,E1647,RIGHT(F1647,2))+TIME(0,LEFT(R1647,2),RIGHT(R1647,2))-TIME(0,($G$10*O1647),0),"mm:ss"))</f>
        <v>#VALUE!</v>
      </c>
      <c r="X1647" s="53"/>
      <c r="Y1647" s="53"/>
      <c r="Z1647" s="53"/>
      <c r="AA1647" s="48" t="e">
        <f>INDEX([1]!VISITORS[INSECT ORDER], MATCH(X1647,[1]!VISITORS[NAME USED],0))</f>
        <v>#REF!</v>
      </c>
      <c r="AB1647" s="48" t="e">
        <f t="shared" ref="AB1647:AB1666" si="1257">IF(AA1647&lt;&gt;0,"NA","")</f>
        <v>#REF!</v>
      </c>
      <c r="AC1647" s="54" t="e">
        <f t="shared" ref="AC1647:AC1666" si="1258">IF(SUM(AH1647,AJ1647,AL1647,AN1647,AP1647,AR1647,AT1647)=S1647,,"")</f>
        <v>#VALUE!</v>
      </c>
      <c r="AD1647" s="55" t="str">
        <f t="shared" ref="AD1647:AD1666" si="1259">IF(P1647=1,1,"")</f>
        <v/>
      </c>
      <c r="AE1647" s="55"/>
      <c r="AF1647" s="55"/>
      <c r="AG1647" s="56" t="str">
        <f t="shared" ref="AG1647:AG1666" si="1260">IF(OR(X1647="Something small"),1,"")</f>
        <v/>
      </c>
      <c r="AH1647" s="57" t="str">
        <f t="shared" ref="AH1647:AH1666" si="1261">IF(AG1647=1,$S1647,"")</f>
        <v/>
      </c>
      <c r="AI1647" s="56"/>
      <c r="AJ1647" s="57" t="str">
        <f t="shared" ref="AJ1647:AJ1666" si="1262">IF(AI1647=1,$S1647,"")</f>
        <v/>
      </c>
      <c r="AK1647" s="56"/>
      <c r="AL1647" s="57" t="str">
        <f t="shared" ref="AL1647:AL1666" si="1263">IF(AK1647=1,$S1647,"")</f>
        <v/>
      </c>
      <c r="AM1647" s="56"/>
      <c r="AN1647" s="57" t="str">
        <f t="shared" ref="AN1647:AN1666" si="1264">IF(AM1647=1,$S1647,"")</f>
        <v/>
      </c>
      <c r="AO1647" s="56"/>
      <c r="AP1647" s="57" t="str">
        <f t="shared" ref="AP1647:AP1666" si="1265">IF(AO1647=1,$S1647,"")</f>
        <v/>
      </c>
      <c r="AQ1647" s="56"/>
      <c r="AR1647" s="57" t="str">
        <f t="shared" ref="AR1647:AR1666" si="1266">IF(AQ1647=1,$S1647,"")</f>
        <v/>
      </c>
      <c r="AS1647" s="56"/>
      <c r="AT1647" s="57" t="str">
        <f t="shared" ref="AT1647:AT1666" si="1267">IF(AS1647=1,$S1647,"")</f>
        <v/>
      </c>
      <c r="AU1647" s="58"/>
      <c r="AV1647" s="59"/>
      <c r="AW1647" s="59"/>
      <c r="AX1647" s="60"/>
      <c r="AY1647" s="61" t="str">
        <f t="shared" ref="AY1647:AY1666" si="1268">IF(P1647=1,0,"")</f>
        <v/>
      </c>
      <c r="AZ1647" s="62" t="str">
        <f t="shared" ref="AZ1647:AZ1666" si="1269">IF(AY1647=1,AD1647,"")</f>
        <v/>
      </c>
      <c r="BA1647" s="61" t="str">
        <f t="shared" ref="BA1647:BA1666" si="1270">IF(P1647=1,0,"")</f>
        <v/>
      </c>
      <c r="BB1647" s="62" t="str">
        <f t="shared" ref="BB1647:BB1666" si="1271">IF(BA1647=1,AD1647,"")</f>
        <v/>
      </c>
    </row>
    <row r="1648" spans="1:54" hidden="1" x14ac:dyDescent="0.35">
      <c r="A1648" s="73">
        <f t="shared" si="1226"/>
        <v>2019</v>
      </c>
      <c r="B1648" s="73" t="str">
        <f t="shared" si="1246"/>
        <v>Nov</v>
      </c>
      <c r="C1648" s="74">
        <f t="shared" si="1247"/>
        <v>17</v>
      </c>
      <c r="D1648" s="75">
        <f t="shared" si="1248"/>
        <v>16</v>
      </c>
      <c r="E1648" s="76">
        <f t="shared" si="1227"/>
        <v>16</v>
      </c>
      <c r="F1648" s="80"/>
      <c r="G1648" s="83"/>
      <c r="H1648" s="69" t="str">
        <f t="shared" si="1249"/>
        <v>Senbur6_20191117_16_00</v>
      </c>
      <c r="I1648" s="70">
        <f t="shared" ref="I1648:N1648" si="1272">I1647</f>
        <v>1</v>
      </c>
      <c r="J1648" s="77" t="str">
        <f t="shared" si="1272"/>
        <v>Senecio</v>
      </c>
      <c r="K1648" s="77" t="str">
        <f t="shared" si="1272"/>
        <v>burtoni</v>
      </c>
      <c r="L1648" s="78">
        <f t="shared" si="1272"/>
        <v>6</v>
      </c>
      <c r="M1648" s="78">
        <f t="shared" si="1272"/>
        <v>12</v>
      </c>
      <c r="N1648" s="72">
        <f t="shared" si="1272"/>
        <v>0</v>
      </c>
      <c r="O1648" s="45"/>
      <c r="P1648" s="46" t="str">
        <f t="shared" si="1251"/>
        <v/>
      </c>
      <c r="Q1648" s="47" t="str">
        <f t="shared" si="1252"/>
        <v/>
      </c>
      <c r="R1648" s="48" t="e">
        <f t="shared" si="1253"/>
        <v>#VALUE!</v>
      </c>
      <c r="S1648" s="49" t="e">
        <f t="shared" si="1254"/>
        <v>#VALUE!</v>
      </c>
      <c r="T1648" s="48" t="str">
        <f t="shared" si="1255"/>
        <v/>
      </c>
      <c r="U1648" s="50"/>
      <c r="V1648" s="51"/>
      <c r="W1648" s="52" t="e">
        <f t="shared" si="1256"/>
        <v>#VALUE!</v>
      </c>
      <c r="X1648" s="53"/>
      <c r="Y1648" s="53"/>
      <c r="Z1648" s="53"/>
      <c r="AA1648" s="48" t="e">
        <f>INDEX([1]!VISITORS[INSECT ORDER], MATCH(X1648,[1]!VISITORS[NAME USED],0))</f>
        <v>#REF!</v>
      </c>
      <c r="AB1648" s="48" t="e">
        <f t="shared" si="1257"/>
        <v>#REF!</v>
      </c>
      <c r="AC1648" s="54" t="e">
        <f t="shared" si="1258"/>
        <v>#VALUE!</v>
      </c>
      <c r="AD1648" s="55" t="str">
        <f t="shared" si="1259"/>
        <v/>
      </c>
      <c r="AE1648" s="55"/>
      <c r="AF1648" s="55"/>
      <c r="AG1648" s="56" t="str">
        <f t="shared" si="1260"/>
        <v/>
      </c>
      <c r="AH1648" s="57" t="str">
        <f t="shared" si="1261"/>
        <v/>
      </c>
      <c r="AI1648" s="56"/>
      <c r="AJ1648" s="57" t="str">
        <f t="shared" si="1262"/>
        <v/>
      </c>
      <c r="AK1648" s="56"/>
      <c r="AL1648" s="57" t="str">
        <f t="shared" si="1263"/>
        <v/>
      </c>
      <c r="AM1648" s="56"/>
      <c r="AN1648" s="57" t="str">
        <f t="shared" si="1264"/>
        <v/>
      </c>
      <c r="AO1648" s="56"/>
      <c r="AP1648" s="57" t="str">
        <f t="shared" si="1265"/>
        <v/>
      </c>
      <c r="AQ1648" s="56"/>
      <c r="AR1648" s="57" t="str">
        <f t="shared" si="1266"/>
        <v/>
      </c>
      <c r="AS1648" s="56"/>
      <c r="AT1648" s="57" t="str">
        <f t="shared" si="1267"/>
        <v/>
      </c>
      <c r="AU1648" s="58"/>
      <c r="AV1648" s="59"/>
      <c r="AW1648" s="59"/>
      <c r="AX1648" s="60"/>
      <c r="AY1648" s="61" t="str">
        <f t="shared" si="1268"/>
        <v/>
      </c>
      <c r="AZ1648" s="62" t="str">
        <f t="shared" si="1269"/>
        <v/>
      </c>
      <c r="BA1648" s="61" t="str">
        <f t="shared" si="1270"/>
        <v/>
      </c>
      <c r="BB1648" s="62" t="str">
        <f t="shared" si="1271"/>
        <v/>
      </c>
    </row>
    <row r="1649" spans="1:54" hidden="1" x14ac:dyDescent="0.35">
      <c r="A1649" s="73">
        <f t="shared" si="1226"/>
        <v>2019</v>
      </c>
      <c r="B1649" s="73" t="str">
        <f t="shared" si="1246"/>
        <v>Nov</v>
      </c>
      <c r="C1649" s="74">
        <f t="shared" si="1247"/>
        <v>17</v>
      </c>
      <c r="D1649" s="75">
        <f t="shared" si="1248"/>
        <v>16</v>
      </c>
      <c r="E1649" s="76">
        <f t="shared" si="1227"/>
        <v>17</v>
      </c>
      <c r="F1649" s="80"/>
      <c r="G1649" s="83"/>
      <c r="H1649" s="69" t="str">
        <f t="shared" si="1249"/>
        <v>Senbur6_20191117_16_00</v>
      </c>
      <c r="I1649" s="70">
        <f t="shared" ref="I1649:N1649" si="1273">I1648</f>
        <v>1</v>
      </c>
      <c r="J1649" s="77" t="str">
        <f t="shared" si="1273"/>
        <v>Senecio</v>
      </c>
      <c r="K1649" s="77" t="str">
        <f t="shared" si="1273"/>
        <v>burtoni</v>
      </c>
      <c r="L1649" s="78">
        <f t="shared" si="1273"/>
        <v>6</v>
      </c>
      <c r="M1649" s="78">
        <f t="shared" si="1273"/>
        <v>12</v>
      </c>
      <c r="N1649" s="72">
        <f t="shared" si="1273"/>
        <v>0</v>
      </c>
      <c r="O1649" s="45"/>
      <c r="P1649" s="46" t="str">
        <f t="shared" si="1251"/>
        <v/>
      </c>
      <c r="Q1649" s="47" t="str">
        <f t="shared" si="1252"/>
        <v/>
      </c>
      <c r="R1649" s="48" t="e">
        <f t="shared" si="1253"/>
        <v>#VALUE!</v>
      </c>
      <c r="S1649" s="49" t="e">
        <f t="shared" si="1254"/>
        <v>#VALUE!</v>
      </c>
      <c r="T1649" s="48" t="str">
        <f t="shared" si="1255"/>
        <v/>
      </c>
      <c r="U1649" s="50"/>
      <c r="V1649" s="51"/>
      <c r="W1649" s="52" t="e">
        <f t="shared" si="1256"/>
        <v>#VALUE!</v>
      </c>
      <c r="X1649" s="53"/>
      <c r="Y1649" s="53"/>
      <c r="Z1649" s="53"/>
      <c r="AA1649" s="48" t="e">
        <f>INDEX([1]!VISITORS[INSECT ORDER], MATCH(X1649,[1]!VISITORS[NAME USED],0))</f>
        <v>#REF!</v>
      </c>
      <c r="AB1649" s="48" t="e">
        <f t="shared" si="1257"/>
        <v>#REF!</v>
      </c>
      <c r="AC1649" s="54" t="e">
        <f t="shared" si="1258"/>
        <v>#VALUE!</v>
      </c>
      <c r="AD1649" s="55" t="str">
        <f t="shared" si="1259"/>
        <v/>
      </c>
      <c r="AE1649" s="55"/>
      <c r="AF1649" s="55"/>
      <c r="AG1649" s="56" t="str">
        <f t="shared" si="1260"/>
        <v/>
      </c>
      <c r="AH1649" s="57" t="str">
        <f t="shared" si="1261"/>
        <v/>
      </c>
      <c r="AI1649" s="56"/>
      <c r="AJ1649" s="57" t="str">
        <f t="shared" si="1262"/>
        <v/>
      </c>
      <c r="AK1649" s="56"/>
      <c r="AL1649" s="57" t="str">
        <f t="shared" si="1263"/>
        <v/>
      </c>
      <c r="AM1649" s="56"/>
      <c r="AN1649" s="57" t="str">
        <f t="shared" si="1264"/>
        <v/>
      </c>
      <c r="AO1649" s="56"/>
      <c r="AP1649" s="57" t="str">
        <f t="shared" si="1265"/>
        <v/>
      </c>
      <c r="AQ1649" s="56"/>
      <c r="AR1649" s="57" t="str">
        <f t="shared" si="1266"/>
        <v/>
      </c>
      <c r="AS1649" s="56"/>
      <c r="AT1649" s="57" t="str">
        <f t="shared" si="1267"/>
        <v/>
      </c>
      <c r="AU1649" s="58"/>
      <c r="AV1649" s="59"/>
      <c r="AW1649" s="59"/>
      <c r="AX1649" s="60"/>
      <c r="AY1649" s="61" t="str">
        <f t="shared" si="1268"/>
        <v/>
      </c>
      <c r="AZ1649" s="62" t="str">
        <f t="shared" si="1269"/>
        <v/>
      </c>
      <c r="BA1649" s="61" t="str">
        <f t="shared" si="1270"/>
        <v/>
      </c>
      <c r="BB1649" s="62" t="str">
        <f t="shared" si="1271"/>
        <v/>
      </c>
    </row>
    <row r="1650" spans="1:54" hidden="1" x14ac:dyDescent="0.35">
      <c r="A1650" s="73">
        <f t="shared" si="1226"/>
        <v>2019</v>
      </c>
      <c r="B1650" s="73" t="str">
        <f t="shared" si="1246"/>
        <v>Nov</v>
      </c>
      <c r="C1650" s="74">
        <f t="shared" si="1247"/>
        <v>17</v>
      </c>
      <c r="D1650" s="75">
        <f t="shared" si="1248"/>
        <v>16</v>
      </c>
      <c r="E1650" s="76">
        <f t="shared" si="1227"/>
        <v>18</v>
      </c>
      <c r="F1650" s="80"/>
      <c r="G1650" s="83"/>
      <c r="H1650" s="69" t="str">
        <f t="shared" si="1249"/>
        <v>Senbur6_20191117_16_00</v>
      </c>
      <c r="I1650" s="70">
        <f t="shared" ref="I1650:N1650" si="1274">I1649</f>
        <v>1</v>
      </c>
      <c r="J1650" s="77" t="str">
        <f t="shared" si="1274"/>
        <v>Senecio</v>
      </c>
      <c r="K1650" s="77" t="str">
        <f t="shared" si="1274"/>
        <v>burtoni</v>
      </c>
      <c r="L1650" s="78">
        <f t="shared" si="1274"/>
        <v>6</v>
      </c>
      <c r="M1650" s="78">
        <f t="shared" si="1274"/>
        <v>12</v>
      </c>
      <c r="N1650" s="72">
        <f t="shared" si="1274"/>
        <v>0</v>
      </c>
      <c r="O1650" s="45"/>
      <c r="P1650" s="46" t="str">
        <f t="shared" si="1251"/>
        <v/>
      </c>
      <c r="Q1650" s="47" t="str">
        <f t="shared" si="1252"/>
        <v/>
      </c>
      <c r="R1650" s="48" t="e">
        <f t="shared" si="1253"/>
        <v>#VALUE!</v>
      </c>
      <c r="S1650" s="49" t="e">
        <f t="shared" si="1254"/>
        <v>#VALUE!</v>
      </c>
      <c r="T1650" s="48" t="str">
        <f t="shared" si="1255"/>
        <v/>
      </c>
      <c r="U1650" s="50"/>
      <c r="V1650" s="51"/>
      <c r="W1650" s="52" t="e">
        <f t="shared" si="1256"/>
        <v>#VALUE!</v>
      </c>
      <c r="X1650" s="53"/>
      <c r="Y1650" s="53"/>
      <c r="Z1650" s="53"/>
      <c r="AA1650" s="48" t="e">
        <f>INDEX([1]!VISITORS[INSECT ORDER], MATCH(X1650,[1]!VISITORS[NAME USED],0))</f>
        <v>#REF!</v>
      </c>
      <c r="AB1650" s="48" t="e">
        <f t="shared" si="1257"/>
        <v>#REF!</v>
      </c>
      <c r="AC1650" s="54" t="e">
        <f t="shared" si="1258"/>
        <v>#VALUE!</v>
      </c>
      <c r="AD1650" s="55" t="str">
        <f t="shared" si="1259"/>
        <v/>
      </c>
      <c r="AE1650" s="55"/>
      <c r="AF1650" s="55"/>
      <c r="AG1650" s="56" t="str">
        <f t="shared" si="1260"/>
        <v/>
      </c>
      <c r="AH1650" s="57" t="str">
        <f t="shared" si="1261"/>
        <v/>
      </c>
      <c r="AI1650" s="56"/>
      <c r="AJ1650" s="57" t="str">
        <f t="shared" si="1262"/>
        <v/>
      </c>
      <c r="AK1650" s="56"/>
      <c r="AL1650" s="57" t="str">
        <f t="shared" si="1263"/>
        <v/>
      </c>
      <c r="AM1650" s="56"/>
      <c r="AN1650" s="57" t="str">
        <f t="shared" si="1264"/>
        <v/>
      </c>
      <c r="AO1650" s="56"/>
      <c r="AP1650" s="57" t="str">
        <f t="shared" si="1265"/>
        <v/>
      </c>
      <c r="AQ1650" s="56"/>
      <c r="AR1650" s="57" t="str">
        <f t="shared" si="1266"/>
        <v/>
      </c>
      <c r="AS1650" s="56"/>
      <c r="AT1650" s="57" t="str">
        <f t="shared" si="1267"/>
        <v/>
      </c>
      <c r="AU1650" s="58"/>
      <c r="AV1650" s="59"/>
      <c r="AW1650" s="59"/>
      <c r="AX1650" s="60"/>
      <c r="AY1650" s="61" t="str">
        <f t="shared" si="1268"/>
        <v/>
      </c>
      <c r="AZ1650" s="62" t="str">
        <f t="shared" si="1269"/>
        <v/>
      </c>
      <c r="BA1650" s="61" t="str">
        <f t="shared" si="1270"/>
        <v/>
      </c>
      <c r="BB1650" s="62" t="str">
        <f t="shared" si="1271"/>
        <v/>
      </c>
    </row>
    <row r="1651" spans="1:54" hidden="1" x14ac:dyDescent="0.35">
      <c r="A1651" s="73">
        <f t="shared" si="1226"/>
        <v>2019</v>
      </c>
      <c r="B1651" s="73" t="str">
        <f t="shared" si="1246"/>
        <v>Nov</v>
      </c>
      <c r="C1651" s="74">
        <f t="shared" si="1247"/>
        <v>17</v>
      </c>
      <c r="D1651" s="75">
        <f t="shared" si="1248"/>
        <v>16</v>
      </c>
      <c r="E1651" s="76">
        <f t="shared" si="1227"/>
        <v>19</v>
      </c>
      <c r="F1651" s="80"/>
      <c r="G1651" s="83"/>
      <c r="H1651" s="69" t="str">
        <f t="shared" si="1249"/>
        <v>Senbur6_20191117_16_00</v>
      </c>
      <c r="I1651" s="70">
        <f t="shared" ref="I1651:N1651" si="1275">I1650</f>
        <v>1</v>
      </c>
      <c r="J1651" s="77" t="str">
        <f t="shared" si="1275"/>
        <v>Senecio</v>
      </c>
      <c r="K1651" s="77" t="str">
        <f t="shared" si="1275"/>
        <v>burtoni</v>
      </c>
      <c r="L1651" s="78">
        <f t="shared" si="1275"/>
        <v>6</v>
      </c>
      <c r="M1651" s="78">
        <f t="shared" si="1275"/>
        <v>12</v>
      </c>
      <c r="N1651" s="72">
        <f t="shared" si="1275"/>
        <v>0</v>
      </c>
      <c r="O1651" s="45"/>
      <c r="P1651" s="46" t="str">
        <f t="shared" si="1251"/>
        <v/>
      </c>
      <c r="Q1651" s="47" t="str">
        <f t="shared" si="1252"/>
        <v/>
      </c>
      <c r="R1651" s="48" t="e">
        <f t="shared" si="1253"/>
        <v>#VALUE!</v>
      </c>
      <c r="S1651" s="49" t="e">
        <f t="shared" si="1254"/>
        <v>#VALUE!</v>
      </c>
      <c r="T1651" s="48" t="str">
        <f t="shared" si="1255"/>
        <v/>
      </c>
      <c r="U1651" s="50"/>
      <c r="V1651" s="51"/>
      <c r="W1651" s="52" t="e">
        <f t="shared" si="1256"/>
        <v>#VALUE!</v>
      </c>
      <c r="X1651" s="53"/>
      <c r="Y1651" s="53"/>
      <c r="Z1651" s="53"/>
      <c r="AA1651" s="48" t="e">
        <f>INDEX([1]!VISITORS[INSECT ORDER], MATCH(X1651,[1]!VISITORS[NAME USED],0))</f>
        <v>#REF!</v>
      </c>
      <c r="AB1651" s="48" t="e">
        <f t="shared" si="1257"/>
        <v>#REF!</v>
      </c>
      <c r="AC1651" s="54" t="e">
        <f t="shared" si="1258"/>
        <v>#VALUE!</v>
      </c>
      <c r="AD1651" s="55" t="str">
        <f t="shared" si="1259"/>
        <v/>
      </c>
      <c r="AE1651" s="55"/>
      <c r="AF1651" s="55"/>
      <c r="AG1651" s="56" t="str">
        <f t="shared" si="1260"/>
        <v/>
      </c>
      <c r="AH1651" s="57" t="str">
        <f t="shared" si="1261"/>
        <v/>
      </c>
      <c r="AI1651" s="56"/>
      <c r="AJ1651" s="57" t="str">
        <f t="shared" si="1262"/>
        <v/>
      </c>
      <c r="AK1651" s="56"/>
      <c r="AL1651" s="57" t="str">
        <f t="shared" si="1263"/>
        <v/>
      </c>
      <c r="AM1651" s="56"/>
      <c r="AN1651" s="57" t="str">
        <f t="shared" si="1264"/>
        <v/>
      </c>
      <c r="AO1651" s="56"/>
      <c r="AP1651" s="57" t="str">
        <f t="shared" si="1265"/>
        <v/>
      </c>
      <c r="AQ1651" s="56"/>
      <c r="AR1651" s="57" t="str">
        <f t="shared" si="1266"/>
        <v/>
      </c>
      <c r="AS1651" s="56"/>
      <c r="AT1651" s="57" t="str">
        <f t="shared" si="1267"/>
        <v/>
      </c>
      <c r="AU1651" s="58"/>
      <c r="AV1651" s="59"/>
      <c r="AW1651" s="59"/>
      <c r="AX1651" s="60"/>
      <c r="AY1651" s="61" t="str">
        <f t="shared" si="1268"/>
        <v/>
      </c>
      <c r="AZ1651" s="62" t="str">
        <f t="shared" si="1269"/>
        <v/>
      </c>
      <c r="BA1651" s="61" t="str">
        <f t="shared" si="1270"/>
        <v/>
      </c>
      <c r="BB1651" s="62" t="str">
        <f t="shared" si="1271"/>
        <v/>
      </c>
    </row>
    <row r="1652" spans="1:54" hidden="1" x14ac:dyDescent="0.35">
      <c r="A1652" s="73">
        <f t="shared" si="1226"/>
        <v>2019</v>
      </c>
      <c r="B1652" s="73" t="str">
        <f t="shared" si="1246"/>
        <v>Nov</v>
      </c>
      <c r="C1652" s="74">
        <f t="shared" si="1247"/>
        <v>17</v>
      </c>
      <c r="D1652" s="75">
        <f t="shared" si="1248"/>
        <v>16</v>
      </c>
      <c r="E1652" s="76">
        <f t="shared" si="1227"/>
        <v>20</v>
      </c>
      <c r="F1652" s="80"/>
      <c r="G1652" s="83"/>
      <c r="H1652" s="69" t="str">
        <f t="shared" si="1249"/>
        <v>Senbur6_20191117_16_00</v>
      </c>
      <c r="I1652" s="70">
        <f t="shared" ref="I1652:N1652" si="1276">I1651</f>
        <v>1</v>
      </c>
      <c r="J1652" s="77" t="str">
        <f t="shared" si="1276"/>
        <v>Senecio</v>
      </c>
      <c r="K1652" s="77" t="str">
        <f t="shared" si="1276"/>
        <v>burtoni</v>
      </c>
      <c r="L1652" s="78">
        <f t="shared" si="1276"/>
        <v>6</v>
      </c>
      <c r="M1652" s="78">
        <f t="shared" si="1276"/>
        <v>12</v>
      </c>
      <c r="N1652" s="72">
        <f t="shared" si="1276"/>
        <v>0</v>
      </c>
      <c r="O1652" s="45"/>
      <c r="P1652" s="46" t="str">
        <f t="shared" si="1251"/>
        <v/>
      </c>
      <c r="Q1652" s="47" t="str">
        <f t="shared" si="1252"/>
        <v/>
      </c>
      <c r="R1652" s="48" t="e">
        <f t="shared" si="1253"/>
        <v>#VALUE!</v>
      </c>
      <c r="S1652" s="49" t="e">
        <f t="shared" si="1254"/>
        <v>#VALUE!</v>
      </c>
      <c r="T1652" s="48" t="str">
        <f t="shared" si="1255"/>
        <v/>
      </c>
      <c r="U1652" s="50"/>
      <c r="V1652" s="51"/>
      <c r="W1652" s="52" t="e">
        <f t="shared" si="1256"/>
        <v>#VALUE!</v>
      </c>
      <c r="X1652" s="53"/>
      <c r="Y1652" s="53"/>
      <c r="Z1652" s="53"/>
      <c r="AA1652" s="48" t="e">
        <f>INDEX([1]!VISITORS[INSECT ORDER], MATCH(X1652,[1]!VISITORS[NAME USED],0))</f>
        <v>#REF!</v>
      </c>
      <c r="AB1652" s="48" t="e">
        <f t="shared" si="1257"/>
        <v>#REF!</v>
      </c>
      <c r="AC1652" s="54" t="e">
        <f t="shared" si="1258"/>
        <v>#VALUE!</v>
      </c>
      <c r="AD1652" s="55" t="str">
        <f t="shared" si="1259"/>
        <v/>
      </c>
      <c r="AE1652" s="55"/>
      <c r="AF1652" s="55"/>
      <c r="AG1652" s="56" t="str">
        <f t="shared" si="1260"/>
        <v/>
      </c>
      <c r="AH1652" s="57" t="str">
        <f t="shared" si="1261"/>
        <v/>
      </c>
      <c r="AI1652" s="56"/>
      <c r="AJ1652" s="57" t="str">
        <f t="shared" si="1262"/>
        <v/>
      </c>
      <c r="AK1652" s="56"/>
      <c r="AL1652" s="57" t="str">
        <f t="shared" si="1263"/>
        <v/>
      </c>
      <c r="AM1652" s="56"/>
      <c r="AN1652" s="57" t="str">
        <f t="shared" si="1264"/>
        <v/>
      </c>
      <c r="AO1652" s="56"/>
      <c r="AP1652" s="57" t="str">
        <f t="shared" si="1265"/>
        <v/>
      </c>
      <c r="AQ1652" s="56"/>
      <c r="AR1652" s="57" t="str">
        <f t="shared" si="1266"/>
        <v/>
      </c>
      <c r="AS1652" s="56"/>
      <c r="AT1652" s="57" t="str">
        <f t="shared" si="1267"/>
        <v/>
      </c>
      <c r="AU1652" s="58"/>
      <c r="AV1652" s="59"/>
      <c r="AW1652" s="59"/>
      <c r="AX1652" s="60"/>
      <c r="AY1652" s="61" t="str">
        <f t="shared" si="1268"/>
        <v/>
      </c>
      <c r="AZ1652" s="62" t="str">
        <f t="shared" si="1269"/>
        <v/>
      </c>
      <c r="BA1652" s="61" t="str">
        <f t="shared" si="1270"/>
        <v/>
      </c>
      <c r="BB1652" s="62" t="str">
        <f t="shared" si="1271"/>
        <v/>
      </c>
    </row>
    <row r="1653" spans="1:54" hidden="1" x14ac:dyDescent="0.35">
      <c r="A1653" s="73">
        <f t="shared" si="1226"/>
        <v>2019</v>
      </c>
      <c r="B1653" s="73" t="str">
        <f t="shared" si="1246"/>
        <v>Nov</v>
      </c>
      <c r="C1653" s="74">
        <f t="shared" si="1247"/>
        <v>17</v>
      </c>
      <c r="D1653" s="75">
        <f t="shared" si="1248"/>
        <v>16</v>
      </c>
      <c r="E1653" s="76">
        <f t="shared" si="1227"/>
        <v>21</v>
      </c>
      <c r="F1653" s="80"/>
      <c r="G1653" s="83"/>
      <c r="H1653" s="69" t="str">
        <f t="shared" si="1249"/>
        <v>Senbur6_20191117_16_00</v>
      </c>
      <c r="I1653" s="70">
        <f t="shared" ref="I1653:N1653" si="1277">I1652</f>
        <v>1</v>
      </c>
      <c r="J1653" s="77" t="str">
        <f t="shared" si="1277"/>
        <v>Senecio</v>
      </c>
      <c r="K1653" s="77" t="str">
        <f t="shared" si="1277"/>
        <v>burtoni</v>
      </c>
      <c r="L1653" s="78">
        <f t="shared" si="1277"/>
        <v>6</v>
      </c>
      <c r="M1653" s="78">
        <f t="shared" si="1277"/>
        <v>12</v>
      </c>
      <c r="N1653" s="72">
        <f t="shared" si="1277"/>
        <v>0</v>
      </c>
      <c r="O1653" s="45"/>
      <c r="P1653" s="46" t="str">
        <f t="shared" si="1251"/>
        <v/>
      </c>
      <c r="Q1653" s="47" t="str">
        <f t="shared" si="1252"/>
        <v/>
      </c>
      <c r="R1653" s="48" t="e">
        <f t="shared" si="1253"/>
        <v>#VALUE!</v>
      </c>
      <c r="S1653" s="49" t="e">
        <f t="shared" si="1254"/>
        <v>#VALUE!</v>
      </c>
      <c r="T1653" s="48" t="str">
        <f t="shared" si="1255"/>
        <v/>
      </c>
      <c r="U1653" s="50"/>
      <c r="V1653" s="51"/>
      <c r="W1653" s="52" t="e">
        <f t="shared" si="1256"/>
        <v>#VALUE!</v>
      </c>
      <c r="X1653" s="53"/>
      <c r="Y1653" s="53"/>
      <c r="Z1653" s="53"/>
      <c r="AA1653" s="48" t="e">
        <f>INDEX([1]!VISITORS[INSECT ORDER], MATCH(X1653,[1]!VISITORS[NAME USED],0))</f>
        <v>#REF!</v>
      </c>
      <c r="AB1653" s="48" t="e">
        <f t="shared" si="1257"/>
        <v>#REF!</v>
      </c>
      <c r="AC1653" s="54" t="e">
        <f t="shared" si="1258"/>
        <v>#VALUE!</v>
      </c>
      <c r="AD1653" s="55" t="str">
        <f t="shared" si="1259"/>
        <v/>
      </c>
      <c r="AE1653" s="55"/>
      <c r="AF1653" s="55"/>
      <c r="AG1653" s="56" t="str">
        <f t="shared" si="1260"/>
        <v/>
      </c>
      <c r="AH1653" s="57" t="str">
        <f t="shared" si="1261"/>
        <v/>
      </c>
      <c r="AI1653" s="56"/>
      <c r="AJ1653" s="57" t="str">
        <f t="shared" si="1262"/>
        <v/>
      </c>
      <c r="AK1653" s="56"/>
      <c r="AL1653" s="57" t="str">
        <f t="shared" si="1263"/>
        <v/>
      </c>
      <c r="AM1653" s="56"/>
      <c r="AN1653" s="57" t="str">
        <f t="shared" si="1264"/>
        <v/>
      </c>
      <c r="AO1653" s="56"/>
      <c r="AP1653" s="57" t="str">
        <f t="shared" si="1265"/>
        <v/>
      </c>
      <c r="AQ1653" s="56"/>
      <c r="AR1653" s="57" t="str">
        <f t="shared" si="1266"/>
        <v/>
      </c>
      <c r="AS1653" s="56"/>
      <c r="AT1653" s="57" t="str">
        <f t="shared" si="1267"/>
        <v/>
      </c>
      <c r="AU1653" s="58"/>
      <c r="AV1653" s="59"/>
      <c r="AW1653" s="59"/>
      <c r="AX1653" s="60"/>
      <c r="AY1653" s="61" t="str">
        <f t="shared" si="1268"/>
        <v/>
      </c>
      <c r="AZ1653" s="62" t="str">
        <f t="shared" si="1269"/>
        <v/>
      </c>
      <c r="BA1653" s="61" t="str">
        <f t="shared" si="1270"/>
        <v/>
      </c>
      <c r="BB1653" s="62" t="str">
        <f t="shared" si="1271"/>
        <v/>
      </c>
    </row>
    <row r="1654" spans="1:54" hidden="1" x14ac:dyDescent="0.35">
      <c r="A1654" s="73">
        <f t="shared" si="1226"/>
        <v>2019</v>
      </c>
      <c r="B1654" s="73" t="str">
        <f t="shared" si="1246"/>
        <v>Nov</v>
      </c>
      <c r="C1654" s="74">
        <f t="shared" si="1247"/>
        <v>17</v>
      </c>
      <c r="D1654" s="75">
        <f t="shared" si="1248"/>
        <v>16</v>
      </c>
      <c r="E1654" s="76">
        <f t="shared" si="1227"/>
        <v>22</v>
      </c>
      <c r="F1654" s="80"/>
      <c r="G1654" s="83"/>
      <c r="H1654" s="69" t="str">
        <f t="shared" si="1249"/>
        <v>Senbur6_20191117_16_00</v>
      </c>
      <c r="I1654" s="70">
        <f t="shared" ref="I1654:N1654" si="1278">I1653</f>
        <v>1</v>
      </c>
      <c r="J1654" s="77" t="str">
        <f t="shared" si="1278"/>
        <v>Senecio</v>
      </c>
      <c r="K1654" s="77" t="str">
        <f t="shared" si="1278"/>
        <v>burtoni</v>
      </c>
      <c r="L1654" s="78">
        <f t="shared" si="1278"/>
        <v>6</v>
      </c>
      <c r="M1654" s="78">
        <f t="shared" si="1278"/>
        <v>12</v>
      </c>
      <c r="N1654" s="72">
        <f t="shared" si="1278"/>
        <v>0</v>
      </c>
      <c r="O1654" s="45"/>
      <c r="P1654" s="46" t="str">
        <f t="shared" si="1251"/>
        <v/>
      </c>
      <c r="Q1654" s="47" t="str">
        <f t="shared" si="1252"/>
        <v/>
      </c>
      <c r="R1654" s="48" t="e">
        <f t="shared" si="1253"/>
        <v>#VALUE!</v>
      </c>
      <c r="S1654" s="49" t="e">
        <f t="shared" si="1254"/>
        <v>#VALUE!</v>
      </c>
      <c r="T1654" s="48" t="str">
        <f t="shared" si="1255"/>
        <v/>
      </c>
      <c r="U1654" s="50"/>
      <c r="V1654" s="51"/>
      <c r="W1654" s="52" t="e">
        <f t="shared" si="1256"/>
        <v>#VALUE!</v>
      </c>
      <c r="X1654" s="53"/>
      <c r="Y1654" s="53"/>
      <c r="Z1654" s="53"/>
      <c r="AA1654" s="48" t="e">
        <f>INDEX([1]!VISITORS[INSECT ORDER], MATCH(X1654,[1]!VISITORS[NAME USED],0))</f>
        <v>#REF!</v>
      </c>
      <c r="AB1654" s="48" t="e">
        <f t="shared" si="1257"/>
        <v>#REF!</v>
      </c>
      <c r="AC1654" s="54" t="e">
        <f t="shared" si="1258"/>
        <v>#VALUE!</v>
      </c>
      <c r="AD1654" s="55" t="str">
        <f t="shared" si="1259"/>
        <v/>
      </c>
      <c r="AE1654" s="55"/>
      <c r="AF1654" s="55"/>
      <c r="AG1654" s="56" t="str">
        <f t="shared" si="1260"/>
        <v/>
      </c>
      <c r="AH1654" s="57" t="str">
        <f t="shared" si="1261"/>
        <v/>
      </c>
      <c r="AI1654" s="56"/>
      <c r="AJ1654" s="57" t="str">
        <f t="shared" si="1262"/>
        <v/>
      </c>
      <c r="AK1654" s="56"/>
      <c r="AL1654" s="57" t="str">
        <f t="shared" si="1263"/>
        <v/>
      </c>
      <c r="AM1654" s="56"/>
      <c r="AN1654" s="57" t="str">
        <f t="shared" si="1264"/>
        <v/>
      </c>
      <c r="AO1654" s="56"/>
      <c r="AP1654" s="57" t="str">
        <f t="shared" si="1265"/>
        <v/>
      </c>
      <c r="AQ1654" s="56"/>
      <c r="AR1654" s="57" t="str">
        <f t="shared" si="1266"/>
        <v/>
      </c>
      <c r="AS1654" s="56"/>
      <c r="AT1654" s="57" t="str">
        <f t="shared" si="1267"/>
        <v/>
      </c>
      <c r="AU1654" s="58"/>
      <c r="AV1654" s="59"/>
      <c r="AW1654" s="59"/>
      <c r="AX1654" s="60"/>
      <c r="AY1654" s="61" t="str">
        <f t="shared" si="1268"/>
        <v/>
      </c>
      <c r="AZ1654" s="62" t="str">
        <f t="shared" si="1269"/>
        <v/>
      </c>
      <c r="BA1654" s="61" t="str">
        <f t="shared" si="1270"/>
        <v/>
      </c>
      <c r="BB1654" s="62" t="str">
        <f t="shared" si="1271"/>
        <v/>
      </c>
    </row>
    <row r="1655" spans="1:54" hidden="1" x14ac:dyDescent="0.35">
      <c r="A1655" s="73">
        <f t="shared" si="1226"/>
        <v>2019</v>
      </c>
      <c r="B1655" s="73" t="str">
        <f t="shared" si="1246"/>
        <v>Nov</v>
      </c>
      <c r="C1655" s="74">
        <f t="shared" si="1247"/>
        <v>17</v>
      </c>
      <c r="D1655" s="75">
        <f t="shared" si="1248"/>
        <v>16</v>
      </c>
      <c r="E1655" s="76">
        <f t="shared" si="1227"/>
        <v>23</v>
      </c>
      <c r="F1655" s="80"/>
      <c r="G1655" s="83"/>
      <c r="H1655" s="69" t="str">
        <f t="shared" si="1249"/>
        <v>Senbur6_20191117_16_00</v>
      </c>
      <c r="I1655" s="70">
        <f t="shared" ref="I1655:N1655" si="1279">I1654</f>
        <v>1</v>
      </c>
      <c r="J1655" s="77" t="str">
        <f t="shared" si="1279"/>
        <v>Senecio</v>
      </c>
      <c r="K1655" s="77" t="str">
        <f t="shared" si="1279"/>
        <v>burtoni</v>
      </c>
      <c r="L1655" s="78">
        <f t="shared" si="1279"/>
        <v>6</v>
      </c>
      <c r="M1655" s="78">
        <f t="shared" si="1279"/>
        <v>12</v>
      </c>
      <c r="N1655" s="72">
        <f t="shared" si="1279"/>
        <v>0</v>
      </c>
      <c r="O1655" s="45"/>
      <c r="P1655" s="46" t="str">
        <f t="shared" si="1251"/>
        <v/>
      </c>
      <c r="Q1655" s="47" t="str">
        <f t="shared" si="1252"/>
        <v/>
      </c>
      <c r="R1655" s="48" t="e">
        <f t="shared" si="1253"/>
        <v>#VALUE!</v>
      </c>
      <c r="S1655" s="49" t="e">
        <f t="shared" si="1254"/>
        <v>#VALUE!</v>
      </c>
      <c r="T1655" s="48" t="str">
        <f t="shared" si="1255"/>
        <v/>
      </c>
      <c r="U1655" s="50"/>
      <c r="V1655" s="51"/>
      <c r="W1655" s="52" t="e">
        <f t="shared" si="1256"/>
        <v>#VALUE!</v>
      </c>
      <c r="X1655" s="53"/>
      <c r="Y1655" s="53"/>
      <c r="Z1655" s="53"/>
      <c r="AA1655" s="48" t="e">
        <f>INDEX([1]!VISITORS[INSECT ORDER], MATCH(X1655,[1]!VISITORS[NAME USED],0))</f>
        <v>#REF!</v>
      </c>
      <c r="AB1655" s="48" t="e">
        <f t="shared" si="1257"/>
        <v>#REF!</v>
      </c>
      <c r="AC1655" s="54" t="e">
        <f t="shared" si="1258"/>
        <v>#VALUE!</v>
      </c>
      <c r="AD1655" s="55" t="str">
        <f t="shared" si="1259"/>
        <v/>
      </c>
      <c r="AE1655" s="55"/>
      <c r="AF1655" s="55"/>
      <c r="AG1655" s="56" t="str">
        <f t="shared" si="1260"/>
        <v/>
      </c>
      <c r="AH1655" s="57" t="str">
        <f t="shared" si="1261"/>
        <v/>
      </c>
      <c r="AI1655" s="56"/>
      <c r="AJ1655" s="57" t="str">
        <f t="shared" si="1262"/>
        <v/>
      </c>
      <c r="AK1655" s="56"/>
      <c r="AL1655" s="57" t="str">
        <f t="shared" si="1263"/>
        <v/>
      </c>
      <c r="AM1655" s="56"/>
      <c r="AN1655" s="57" t="str">
        <f t="shared" si="1264"/>
        <v/>
      </c>
      <c r="AO1655" s="56"/>
      <c r="AP1655" s="57" t="str">
        <f t="shared" si="1265"/>
        <v/>
      </c>
      <c r="AQ1655" s="56"/>
      <c r="AR1655" s="57" t="str">
        <f t="shared" si="1266"/>
        <v/>
      </c>
      <c r="AS1655" s="56"/>
      <c r="AT1655" s="57" t="str">
        <f t="shared" si="1267"/>
        <v/>
      </c>
      <c r="AU1655" s="58"/>
      <c r="AV1655" s="59"/>
      <c r="AW1655" s="59"/>
      <c r="AX1655" s="60"/>
      <c r="AY1655" s="61" t="str">
        <f t="shared" si="1268"/>
        <v/>
      </c>
      <c r="AZ1655" s="62" t="str">
        <f t="shared" si="1269"/>
        <v/>
      </c>
      <c r="BA1655" s="61" t="str">
        <f t="shared" si="1270"/>
        <v/>
      </c>
      <c r="BB1655" s="62" t="str">
        <f t="shared" si="1271"/>
        <v/>
      </c>
    </row>
    <row r="1656" spans="1:54" hidden="1" x14ac:dyDescent="0.35">
      <c r="A1656" s="73">
        <f t="shared" si="1226"/>
        <v>2019</v>
      </c>
      <c r="B1656" s="73" t="str">
        <f t="shared" si="1246"/>
        <v>Nov</v>
      </c>
      <c r="C1656" s="74">
        <f t="shared" si="1247"/>
        <v>17</v>
      </c>
      <c r="D1656" s="75">
        <f t="shared" si="1248"/>
        <v>16</v>
      </c>
      <c r="E1656" s="76">
        <f t="shared" si="1227"/>
        <v>24</v>
      </c>
      <c r="F1656" s="80"/>
      <c r="G1656" s="83"/>
      <c r="H1656" s="69" t="str">
        <f t="shared" si="1249"/>
        <v>Senbur6_20191117_16_00</v>
      </c>
      <c r="I1656" s="70">
        <f t="shared" ref="I1656:N1656" si="1280">I1655</f>
        <v>1</v>
      </c>
      <c r="J1656" s="77" t="str">
        <f t="shared" si="1280"/>
        <v>Senecio</v>
      </c>
      <c r="K1656" s="77" t="str">
        <f t="shared" si="1280"/>
        <v>burtoni</v>
      </c>
      <c r="L1656" s="78">
        <f t="shared" si="1280"/>
        <v>6</v>
      </c>
      <c r="M1656" s="78">
        <f t="shared" si="1280"/>
        <v>12</v>
      </c>
      <c r="N1656" s="72">
        <f t="shared" si="1280"/>
        <v>0</v>
      </c>
      <c r="O1656" s="45"/>
      <c r="P1656" s="46" t="str">
        <f t="shared" si="1251"/>
        <v/>
      </c>
      <c r="Q1656" s="47" t="str">
        <f t="shared" si="1252"/>
        <v/>
      </c>
      <c r="R1656" s="48" t="e">
        <f t="shared" si="1253"/>
        <v>#VALUE!</v>
      </c>
      <c r="S1656" s="49" t="e">
        <f t="shared" si="1254"/>
        <v>#VALUE!</v>
      </c>
      <c r="T1656" s="48" t="str">
        <f t="shared" si="1255"/>
        <v/>
      </c>
      <c r="U1656" s="50"/>
      <c r="V1656" s="51"/>
      <c r="W1656" s="52" t="e">
        <f t="shared" si="1256"/>
        <v>#VALUE!</v>
      </c>
      <c r="X1656" s="53"/>
      <c r="Y1656" s="53"/>
      <c r="Z1656" s="53"/>
      <c r="AA1656" s="48" t="e">
        <f>INDEX([1]!VISITORS[INSECT ORDER], MATCH(X1656,[1]!VISITORS[NAME USED],0))</f>
        <v>#REF!</v>
      </c>
      <c r="AB1656" s="48" t="e">
        <f t="shared" si="1257"/>
        <v>#REF!</v>
      </c>
      <c r="AC1656" s="54" t="e">
        <f t="shared" si="1258"/>
        <v>#VALUE!</v>
      </c>
      <c r="AD1656" s="55" t="str">
        <f t="shared" si="1259"/>
        <v/>
      </c>
      <c r="AE1656" s="55"/>
      <c r="AF1656" s="55"/>
      <c r="AG1656" s="56" t="str">
        <f t="shared" si="1260"/>
        <v/>
      </c>
      <c r="AH1656" s="57" t="str">
        <f t="shared" si="1261"/>
        <v/>
      </c>
      <c r="AI1656" s="56"/>
      <c r="AJ1656" s="57" t="str">
        <f t="shared" si="1262"/>
        <v/>
      </c>
      <c r="AK1656" s="56"/>
      <c r="AL1656" s="57" t="str">
        <f t="shared" si="1263"/>
        <v/>
      </c>
      <c r="AM1656" s="56"/>
      <c r="AN1656" s="57" t="str">
        <f t="shared" si="1264"/>
        <v/>
      </c>
      <c r="AO1656" s="56"/>
      <c r="AP1656" s="57" t="str">
        <f t="shared" si="1265"/>
        <v/>
      </c>
      <c r="AQ1656" s="56"/>
      <c r="AR1656" s="57" t="str">
        <f t="shared" si="1266"/>
        <v/>
      </c>
      <c r="AS1656" s="56"/>
      <c r="AT1656" s="57" t="str">
        <f t="shared" si="1267"/>
        <v/>
      </c>
      <c r="AU1656" s="58"/>
      <c r="AV1656" s="59"/>
      <c r="AW1656" s="59"/>
      <c r="AX1656" s="60"/>
      <c r="AY1656" s="61" t="str">
        <f t="shared" si="1268"/>
        <v/>
      </c>
      <c r="AZ1656" s="62" t="str">
        <f t="shared" si="1269"/>
        <v/>
      </c>
      <c r="BA1656" s="61" t="str">
        <f t="shared" si="1270"/>
        <v/>
      </c>
      <c r="BB1656" s="62" t="str">
        <f t="shared" si="1271"/>
        <v/>
      </c>
    </row>
    <row r="1657" spans="1:54" hidden="1" x14ac:dyDescent="0.35">
      <c r="A1657" s="73">
        <f t="shared" si="1226"/>
        <v>2019</v>
      </c>
      <c r="B1657" s="73" t="str">
        <f t="shared" si="1246"/>
        <v>Nov</v>
      </c>
      <c r="C1657" s="74">
        <f t="shared" si="1247"/>
        <v>17</v>
      </c>
      <c r="D1657" s="75">
        <f t="shared" si="1248"/>
        <v>16</v>
      </c>
      <c r="E1657" s="76">
        <f t="shared" si="1227"/>
        <v>25</v>
      </c>
      <c r="F1657" s="80"/>
      <c r="G1657" s="83"/>
      <c r="H1657" s="69" t="str">
        <f t="shared" si="1249"/>
        <v>Senbur6_20191117_16_00</v>
      </c>
      <c r="I1657" s="70">
        <f t="shared" ref="I1657:N1657" si="1281">I1656</f>
        <v>1</v>
      </c>
      <c r="J1657" s="77" t="str">
        <f t="shared" si="1281"/>
        <v>Senecio</v>
      </c>
      <c r="K1657" s="77" t="str">
        <f t="shared" si="1281"/>
        <v>burtoni</v>
      </c>
      <c r="L1657" s="78">
        <f t="shared" si="1281"/>
        <v>6</v>
      </c>
      <c r="M1657" s="78">
        <f t="shared" si="1281"/>
        <v>12</v>
      </c>
      <c r="N1657" s="72">
        <f t="shared" si="1281"/>
        <v>0</v>
      </c>
      <c r="O1657" s="45"/>
      <c r="P1657" s="46" t="str">
        <f t="shared" si="1251"/>
        <v/>
      </c>
      <c r="Q1657" s="47" t="str">
        <f t="shared" si="1252"/>
        <v/>
      </c>
      <c r="R1657" s="48" t="e">
        <f t="shared" si="1253"/>
        <v>#VALUE!</v>
      </c>
      <c r="S1657" s="49" t="e">
        <f t="shared" si="1254"/>
        <v>#VALUE!</v>
      </c>
      <c r="T1657" s="48" t="str">
        <f t="shared" si="1255"/>
        <v/>
      </c>
      <c r="U1657" s="50"/>
      <c r="V1657" s="51"/>
      <c r="W1657" s="52" t="e">
        <f t="shared" si="1256"/>
        <v>#VALUE!</v>
      </c>
      <c r="X1657" s="53"/>
      <c r="Y1657" s="53"/>
      <c r="Z1657" s="53"/>
      <c r="AA1657" s="48" t="e">
        <f>INDEX([1]!VISITORS[INSECT ORDER], MATCH(X1657,[1]!VISITORS[NAME USED],0))</f>
        <v>#REF!</v>
      </c>
      <c r="AB1657" s="48" t="e">
        <f t="shared" si="1257"/>
        <v>#REF!</v>
      </c>
      <c r="AC1657" s="54" t="e">
        <f t="shared" si="1258"/>
        <v>#VALUE!</v>
      </c>
      <c r="AD1657" s="55" t="str">
        <f t="shared" si="1259"/>
        <v/>
      </c>
      <c r="AE1657" s="55"/>
      <c r="AF1657" s="55"/>
      <c r="AG1657" s="56" t="str">
        <f t="shared" si="1260"/>
        <v/>
      </c>
      <c r="AH1657" s="57" t="str">
        <f t="shared" si="1261"/>
        <v/>
      </c>
      <c r="AI1657" s="56"/>
      <c r="AJ1657" s="57" t="str">
        <f t="shared" si="1262"/>
        <v/>
      </c>
      <c r="AK1657" s="56"/>
      <c r="AL1657" s="57" t="str">
        <f t="shared" si="1263"/>
        <v/>
      </c>
      <c r="AM1657" s="56"/>
      <c r="AN1657" s="57" t="str">
        <f t="shared" si="1264"/>
        <v/>
      </c>
      <c r="AO1657" s="56"/>
      <c r="AP1657" s="57" t="str">
        <f t="shared" si="1265"/>
        <v/>
      </c>
      <c r="AQ1657" s="56"/>
      <c r="AR1657" s="57" t="str">
        <f t="shared" si="1266"/>
        <v/>
      </c>
      <c r="AS1657" s="56"/>
      <c r="AT1657" s="57" t="str">
        <f t="shared" si="1267"/>
        <v/>
      </c>
      <c r="AU1657" s="58"/>
      <c r="AV1657" s="59"/>
      <c r="AW1657" s="59"/>
      <c r="AX1657" s="60"/>
      <c r="AY1657" s="61" t="str">
        <f t="shared" si="1268"/>
        <v/>
      </c>
      <c r="AZ1657" s="62" t="str">
        <f t="shared" si="1269"/>
        <v/>
      </c>
      <c r="BA1657" s="61" t="str">
        <f t="shared" si="1270"/>
        <v/>
      </c>
      <c r="BB1657" s="62" t="str">
        <f t="shared" si="1271"/>
        <v/>
      </c>
    </row>
    <row r="1658" spans="1:54" hidden="1" x14ac:dyDescent="0.35">
      <c r="A1658" s="73">
        <f t="shared" si="1226"/>
        <v>2019</v>
      </c>
      <c r="B1658" s="73" t="str">
        <f t="shared" si="1246"/>
        <v>Nov</v>
      </c>
      <c r="C1658" s="74">
        <f t="shared" si="1247"/>
        <v>17</v>
      </c>
      <c r="D1658" s="75">
        <f t="shared" si="1248"/>
        <v>16</v>
      </c>
      <c r="E1658" s="76">
        <f t="shared" si="1227"/>
        <v>26</v>
      </c>
      <c r="F1658" s="80"/>
      <c r="G1658" s="83"/>
      <c r="H1658" s="69" t="str">
        <f t="shared" si="1249"/>
        <v>Senbur6_20191117_16_00</v>
      </c>
      <c r="I1658" s="70">
        <f t="shared" ref="I1658:N1658" si="1282">I1657</f>
        <v>1</v>
      </c>
      <c r="J1658" s="77" t="str">
        <f t="shared" si="1282"/>
        <v>Senecio</v>
      </c>
      <c r="K1658" s="77" t="str">
        <f t="shared" si="1282"/>
        <v>burtoni</v>
      </c>
      <c r="L1658" s="78">
        <f t="shared" si="1282"/>
        <v>6</v>
      </c>
      <c r="M1658" s="78">
        <f t="shared" si="1282"/>
        <v>12</v>
      </c>
      <c r="N1658" s="72">
        <f t="shared" si="1282"/>
        <v>0</v>
      </c>
      <c r="O1658" s="45"/>
      <c r="P1658" s="46" t="str">
        <f t="shared" si="1251"/>
        <v/>
      </c>
      <c r="Q1658" s="47" t="str">
        <f t="shared" si="1252"/>
        <v/>
      </c>
      <c r="R1658" s="48" t="e">
        <f t="shared" si="1253"/>
        <v>#VALUE!</v>
      </c>
      <c r="S1658" s="49" t="e">
        <f t="shared" si="1254"/>
        <v>#VALUE!</v>
      </c>
      <c r="T1658" s="48" t="str">
        <f t="shared" si="1255"/>
        <v/>
      </c>
      <c r="U1658" s="50"/>
      <c r="V1658" s="51"/>
      <c r="W1658" s="52" t="e">
        <f t="shared" si="1256"/>
        <v>#VALUE!</v>
      </c>
      <c r="X1658" s="53"/>
      <c r="Y1658" s="53"/>
      <c r="Z1658" s="53"/>
      <c r="AA1658" s="48" t="e">
        <f>INDEX([1]!VISITORS[INSECT ORDER], MATCH(X1658,[1]!VISITORS[NAME USED],0))</f>
        <v>#REF!</v>
      </c>
      <c r="AB1658" s="48" t="e">
        <f t="shared" si="1257"/>
        <v>#REF!</v>
      </c>
      <c r="AC1658" s="54" t="e">
        <f t="shared" si="1258"/>
        <v>#VALUE!</v>
      </c>
      <c r="AD1658" s="55" t="str">
        <f t="shared" si="1259"/>
        <v/>
      </c>
      <c r="AE1658" s="55"/>
      <c r="AF1658" s="55"/>
      <c r="AG1658" s="56" t="str">
        <f t="shared" si="1260"/>
        <v/>
      </c>
      <c r="AH1658" s="57" t="str">
        <f t="shared" si="1261"/>
        <v/>
      </c>
      <c r="AI1658" s="56"/>
      <c r="AJ1658" s="57" t="str">
        <f t="shared" si="1262"/>
        <v/>
      </c>
      <c r="AK1658" s="56"/>
      <c r="AL1658" s="57" t="str">
        <f t="shared" si="1263"/>
        <v/>
      </c>
      <c r="AM1658" s="56"/>
      <c r="AN1658" s="57" t="str">
        <f t="shared" si="1264"/>
        <v/>
      </c>
      <c r="AO1658" s="56"/>
      <c r="AP1658" s="57" t="str">
        <f t="shared" si="1265"/>
        <v/>
      </c>
      <c r="AQ1658" s="56"/>
      <c r="AR1658" s="57" t="str">
        <f t="shared" si="1266"/>
        <v/>
      </c>
      <c r="AS1658" s="56"/>
      <c r="AT1658" s="57" t="str">
        <f t="shared" si="1267"/>
        <v/>
      </c>
      <c r="AU1658" s="58"/>
      <c r="AV1658" s="59"/>
      <c r="AW1658" s="59"/>
      <c r="AX1658" s="60"/>
      <c r="AY1658" s="61" t="str">
        <f t="shared" si="1268"/>
        <v/>
      </c>
      <c r="AZ1658" s="62" t="str">
        <f t="shared" si="1269"/>
        <v/>
      </c>
      <c r="BA1658" s="61" t="str">
        <f t="shared" si="1270"/>
        <v/>
      </c>
      <c r="BB1658" s="62" t="str">
        <f t="shared" si="1271"/>
        <v/>
      </c>
    </row>
    <row r="1659" spans="1:54" hidden="1" x14ac:dyDescent="0.35">
      <c r="A1659" s="73">
        <f t="shared" si="1226"/>
        <v>2019</v>
      </c>
      <c r="B1659" s="73" t="str">
        <f t="shared" si="1246"/>
        <v>Nov</v>
      </c>
      <c r="C1659" s="74">
        <f t="shared" si="1247"/>
        <v>17</v>
      </c>
      <c r="D1659" s="75">
        <f t="shared" si="1248"/>
        <v>16</v>
      </c>
      <c r="E1659" s="76">
        <f t="shared" si="1227"/>
        <v>27</v>
      </c>
      <c r="F1659" s="80"/>
      <c r="G1659" s="83"/>
      <c r="H1659" s="69" t="str">
        <f t="shared" si="1249"/>
        <v>Senbur6_20191117_16_00</v>
      </c>
      <c r="I1659" s="70">
        <f t="shared" ref="I1659:N1659" si="1283">I1658</f>
        <v>1</v>
      </c>
      <c r="J1659" s="77" t="str">
        <f t="shared" si="1283"/>
        <v>Senecio</v>
      </c>
      <c r="K1659" s="77" t="str">
        <f t="shared" si="1283"/>
        <v>burtoni</v>
      </c>
      <c r="L1659" s="78">
        <f t="shared" si="1283"/>
        <v>6</v>
      </c>
      <c r="M1659" s="78">
        <f t="shared" si="1283"/>
        <v>12</v>
      </c>
      <c r="N1659" s="72">
        <f t="shared" si="1283"/>
        <v>0</v>
      </c>
      <c r="O1659" s="45"/>
      <c r="P1659" s="46" t="str">
        <f t="shared" si="1251"/>
        <v/>
      </c>
      <c r="Q1659" s="47" t="str">
        <f t="shared" si="1252"/>
        <v/>
      </c>
      <c r="R1659" s="48" t="e">
        <f t="shared" si="1253"/>
        <v>#VALUE!</v>
      </c>
      <c r="S1659" s="49" t="e">
        <f t="shared" si="1254"/>
        <v>#VALUE!</v>
      </c>
      <c r="T1659" s="48" t="str">
        <f t="shared" si="1255"/>
        <v/>
      </c>
      <c r="U1659" s="50"/>
      <c r="V1659" s="51"/>
      <c r="W1659" s="52" t="e">
        <f t="shared" si="1256"/>
        <v>#VALUE!</v>
      </c>
      <c r="X1659" s="53"/>
      <c r="Y1659" s="53"/>
      <c r="Z1659" s="53"/>
      <c r="AA1659" s="48" t="e">
        <f>INDEX([1]!VISITORS[INSECT ORDER], MATCH(X1659,[1]!VISITORS[NAME USED],0))</f>
        <v>#REF!</v>
      </c>
      <c r="AB1659" s="48" t="e">
        <f t="shared" si="1257"/>
        <v>#REF!</v>
      </c>
      <c r="AC1659" s="54" t="e">
        <f t="shared" si="1258"/>
        <v>#VALUE!</v>
      </c>
      <c r="AD1659" s="55" t="str">
        <f t="shared" si="1259"/>
        <v/>
      </c>
      <c r="AE1659" s="55"/>
      <c r="AF1659" s="55"/>
      <c r="AG1659" s="56" t="str">
        <f t="shared" si="1260"/>
        <v/>
      </c>
      <c r="AH1659" s="57" t="str">
        <f t="shared" si="1261"/>
        <v/>
      </c>
      <c r="AI1659" s="56"/>
      <c r="AJ1659" s="57" t="str">
        <f t="shared" si="1262"/>
        <v/>
      </c>
      <c r="AK1659" s="56"/>
      <c r="AL1659" s="57" t="str">
        <f t="shared" si="1263"/>
        <v/>
      </c>
      <c r="AM1659" s="56"/>
      <c r="AN1659" s="57" t="str">
        <f t="shared" si="1264"/>
        <v/>
      </c>
      <c r="AO1659" s="56"/>
      <c r="AP1659" s="57" t="str">
        <f t="shared" si="1265"/>
        <v/>
      </c>
      <c r="AQ1659" s="56"/>
      <c r="AR1659" s="57" t="str">
        <f t="shared" si="1266"/>
        <v/>
      </c>
      <c r="AS1659" s="56"/>
      <c r="AT1659" s="57" t="str">
        <f t="shared" si="1267"/>
        <v/>
      </c>
      <c r="AU1659" s="58"/>
      <c r="AV1659" s="59"/>
      <c r="AW1659" s="59"/>
      <c r="AX1659" s="60"/>
      <c r="AY1659" s="61" t="str">
        <f t="shared" si="1268"/>
        <v/>
      </c>
      <c r="AZ1659" s="62" t="str">
        <f t="shared" si="1269"/>
        <v/>
      </c>
      <c r="BA1659" s="61" t="str">
        <f t="shared" si="1270"/>
        <v/>
      </c>
      <c r="BB1659" s="62" t="str">
        <f t="shared" si="1271"/>
        <v/>
      </c>
    </row>
    <row r="1660" spans="1:54" hidden="1" x14ac:dyDescent="0.35">
      <c r="A1660" s="73">
        <f t="shared" si="1226"/>
        <v>2019</v>
      </c>
      <c r="B1660" s="73" t="str">
        <f t="shared" si="1246"/>
        <v>Nov</v>
      </c>
      <c r="C1660" s="74">
        <f t="shared" si="1247"/>
        <v>17</v>
      </c>
      <c r="D1660" s="75">
        <f t="shared" si="1248"/>
        <v>16</v>
      </c>
      <c r="E1660" s="76">
        <f t="shared" si="1227"/>
        <v>28</v>
      </c>
      <c r="F1660" s="80"/>
      <c r="G1660" s="83"/>
      <c r="H1660" s="69" t="str">
        <f t="shared" si="1249"/>
        <v>Senbur6_20191117_16_00</v>
      </c>
      <c r="I1660" s="70">
        <f t="shared" ref="I1660:N1660" si="1284">I1659</f>
        <v>1</v>
      </c>
      <c r="J1660" s="77" t="str">
        <f t="shared" si="1284"/>
        <v>Senecio</v>
      </c>
      <c r="K1660" s="77" t="str">
        <f t="shared" si="1284"/>
        <v>burtoni</v>
      </c>
      <c r="L1660" s="78">
        <f t="shared" si="1284"/>
        <v>6</v>
      </c>
      <c r="M1660" s="78">
        <f t="shared" si="1284"/>
        <v>12</v>
      </c>
      <c r="N1660" s="72">
        <f t="shared" si="1284"/>
        <v>0</v>
      </c>
      <c r="O1660" s="45"/>
      <c r="P1660" s="46" t="str">
        <f t="shared" si="1251"/>
        <v/>
      </c>
      <c r="Q1660" s="47" t="str">
        <f t="shared" si="1252"/>
        <v/>
      </c>
      <c r="R1660" s="48" t="e">
        <f t="shared" si="1253"/>
        <v>#VALUE!</v>
      </c>
      <c r="S1660" s="49" t="e">
        <f t="shared" si="1254"/>
        <v>#VALUE!</v>
      </c>
      <c r="T1660" s="48" t="str">
        <f t="shared" si="1255"/>
        <v/>
      </c>
      <c r="U1660" s="50"/>
      <c r="V1660" s="51"/>
      <c r="W1660" s="52" t="e">
        <f t="shared" si="1256"/>
        <v>#VALUE!</v>
      </c>
      <c r="X1660" s="53"/>
      <c r="Y1660" s="53"/>
      <c r="Z1660" s="53"/>
      <c r="AA1660" s="48" t="e">
        <f>INDEX([1]!VISITORS[INSECT ORDER], MATCH(X1660,[1]!VISITORS[NAME USED],0))</f>
        <v>#REF!</v>
      </c>
      <c r="AB1660" s="48" t="e">
        <f t="shared" si="1257"/>
        <v>#REF!</v>
      </c>
      <c r="AC1660" s="54" t="e">
        <f t="shared" si="1258"/>
        <v>#VALUE!</v>
      </c>
      <c r="AD1660" s="55" t="str">
        <f t="shared" si="1259"/>
        <v/>
      </c>
      <c r="AE1660" s="55"/>
      <c r="AF1660" s="55"/>
      <c r="AG1660" s="56" t="str">
        <f t="shared" si="1260"/>
        <v/>
      </c>
      <c r="AH1660" s="57" t="str">
        <f t="shared" si="1261"/>
        <v/>
      </c>
      <c r="AI1660" s="56"/>
      <c r="AJ1660" s="57" t="str">
        <f t="shared" si="1262"/>
        <v/>
      </c>
      <c r="AK1660" s="56"/>
      <c r="AL1660" s="57" t="str">
        <f t="shared" si="1263"/>
        <v/>
      </c>
      <c r="AM1660" s="56"/>
      <c r="AN1660" s="57" t="str">
        <f t="shared" si="1264"/>
        <v/>
      </c>
      <c r="AO1660" s="56"/>
      <c r="AP1660" s="57" t="str">
        <f t="shared" si="1265"/>
        <v/>
      </c>
      <c r="AQ1660" s="56"/>
      <c r="AR1660" s="57" t="str">
        <f t="shared" si="1266"/>
        <v/>
      </c>
      <c r="AS1660" s="56"/>
      <c r="AT1660" s="57" t="str">
        <f t="shared" si="1267"/>
        <v/>
      </c>
      <c r="AU1660" s="58"/>
      <c r="AV1660" s="59"/>
      <c r="AW1660" s="59"/>
      <c r="AX1660" s="60"/>
      <c r="AY1660" s="61" t="str">
        <f t="shared" si="1268"/>
        <v/>
      </c>
      <c r="AZ1660" s="62" t="str">
        <f t="shared" si="1269"/>
        <v/>
      </c>
      <c r="BA1660" s="61" t="str">
        <f t="shared" si="1270"/>
        <v/>
      </c>
      <c r="BB1660" s="62" t="str">
        <f t="shared" si="1271"/>
        <v/>
      </c>
    </row>
    <row r="1661" spans="1:54" hidden="1" x14ac:dyDescent="0.35">
      <c r="A1661" s="73">
        <f t="shared" si="1226"/>
        <v>2019</v>
      </c>
      <c r="B1661" s="73" t="str">
        <f t="shared" si="1246"/>
        <v>Nov</v>
      </c>
      <c r="C1661" s="74">
        <f t="shared" si="1247"/>
        <v>17</v>
      </c>
      <c r="D1661" s="75">
        <f t="shared" si="1248"/>
        <v>16</v>
      </c>
      <c r="E1661" s="76">
        <f t="shared" si="1227"/>
        <v>29</v>
      </c>
      <c r="F1661" s="80"/>
      <c r="G1661" s="83"/>
      <c r="H1661" s="69" t="str">
        <f t="shared" si="1249"/>
        <v>Senbur6_20191117_16_00</v>
      </c>
      <c r="I1661" s="70">
        <f t="shared" ref="I1661:N1661" si="1285">I1660</f>
        <v>1</v>
      </c>
      <c r="J1661" s="77" t="str">
        <f t="shared" si="1285"/>
        <v>Senecio</v>
      </c>
      <c r="K1661" s="77" t="str">
        <f t="shared" si="1285"/>
        <v>burtoni</v>
      </c>
      <c r="L1661" s="78">
        <f t="shared" si="1285"/>
        <v>6</v>
      </c>
      <c r="M1661" s="78">
        <f t="shared" si="1285"/>
        <v>12</v>
      </c>
      <c r="N1661" s="72">
        <f t="shared" si="1285"/>
        <v>0</v>
      </c>
      <c r="O1661" s="45"/>
      <c r="P1661" s="46" t="str">
        <f t="shared" si="1251"/>
        <v/>
      </c>
      <c r="Q1661" s="47" t="str">
        <f t="shared" si="1252"/>
        <v/>
      </c>
      <c r="R1661" s="48" t="e">
        <f t="shared" si="1253"/>
        <v>#VALUE!</v>
      </c>
      <c r="S1661" s="49" t="e">
        <f t="shared" si="1254"/>
        <v>#VALUE!</v>
      </c>
      <c r="T1661" s="48" t="str">
        <f t="shared" si="1255"/>
        <v/>
      </c>
      <c r="U1661" s="50"/>
      <c r="V1661" s="51"/>
      <c r="W1661" s="52" t="e">
        <f t="shared" si="1256"/>
        <v>#VALUE!</v>
      </c>
      <c r="X1661" s="53"/>
      <c r="Y1661" s="53"/>
      <c r="Z1661" s="53"/>
      <c r="AA1661" s="48" t="e">
        <f>INDEX([1]!VISITORS[INSECT ORDER], MATCH(X1661,[1]!VISITORS[NAME USED],0))</f>
        <v>#REF!</v>
      </c>
      <c r="AB1661" s="48" t="e">
        <f t="shared" si="1257"/>
        <v>#REF!</v>
      </c>
      <c r="AC1661" s="54" t="e">
        <f t="shared" si="1258"/>
        <v>#VALUE!</v>
      </c>
      <c r="AD1661" s="55" t="str">
        <f t="shared" si="1259"/>
        <v/>
      </c>
      <c r="AE1661" s="55"/>
      <c r="AF1661" s="55"/>
      <c r="AG1661" s="56" t="str">
        <f t="shared" si="1260"/>
        <v/>
      </c>
      <c r="AH1661" s="57" t="str">
        <f t="shared" si="1261"/>
        <v/>
      </c>
      <c r="AI1661" s="56"/>
      <c r="AJ1661" s="57" t="str">
        <f t="shared" si="1262"/>
        <v/>
      </c>
      <c r="AK1661" s="56"/>
      <c r="AL1661" s="57" t="str">
        <f t="shared" si="1263"/>
        <v/>
      </c>
      <c r="AM1661" s="56"/>
      <c r="AN1661" s="57" t="str">
        <f t="shared" si="1264"/>
        <v/>
      </c>
      <c r="AO1661" s="56"/>
      <c r="AP1661" s="57" t="str">
        <f t="shared" si="1265"/>
        <v/>
      </c>
      <c r="AQ1661" s="56"/>
      <c r="AR1661" s="57" t="str">
        <f t="shared" si="1266"/>
        <v/>
      </c>
      <c r="AS1661" s="56"/>
      <c r="AT1661" s="57" t="str">
        <f t="shared" si="1267"/>
        <v/>
      </c>
      <c r="AU1661" s="58"/>
      <c r="AV1661" s="59"/>
      <c r="AW1661" s="59"/>
      <c r="AX1661" s="60"/>
      <c r="AY1661" s="61" t="str">
        <f t="shared" si="1268"/>
        <v/>
      </c>
      <c r="AZ1661" s="62" t="str">
        <f t="shared" si="1269"/>
        <v/>
      </c>
      <c r="BA1661" s="61" t="str">
        <f t="shared" si="1270"/>
        <v/>
      </c>
      <c r="BB1661" s="62" t="str">
        <f t="shared" si="1271"/>
        <v/>
      </c>
    </row>
    <row r="1662" spans="1:54" hidden="1" x14ac:dyDescent="0.35">
      <c r="A1662" s="73">
        <f t="shared" si="1226"/>
        <v>2019</v>
      </c>
      <c r="B1662" s="73" t="str">
        <f t="shared" si="1246"/>
        <v>Nov</v>
      </c>
      <c r="C1662" s="74">
        <f t="shared" si="1247"/>
        <v>17</v>
      </c>
      <c r="D1662" s="75">
        <f t="shared" si="1248"/>
        <v>16</v>
      </c>
      <c r="E1662" s="76">
        <f t="shared" si="1227"/>
        <v>30</v>
      </c>
      <c r="F1662" s="80"/>
      <c r="G1662" s="83"/>
      <c r="H1662" s="69" t="str">
        <f t="shared" si="1249"/>
        <v>Senbur6_20191117_16_00</v>
      </c>
      <c r="I1662" s="70">
        <f t="shared" ref="I1662:N1662" si="1286">I1661</f>
        <v>1</v>
      </c>
      <c r="J1662" s="77" t="str">
        <f t="shared" si="1286"/>
        <v>Senecio</v>
      </c>
      <c r="K1662" s="77" t="str">
        <f t="shared" si="1286"/>
        <v>burtoni</v>
      </c>
      <c r="L1662" s="78">
        <f t="shared" si="1286"/>
        <v>6</v>
      </c>
      <c r="M1662" s="78">
        <f t="shared" si="1286"/>
        <v>12</v>
      </c>
      <c r="N1662" s="72">
        <f t="shared" si="1286"/>
        <v>0</v>
      </c>
      <c r="O1662" s="45"/>
      <c r="P1662" s="46" t="str">
        <f t="shared" si="1251"/>
        <v/>
      </c>
      <c r="Q1662" s="47" t="str">
        <f t="shared" si="1252"/>
        <v/>
      </c>
      <c r="R1662" s="48" t="e">
        <f t="shared" si="1253"/>
        <v>#VALUE!</v>
      </c>
      <c r="S1662" s="49" t="e">
        <f t="shared" si="1254"/>
        <v>#VALUE!</v>
      </c>
      <c r="T1662" s="48" t="str">
        <f t="shared" si="1255"/>
        <v/>
      </c>
      <c r="U1662" s="50"/>
      <c r="V1662" s="51"/>
      <c r="W1662" s="52" t="e">
        <f t="shared" si="1256"/>
        <v>#VALUE!</v>
      </c>
      <c r="X1662" s="53"/>
      <c r="Y1662" s="53"/>
      <c r="Z1662" s="53"/>
      <c r="AA1662" s="48" t="e">
        <f>INDEX([1]!VISITORS[INSECT ORDER], MATCH(X1662,[1]!VISITORS[NAME USED],0))</f>
        <v>#REF!</v>
      </c>
      <c r="AB1662" s="48" t="e">
        <f t="shared" si="1257"/>
        <v>#REF!</v>
      </c>
      <c r="AC1662" s="54" t="e">
        <f t="shared" si="1258"/>
        <v>#VALUE!</v>
      </c>
      <c r="AD1662" s="55" t="str">
        <f t="shared" si="1259"/>
        <v/>
      </c>
      <c r="AE1662" s="55"/>
      <c r="AF1662" s="55"/>
      <c r="AG1662" s="56" t="str">
        <f t="shared" si="1260"/>
        <v/>
      </c>
      <c r="AH1662" s="57" t="str">
        <f t="shared" si="1261"/>
        <v/>
      </c>
      <c r="AI1662" s="56"/>
      <c r="AJ1662" s="57" t="str">
        <f t="shared" si="1262"/>
        <v/>
      </c>
      <c r="AK1662" s="56"/>
      <c r="AL1662" s="57" t="str">
        <f t="shared" si="1263"/>
        <v/>
      </c>
      <c r="AM1662" s="56"/>
      <c r="AN1662" s="57" t="str">
        <f t="shared" si="1264"/>
        <v/>
      </c>
      <c r="AO1662" s="56"/>
      <c r="AP1662" s="57" t="str">
        <f t="shared" si="1265"/>
        <v/>
      </c>
      <c r="AQ1662" s="56"/>
      <c r="AR1662" s="57" t="str">
        <f t="shared" si="1266"/>
        <v/>
      </c>
      <c r="AS1662" s="56"/>
      <c r="AT1662" s="57" t="str">
        <f t="shared" si="1267"/>
        <v/>
      </c>
      <c r="AU1662" s="58"/>
      <c r="AV1662" s="59"/>
      <c r="AW1662" s="59"/>
      <c r="AX1662" s="60"/>
      <c r="AY1662" s="61" t="str">
        <f t="shared" si="1268"/>
        <v/>
      </c>
      <c r="AZ1662" s="62" t="str">
        <f t="shared" si="1269"/>
        <v/>
      </c>
      <c r="BA1662" s="61" t="str">
        <f t="shared" si="1270"/>
        <v/>
      </c>
      <c r="BB1662" s="62" t="str">
        <f t="shared" si="1271"/>
        <v/>
      </c>
    </row>
    <row r="1663" spans="1:54" hidden="1" x14ac:dyDescent="0.35">
      <c r="A1663" s="73">
        <f t="shared" si="1226"/>
        <v>2019</v>
      </c>
      <c r="B1663" s="73" t="str">
        <f t="shared" si="1246"/>
        <v>Nov</v>
      </c>
      <c r="C1663" s="74">
        <f t="shared" si="1247"/>
        <v>17</v>
      </c>
      <c r="D1663" s="75">
        <f t="shared" si="1248"/>
        <v>16</v>
      </c>
      <c r="E1663" s="76">
        <f t="shared" si="1227"/>
        <v>31</v>
      </c>
      <c r="F1663" s="80"/>
      <c r="G1663" s="83"/>
      <c r="H1663" s="69" t="str">
        <f t="shared" si="1249"/>
        <v>Senbur6_20191117_16_00</v>
      </c>
      <c r="I1663" s="70">
        <f t="shared" ref="I1663:N1663" si="1287">I1662</f>
        <v>1</v>
      </c>
      <c r="J1663" s="77" t="str">
        <f t="shared" si="1287"/>
        <v>Senecio</v>
      </c>
      <c r="K1663" s="77" t="str">
        <f t="shared" si="1287"/>
        <v>burtoni</v>
      </c>
      <c r="L1663" s="78">
        <f t="shared" si="1287"/>
        <v>6</v>
      </c>
      <c r="M1663" s="78">
        <f t="shared" si="1287"/>
        <v>12</v>
      </c>
      <c r="N1663" s="72">
        <f t="shared" si="1287"/>
        <v>0</v>
      </c>
      <c r="O1663" s="45"/>
      <c r="P1663" s="46" t="str">
        <f t="shared" si="1251"/>
        <v/>
      </c>
      <c r="Q1663" s="47" t="str">
        <f t="shared" si="1252"/>
        <v/>
      </c>
      <c r="R1663" s="48" t="e">
        <f t="shared" si="1253"/>
        <v>#VALUE!</v>
      </c>
      <c r="S1663" s="49" t="e">
        <f t="shared" si="1254"/>
        <v>#VALUE!</v>
      </c>
      <c r="T1663" s="48" t="str">
        <f t="shared" si="1255"/>
        <v/>
      </c>
      <c r="U1663" s="50"/>
      <c r="V1663" s="51"/>
      <c r="W1663" s="52" t="e">
        <f t="shared" si="1256"/>
        <v>#VALUE!</v>
      </c>
      <c r="X1663" s="53"/>
      <c r="Y1663" s="53"/>
      <c r="Z1663" s="53"/>
      <c r="AA1663" s="48" t="e">
        <f>INDEX([1]!VISITORS[INSECT ORDER], MATCH(X1663,[1]!VISITORS[NAME USED],0))</f>
        <v>#REF!</v>
      </c>
      <c r="AB1663" s="48" t="e">
        <f t="shared" si="1257"/>
        <v>#REF!</v>
      </c>
      <c r="AC1663" s="54" t="e">
        <f t="shared" si="1258"/>
        <v>#VALUE!</v>
      </c>
      <c r="AD1663" s="55" t="str">
        <f t="shared" si="1259"/>
        <v/>
      </c>
      <c r="AE1663" s="55"/>
      <c r="AF1663" s="55"/>
      <c r="AG1663" s="56" t="str">
        <f t="shared" si="1260"/>
        <v/>
      </c>
      <c r="AH1663" s="57" t="str">
        <f t="shared" si="1261"/>
        <v/>
      </c>
      <c r="AI1663" s="56"/>
      <c r="AJ1663" s="57" t="str">
        <f t="shared" si="1262"/>
        <v/>
      </c>
      <c r="AK1663" s="56"/>
      <c r="AL1663" s="57" t="str">
        <f t="shared" si="1263"/>
        <v/>
      </c>
      <c r="AM1663" s="56"/>
      <c r="AN1663" s="57" t="str">
        <f t="shared" si="1264"/>
        <v/>
      </c>
      <c r="AO1663" s="56"/>
      <c r="AP1663" s="57" t="str">
        <f t="shared" si="1265"/>
        <v/>
      </c>
      <c r="AQ1663" s="56"/>
      <c r="AR1663" s="57" t="str">
        <f t="shared" si="1266"/>
        <v/>
      </c>
      <c r="AS1663" s="56"/>
      <c r="AT1663" s="57" t="str">
        <f t="shared" si="1267"/>
        <v/>
      </c>
      <c r="AU1663" s="58"/>
      <c r="AV1663" s="59"/>
      <c r="AW1663" s="59"/>
      <c r="AX1663" s="60"/>
      <c r="AY1663" s="61" t="str">
        <f t="shared" si="1268"/>
        <v/>
      </c>
      <c r="AZ1663" s="62" t="str">
        <f t="shared" si="1269"/>
        <v/>
      </c>
      <c r="BA1663" s="61" t="str">
        <f t="shared" si="1270"/>
        <v/>
      </c>
      <c r="BB1663" s="62" t="str">
        <f t="shared" si="1271"/>
        <v/>
      </c>
    </row>
    <row r="1664" spans="1:54" hidden="1" x14ac:dyDescent="0.35">
      <c r="A1664" s="73">
        <f t="shared" si="1226"/>
        <v>2019</v>
      </c>
      <c r="B1664" s="73" t="str">
        <f t="shared" si="1246"/>
        <v>Nov</v>
      </c>
      <c r="C1664" s="74">
        <f t="shared" si="1247"/>
        <v>17</v>
      </c>
      <c r="D1664" s="75">
        <f t="shared" si="1248"/>
        <v>16</v>
      </c>
      <c r="E1664" s="76">
        <f t="shared" si="1227"/>
        <v>32</v>
      </c>
      <c r="F1664" s="80"/>
      <c r="G1664" s="83"/>
      <c r="H1664" s="69" t="str">
        <f t="shared" si="1249"/>
        <v>Senbur6_20191117_16_00</v>
      </c>
      <c r="I1664" s="70">
        <f t="shared" ref="I1664:N1664" si="1288">I1663</f>
        <v>1</v>
      </c>
      <c r="J1664" s="77" t="str">
        <f t="shared" si="1288"/>
        <v>Senecio</v>
      </c>
      <c r="K1664" s="77" t="str">
        <f t="shared" si="1288"/>
        <v>burtoni</v>
      </c>
      <c r="L1664" s="78">
        <f t="shared" si="1288"/>
        <v>6</v>
      </c>
      <c r="M1664" s="78">
        <f t="shared" si="1288"/>
        <v>12</v>
      </c>
      <c r="N1664" s="72">
        <f t="shared" si="1288"/>
        <v>0</v>
      </c>
      <c r="O1664" s="45"/>
      <c r="P1664" s="46" t="str">
        <f t="shared" si="1251"/>
        <v/>
      </c>
      <c r="Q1664" s="47" t="str">
        <f t="shared" si="1252"/>
        <v/>
      </c>
      <c r="R1664" s="48" t="e">
        <f t="shared" si="1253"/>
        <v>#VALUE!</v>
      </c>
      <c r="S1664" s="49" t="e">
        <f t="shared" si="1254"/>
        <v>#VALUE!</v>
      </c>
      <c r="T1664" s="48" t="str">
        <f t="shared" si="1255"/>
        <v/>
      </c>
      <c r="U1664" s="50"/>
      <c r="V1664" s="51"/>
      <c r="W1664" s="52" t="e">
        <f t="shared" si="1256"/>
        <v>#VALUE!</v>
      </c>
      <c r="X1664" s="53"/>
      <c r="Y1664" s="53"/>
      <c r="Z1664" s="53"/>
      <c r="AA1664" s="48" t="e">
        <f>INDEX([1]!VISITORS[INSECT ORDER], MATCH(X1664,[1]!VISITORS[NAME USED],0))</f>
        <v>#REF!</v>
      </c>
      <c r="AB1664" s="48" t="e">
        <f t="shared" si="1257"/>
        <v>#REF!</v>
      </c>
      <c r="AC1664" s="54" t="e">
        <f t="shared" si="1258"/>
        <v>#VALUE!</v>
      </c>
      <c r="AD1664" s="55" t="str">
        <f t="shared" si="1259"/>
        <v/>
      </c>
      <c r="AE1664" s="55"/>
      <c r="AF1664" s="55"/>
      <c r="AG1664" s="56" t="str">
        <f t="shared" si="1260"/>
        <v/>
      </c>
      <c r="AH1664" s="57" t="str">
        <f t="shared" si="1261"/>
        <v/>
      </c>
      <c r="AI1664" s="56"/>
      <c r="AJ1664" s="57" t="str">
        <f t="shared" si="1262"/>
        <v/>
      </c>
      <c r="AK1664" s="56"/>
      <c r="AL1664" s="57" t="str">
        <f t="shared" si="1263"/>
        <v/>
      </c>
      <c r="AM1664" s="56"/>
      <c r="AN1664" s="57" t="str">
        <f t="shared" si="1264"/>
        <v/>
      </c>
      <c r="AO1664" s="56"/>
      <c r="AP1664" s="57" t="str">
        <f t="shared" si="1265"/>
        <v/>
      </c>
      <c r="AQ1664" s="56"/>
      <c r="AR1664" s="57" t="str">
        <f t="shared" si="1266"/>
        <v/>
      </c>
      <c r="AS1664" s="56"/>
      <c r="AT1664" s="57" t="str">
        <f t="shared" si="1267"/>
        <v/>
      </c>
      <c r="AU1664" s="58"/>
      <c r="AV1664" s="59"/>
      <c r="AW1664" s="59"/>
      <c r="AX1664" s="60"/>
      <c r="AY1664" s="61" t="str">
        <f t="shared" si="1268"/>
        <v/>
      </c>
      <c r="AZ1664" s="62" t="str">
        <f t="shared" si="1269"/>
        <v/>
      </c>
      <c r="BA1664" s="61" t="str">
        <f t="shared" si="1270"/>
        <v/>
      </c>
      <c r="BB1664" s="62" t="str">
        <f t="shared" si="1271"/>
        <v/>
      </c>
    </row>
    <row r="1665" spans="1:54" hidden="1" x14ac:dyDescent="0.35">
      <c r="A1665" s="73">
        <f t="shared" si="1226"/>
        <v>2019</v>
      </c>
      <c r="B1665" s="73" t="str">
        <f t="shared" si="1246"/>
        <v>Nov</v>
      </c>
      <c r="C1665" s="74">
        <f t="shared" si="1247"/>
        <v>17</v>
      </c>
      <c r="D1665" s="75">
        <f t="shared" si="1248"/>
        <v>16</v>
      </c>
      <c r="E1665" s="76">
        <f t="shared" si="1227"/>
        <v>33</v>
      </c>
      <c r="F1665" s="80"/>
      <c r="G1665" s="83"/>
      <c r="H1665" s="69" t="str">
        <f t="shared" si="1249"/>
        <v>Senbur6_20191117_16_00</v>
      </c>
      <c r="I1665" s="70">
        <f t="shared" ref="I1665:N1665" si="1289">I1664</f>
        <v>1</v>
      </c>
      <c r="J1665" s="77" t="str">
        <f t="shared" si="1289"/>
        <v>Senecio</v>
      </c>
      <c r="K1665" s="77" t="str">
        <f t="shared" si="1289"/>
        <v>burtoni</v>
      </c>
      <c r="L1665" s="78">
        <f t="shared" si="1289"/>
        <v>6</v>
      </c>
      <c r="M1665" s="78">
        <f t="shared" si="1289"/>
        <v>12</v>
      </c>
      <c r="N1665" s="72">
        <f t="shared" si="1289"/>
        <v>0</v>
      </c>
      <c r="O1665" s="45"/>
      <c r="P1665" s="46" t="str">
        <f t="shared" si="1251"/>
        <v/>
      </c>
      <c r="Q1665" s="47" t="str">
        <f t="shared" si="1252"/>
        <v/>
      </c>
      <c r="R1665" s="48" t="e">
        <f t="shared" si="1253"/>
        <v>#VALUE!</v>
      </c>
      <c r="S1665" s="49" t="e">
        <f t="shared" si="1254"/>
        <v>#VALUE!</v>
      </c>
      <c r="T1665" s="48" t="str">
        <f t="shared" si="1255"/>
        <v/>
      </c>
      <c r="U1665" s="50"/>
      <c r="V1665" s="51"/>
      <c r="W1665" s="52" t="e">
        <f t="shared" si="1256"/>
        <v>#VALUE!</v>
      </c>
      <c r="X1665" s="53"/>
      <c r="Y1665" s="53"/>
      <c r="Z1665" s="53"/>
      <c r="AA1665" s="48" t="e">
        <f>INDEX([1]!VISITORS[INSECT ORDER], MATCH(X1665,[1]!VISITORS[NAME USED],0))</f>
        <v>#REF!</v>
      </c>
      <c r="AB1665" s="48" t="e">
        <f t="shared" si="1257"/>
        <v>#REF!</v>
      </c>
      <c r="AC1665" s="54" t="e">
        <f t="shared" si="1258"/>
        <v>#VALUE!</v>
      </c>
      <c r="AD1665" s="55" t="str">
        <f t="shared" si="1259"/>
        <v/>
      </c>
      <c r="AE1665" s="55"/>
      <c r="AF1665" s="55"/>
      <c r="AG1665" s="56" t="str">
        <f t="shared" si="1260"/>
        <v/>
      </c>
      <c r="AH1665" s="57" t="str">
        <f t="shared" si="1261"/>
        <v/>
      </c>
      <c r="AI1665" s="56"/>
      <c r="AJ1665" s="57" t="str">
        <f t="shared" si="1262"/>
        <v/>
      </c>
      <c r="AK1665" s="56"/>
      <c r="AL1665" s="57" t="str">
        <f t="shared" si="1263"/>
        <v/>
      </c>
      <c r="AM1665" s="56"/>
      <c r="AN1665" s="57" t="str">
        <f t="shared" si="1264"/>
        <v/>
      </c>
      <c r="AO1665" s="56"/>
      <c r="AP1665" s="57" t="str">
        <f t="shared" si="1265"/>
        <v/>
      </c>
      <c r="AQ1665" s="56"/>
      <c r="AR1665" s="57" t="str">
        <f t="shared" si="1266"/>
        <v/>
      </c>
      <c r="AS1665" s="56"/>
      <c r="AT1665" s="57" t="str">
        <f t="shared" si="1267"/>
        <v/>
      </c>
      <c r="AU1665" s="58"/>
      <c r="AV1665" s="59"/>
      <c r="AW1665" s="59"/>
      <c r="AX1665" s="60"/>
      <c r="AY1665" s="61" t="str">
        <f t="shared" si="1268"/>
        <v/>
      </c>
      <c r="AZ1665" s="62" t="str">
        <f t="shared" si="1269"/>
        <v/>
      </c>
      <c r="BA1665" s="61" t="str">
        <f t="shared" si="1270"/>
        <v/>
      </c>
      <c r="BB1665" s="62" t="str">
        <f t="shared" si="1271"/>
        <v/>
      </c>
    </row>
    <row r="1666" spans="1:54" hidden="1" x14ac:dyDescent="0.35">
      <c r="A1666" s="73">
        <f t="shared" si="1226"/>
        <v>2019</v>
      </c>
      <c r="B1666" s="73" t="str">
        <f t="shared" si="1246"/>
        <v>Nov</v>
      </c>
      <c r="C1666" s="74">
        <f t="shared" si="1247"/>
        <v>17</v>
      </c>
      <c r="D1666" s="75">
        <f t="shared" si="1248"/>
        <v>16</v>
      </c>
      <c r="E1666" s="76">
        <f t="shared" si="1227"/>
        <v>34</v>
      </c>
      <c r="F1666" s="80"/>
      <c r="G1666" s="83"/>
      <c r="H1666" s="69" t="str">
        <f t="shared" si="1249"/>
        <v>Senbur6_20191117_16_00</v>
      </c>
      <c r="I1666" s="70">
        <f t="shared" ref="I1666:N1666" si="1290">I1665</f>
        <v>1</v>
      </c>
      <c r="J1666" s="77" t="str">
        <f t="shared" si="1290"/>
        <v>Senecio</v>
      </c>
      <c r="K1666" s="77" t="str">
        <f t="shared" si="1290"/>
        <v>burtoni</v>
      </c>
      <c r="L1666" s="78">
        <f t="shared" si="1290"/>
        <v>6</v>
      </c>
      <c r="M1666" s="78">
        <f t="shared" si="1290"/>
        <v>12</v>
      </c>
      <c r="N1666" s="72">
        <f t="shared" si="1290"/>
        <v>0</v>
      </c>
      <c r="O1666" s="45"/>
      <c r="P1666" s="46" t="str">
        <f t="shared" si="1251"/>
        <v/>
      </c>
      <c r="Q1666" s="47" t="str">
        <f t="shared" si="1252"/>
        <v/>
      </c>
      <c r="R1666" s="48" t="e">
        <f t="shared" si="1253"/>
        <v>#VALUE!</v>
      </c>
      <c r="S1666" s="49" t="e">
        <f t="shared" si="1254"/>
        <v>#VALUE!</v>
      </c>
      <c r="T1666" s="48" t="str">
        <f t="shared" si="1255"/>
        <v/>
      </c>
      <c r="U1666" s="50"/>
      <c r="V1666" s="51"/>
      <c r="W1666" s="52" t="e">
        <f t="shared" si="1256"/>
        <v>#VALUE!</v>
      </c>
      <c r="X1666" s="53"/>
      <c r="Y1666" s="53"/>
      <c r="Z1666" s="53"/>
      <c r="AA1666" s="48" t="e">
        <f>INDEX([1]!VISITORS[INSECT ORDER], MATCH(X1666,[1]!VISITORS[NAME USED],0))</f>
        <v>#REF!</v>
      </c>
      <c r="AB1666" s="48" t="e">
        <f t="shared" si="1257"/>
        <v>#REF!</v>
      </c>
      <c r="AC1666" s="54" t="e">
        <f t="shared" si="1258"/>
        <v>#VALUE!</v>
      </c>
      <c r="AD1666" s="55" t="str">
        <f t="shared" si="1259"/>
        <v/>
      </c>
      <c r="AE1666" s="55"/>
      <c r="AF1666" s="55"/>
      <c r="AG1666" s="56" t="str">
        <f t="shared" si="1260"/>
        <v/>
      </c>
      <c r="AH1666" s="57" t="str">
        <f t="shared" si="1261"/>
        <v/>
      </c>
      <c r="AI1666" s="56"/>
      <c r="AJ1666" s="57" t="str">
        <f t="shared" si="1262"/>
        <v/>
      </c>
      <c r="AK1666" s="56"/>
      <c r="AL1666" s="57" t="str">
        <f t="shared" si="1263"/>
        <v/>
      </c>
      <c r="AM1666" s="56"/>
      <c r="AN1666" s="57" t="str">
        <f t="shared" si="1264"/>
        <v/>
      </c>
      <c r="AO1666" s="56"/>
      <c r="AP1666" s="57" t="str">
        <f t="shared" si="1265"/>
        <v/>
      </c>
      <c r="AQ1666" s="56"/>
      <c r="AR1666" s="57" t="str">
        <f t="shared" si="1266"/>
        <v/>
      </c>
      <c r="AS1666" s="56"/>
      <c r="AT1666" s="57" t="str">
        <f t="shared" si="1267"/>
        <v/>
      </c>
      <c r="AU1666" s="58"/>
      <c r="AV1666" s="59"/>
      <c r="AW1666" s="59"/>
      <c r="AX1666" s="60"/>
      <c r="AY1666" s="61" t="str">
        <f t="shared" si="1268"/>
        <v/>
      </c>
      <c r="AZ1666" s="62" t="str">
        <f t="shared" si="1269"/>
        <v/>
      </c>
      <c r="BA1666" s="61" t="str">
        <f t="shared" si="1270"/>
        <v/>
      </c>
      <c r="BB1666" s="62" t="str">
        <f t="shared" si="1271"/>
        <v/>
      </c>
    </row>
  </sheetData>
  <sheetProtection formatCells="0" formatColumns="0" formatRows="0" sort="0" autoFilter="0"/>
  <protectedRanges>
    <protectedRange sqref="AB3" name="Visitor ID_1"/>
    <protectedRange sqref="P3:P1666" name="Visitor arrival_1_1"/>
    <protectedRange sqref="W3:W1666" name="Time of Departure_1"/>
    <protectedRange sqref="X1667: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667:AT1048576 AS3:AS1666" name="Visitor behaviour 2_1"/>
    <protectedRange sqref="AT3:AT1269 AU1:AX1269 AT1270:AX1582 AT1583:AT1666 AD1:AR1048576 AU1583:AX1048576" name="Visitor behaviour_1"/>
    <protectedRange sqref="P1:P2 P1667:P1048576" name="Visitor arrival_1"/>
    <protectedRange sqref="W1667:W1048576" name="Time of Departure"/>
    <protectedRange sqref="AA1667:AA1048576" name="Visitor ID_2"/>
    <protectedRange sqref="AY1:AZ1 BB1:BB1269 AY2:BA1269 AY1270:BB1048576" name="Visitor behaviour_1_1"/>
    <protectedRange sqref="X3:Z3" name="Visitor ID_1_1"/>
    <protectedRange sqref="X4:Z1666" name="Visitor ID_3"/>
    <protectedRange sqref="AA3:AA1666" name="Visitor ID_2_1"/>
  </protectedRanges>
  <autoFilter ref="A2:BB1666" xr:uid="{00000000-0009-0000-0000-000000000000}">
    <filterColumn colId="12" showButton="0"/>
    <filterColumn colId="15">
      <customFilters>
        <customFilter operator="notEqual" val=" "/>
      </customFilters>
    </filterColumn>
    <filterColumn colId="19" showButton="0"/>
    <filterColumn colId="20" showButton="0"/>
    <filterColumn colId="24">
      <filters>
        <filter val="Noctuidae sp.34"/>
      </filters>
    </filterColumn>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7 A2:M2">
    <cfRule type="beginsWith" dxfId="15" priority="48" operator="beginsWith" text="NA">
      <formula>LEFT(A1,LEN("NA"))="NA"</formula>
    </cfRule>
  </conditionalFormatting>
  <conditionalFormatting sqref="A3:O1666">
    <cfRule type="beginsWith" dxfId="14" priority="47" operator="beginsWith" text="NA">
      <formula>LEFT(A3,LEN("NA"))="NA"</formula>
    </cfRule>
  </conditionalFormatting>
  <conditionalFormatting sqref="F3:F100011">
    <cfRule type="cellIs" dxfId="13" priority="39" operator="greaterThan">
      <formula>60</formula>
    </cfRule>
  </conditionalFormatting>
  <conditionalFormatting sqref="I1:I1666">
    <cfRule type="containsBlanks" dxfId="12" priority="49">
      <formula>LEN(TRIM(I1))=0</formula>
    </cfRule>
  </conditionalFormatting>
  <conditionalFormatting sqref="P1 AD1:AF1 AD2">
    <cfRule type="beginsWith" dxfId="11" priority="46" operator="beginsWith" text="NA">
      <formula>LEFT(P1,LEN("NA"))="NA"</formula>
    </cfRule>
  </conditionalFormatting>
  <conditionalFormatting sqref="P2:S1666">
    <cfRule type="beginsWith" dxfId="10" priority="21" operator="beginsWith" text="NA">
      <formula>LEFT(P2,LEN("NA"))="NA"</formula>
    </cfRule>
  </conditionalFormatting>
  <conditionalFormatting sqref="R2:R1666 W2:W1666">
    <cfRule type="containsErrors" dxfId="9" priority="38">
      <formula>ISERROR(R2)</formula>
    </cfRule>
  </conditionalFormatting>
  <conditionalFormatting sqref="S1:S1048576">
    <cfRule type="containsErrors" dxfId="8" priority="22">
      <formula>ISERROR(S1)</formula>
    </cfRule>
  </conditionalFormatting>
  <conditionalFormatting sqref="W2:Z2">
    <cfRule type="beginsWith" dxfId="7" priority="1" operator="beginsWith" text="NA">
      <formula>LEFT(W2,LEN("NA"))="NA"</formula>
    </cfRule>
  </conditionalFormatting>
  <conditionalFormatting sqref="W3:AJ1666">
    <cfRule type="beginsWith" dxfId="6" priority="3" operator="beginsWith" text="NA">
      <formula>LEFT(W3,LEN("NA"))="NA"</formula>
    </cfRule>
  </conditionalFormatting>
  <conditionalFormatting sqref="AA1:AB1048576">
    <cfRule type="containsErrors" dxfId="5" priority="2">
      <formula>ISERROR(AA1)</formula>
    </cfRule>
  </conditionalFormatting>
  <conditionalFormatting sqref="AA2:AB2">
    <cfRule type="beginsWith" dxfId="4" priority="16" operator="beginsWith" text="NA">
      <formula>LEFT(AA2,LEN("NA"))="NA"</formula>
    </cfRule>
  </conditionalFormatting>
  <conditionalFormatting sqref="AC3:AC1666">
    <cfRule type="containsBlanks" dxfId="3" priority="50">
      <formula>LEN(TRIM(AC3))=0</formula>
    </cfRule>
  </conditionalFormatting>
  <conditionalFormatting sqref="AG2:AJ2">
    <cfRule type="beginsWith" dxfId="2" priority="20" operator="beginsWith" text="NA">
      <formula>LEFT(AG2,LEN("NA"))="NA"</formula>
    </cfRule>
  </conditionalFormatting>
  <conditionalFormatting sqref="AK2:BB1666">
    <cfRule type="beginsWith" dxfId="1" priority="9" operator="beginsWith" text="NA">
      <formula>LEFT(AK2,LEN("NA"))="NA"</formula>
    </cfRule>
  </conditionalFormatting>
  <conditionalFormatting sqref="AX1:AY1">
    <cfRule type="beginsWith" dxfId="0" priority="10" operator="beginsWith" text="NA">
      <formula>LEFT(AX1,LEN("NA"))="NA"</formula>
    </cfRule>
  </conditionalFormatting>
  <dataValidations count="1">
    <dataValidation type="whole" operator="equal" allowBlank="1" showInputMessage="1" showErrorMessage="1" sqref="I3:I1666"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2023-09-12T05:33:06Z</dcterms:modified>
</cp:coreProperties>
</file>